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09bdaab54fb7cfd3/Desktop/Pharma Project/"/>
    </mc:Choice>
  </mc:AlternateContent>
  <xr:revisionPtr revIDLastSave="0" documentId="8_{16A59F5C-4C72-492D-9375-FADAF732B549}" xr6:coauthVersionLast="47" xr6:coauthVersionMax="47" xr10:uidLastSave="{00000000-0000-0000-0000-000000000000}"/>
  <bookViews>
    <workbookView xWindow="-108" yWindow="-108" windowWidth="23256" windowHeight="12456" activeTab="4" xr2:uid="{15376B43-238D-40C2-8753-64A0C838EE1B}"/>
  </bookViews>
  <sheets>
    <sheet name="Raw_Data " sheetId="1" r:id="rId1"/>
    <sheet name="Cleaned_Data" sheetId="2" r:id="rId2"/>
    <sheet name="Helper_Table" sheetId="3" r:id="rId3"/>
    <sheet name="Pivot_Tables" sheetId="4" r:id="rId4"/>
    <sheet name="Dashboard" sheetId="5" r:id="rId5"/>
    <sheet name="Insights" sheetId="6" r:id="rId6"/>
  </sheets>
  <definedNames>
    <definedName name="Slicer_Customer_Type">#N/A</definedName>
    <definedName name="Slicer_Drug_Name">#N/A</definedName>
    <definedName name="Slicer_Quarter">#N/A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5" l="1"/>
  <c r="T8" i="5"/>
  <c r="N8" i="5"/>
  <c r="E8" i="5"/>
  <c r="R10" i="2"/>
  <c r="R22" i="2"/>
  <c r="R34" i="2"/>
  <c r="R46" i="2"/>
  <c r="R58" i="2"/>
  <c r="R70" i="2"/>
  <c r="R82" i="2"/>
  <c r="R94" i="2"/>
  <c r="R106" i="2"/>
  <c r="R118" i="2"/>
  <c r="R130" i="2"/>
  <c r="R142" i="2"/>
  <c r="R154" i="2"/>
  <c r="R166" i="2"/>
  <c r="R178" i="2"/>
  <c r="R190" i="2"/>
  <c r="R202" i="2"/>
  <c r="R214" i="2"/>
  <c r="R226" i="2"/>
  <c r="R238" i="2"/>
  <c r="R250" i="2"/>
  <c r="R262" i="2"/>
  <c r="R274" i="2"/>
  <c r="R286" i="2"/>
  <c r="R298" i="2"/>
  <c r="R310" i="2"/>
  <c r="R322" i="2"/>
  <c r="R334" i="2"/>
  <c r="R346" i="2"/>
  <c r="R358" i="2"/>
  <c r="R370" i="2"/>
  <c r="R382" i="2"/>
  <c r="R394" i="2"/>
  <c r="R406" i="2"/>
  <c r="R418" i="2"/>
  <c r="R430" i="2"/>
  <c r="R442" i="2"/>
  <c r="R454" i="2"/>
  <c r="R466" i="2"/>
  <c r="R478" i="2"/>
  <c r="R490" i="2"/>
  <c r="R502" i="2"/>
  <c r="R514" i="2"/>
  <c r="R526" i="2"/>
  <c r="R538" i="2"/>
  <c r="R550" i="2"/>
  <c r="R562" i="2"/>
  <c r="R574" i="2"/>
  <c r="R586" i="2"/>
  <c r="R598" i="2"/>
  <c r="R610" i="2"/>
  <c r="R622" i="2"/>
  <c r="R634" i="2"/>
  <c r="R646" i="2"/>
  <c r="R658" i="2"/>
  <c r="R670" i="2"/>
  <c r="R682" i="2"/>
  <c r="R694" i="2"/>
  <c r="R706" i="2"/>
  <c r="R718" i="2"/>
  <c r="R730" i="2"/>
  <c r="R742" i="2"/>
  <c r="R754" i="2"/>
  <c r="R766" i="2"/>
  <c r="R778" i="2"/>
  <c r="R790" i="2"/>
  <c r="R802" i="2"/>
  <c r="R814" i="2"/>
  <c r="R826" i="2"/>
  <c r="R838" i="2"/>
  <c r="R850" i="2"/>
  <c r="R862" i="2"/>
  <c r="R874" i="2"/>
  <c r="R886" i="2"/>
  <c r="R898" i="2"/>
  <c r="R910" i="2"/>
  <c r="R922" i="2"/>
  <c r="R934" i="2"/>
  <c r="R946" i="2"/>
  <c r="R958" i="2"/>
  <c r="R970" i="2"/>
  <c r="R982" i="2"/>
  <c r="R994" i="2"/>
  <c r="O2" i="2"/>
  <c r="P2" i="2" s="1"/>
  <c r="Q2" i="2" s="1"/>
  <c r="I8" i="5" s="1"/>
  <c r="O4" i="2"/>
  <c r="P4" i="2" s="1"/>
  <c r="Q4" i="2" s="1"/>
  <c r="R4" i="2" s="1"/>
  <c r="O3" i="2"/>
  <c r="P3" i="2" s="1"/>
  <c r="Q3" i="2" s="1"/>
  <c r="R3" i="2" s="1"/>
  <c r="O5" i="2"/>
  <c r="P5" i="2" s="1"/>
  <c r="Q5" i="2" s="1"/>
  <c r="R5" i="2" s="1"/>
  <c r="O6" i="2"/>
  <c r="P6" i="2" s="1"/>
  <c r="Q6" i="2" s="1"/>
  <c r="R6" i="2" s="1"/>
  <c r="O7" i="2"/>
  <c r="P7" i="2" s="1"/>
  <c r="Q7" i="2" s="1"/>
  <c r="R7" i="2" s="1"/>
  <c r="O8" i="2"/>
  <c r="P8" i="2" s="1"/>
  <c r="Q8" i="2" s="1"/>
  <c r="R8" i="2" s="1"/>
  <c r="O9" i="2"/>
  <c r="P9" i="2" s="1"/>
  <c r="Q9" i="2" s="1"/>
  <c r="R9" i="2" s="1"/>
  <c r="O10" i="2"/>
  <c r="P10" i="2" s="1"/>
  <c r="Q10" i="2" s="1"/>
  <c r="O11" i="2"/>
  <c r="P11" i="2" s="1"/>
  <c r="Q11" i="2" s="1"/>
  <c r="R11" i="2" s="1"/>
  <c r="O12" i="2"/>
  <c r="P12" i="2" s="1"/>
  <c r="Q12" i="2" s="1"/>
  <c r="R12" i="2" s="1"/>
  <c r="O13" i="2"/>
  <c r="P13" i="2" s="1"/>
  <c r="Q13" i="2" s="1"/>
  <c r="R13" i="2" s="1"/>
  <c r="O14" i="2"/>
  <c r="P14" i="2" s="1"/>
  <c r="Q14" i="2" s="1"/>
  <c r="R14" i="2" s="1"/>
  <c r="O15" i="2"/>
  <c r="P15" i="2" s="1"/>
  <c r="Q15" i="2" s="1"/>
  <c r="R15" i="2" s="1"/>
  <c r="O16" i="2"/>
  <c r="P16" i="2" s="1"/>
  <c r="Q16" i="2" s="1"/>
  <c r="R16" i="2" s="1"/>
  <c r="O17" i="2"/>
  <c r="P17" i="2" s="1"/>
  <c r="Q17" i="2" s="1"/>
  <c r="R17" i="2" s="1"/>
  <c r="O18" i="2"/>
  <c r="P18" i="2" s="1"/>
  <c r="Q18" i="2" s="1"/>
  <c r="R18" i="2" s="1"/>
  <c r="O19" i="2"/>
  <c r="P19" i="2" s="1"/>
  <c r="Q19" i="2" s="1"/>
  <c r="R19" i="2" s="1"/>
  <c r="O20" i="2"/>
  <c r="P20" i="2" s="1"/>
  <c r="Q20" i="2" s="1"/>
  <c r="R20" i="2" s="1"/>
  <c r="O21" i="2"/>
  <c r="P21" i="2" s="1"/>
  <c r="Q21" i="2" s="1"/>
  <c r="R21" i="2" s="1"/>
  <c r="O22" i="2"/>
  <c r="P22" i="2" s="1"/>
  <c r="Q22" i="2" s="1"/>
  <c r="O23" i="2"/>
  <c r="P23" i="2" s="1"/>
  <c r="Q23" i="2" s="1"/>
  <c r="R23" i="2" s="1"/>
  <c r="O24" i="2"/>
  <c r="P24" i="2" s="1"/>
  <c r="Q24" i="2" s="1"/>
  <c r="R24" i="2" s="1"/>
  <c r="O25" i="2"/>
  <c r="P25" i="2" s="1"/>
  <c r="Q25" i="2" s="1"/>
  <c r="R25" i="2" s="1"/>
  <c r="O26" i="2"/>
  <c r="P26" i="2" s="1"/>
  <c r="Q26" i="2" s="1"/>
  <c r="R26" i="2" s="1"/>
  <c r="O27" i="2"/>
  <c r="P27" i="2" s="1"/>
  <c r="Q27" i="2" s="1"/>
  <c r="R27" i="2" s="1"/>
  <c r="O28" i="2"/>
  <c r="P28" i="2" s="1"/>
  <c r="Q28" i="2" s="1"/>
  <c r="R28" i="2" s="1"/>
  <c r="O29" i="2"/>
  <c r="P29" i="2" s="1"/>
  <c r="Q29" i="2" s="1"/>
  <c r="R29" i="2" s="1"/>
  <c r="O30" i="2"/>
  <c r="P30" i="2" s="1"/>
  <c r="Q30" i="2" s="1"/>
  <c r="R30" i="2" s="1"/>
  <c r="O31" i="2"/>
  <c r="P31" i="2" s="1"/>
  <c r="Q31" i="2" s="1"/>
  <c r="R31" i="2" s="1"/>
  <c r="O32" i="2"/>
  <c r="P32" i="2" s="1"/>
  <c r="Q32" i="2" s="1"/>
  <c r="R32" i="2" s="1"/>
  <c r="O33" i="2"/>
  <c r="P33" i="2" s="1"/>
  <c r="Q33" i="2" s="1"/>
  <c r="R33" i="2" s="1"/>
  <c r="O34" i="2"/>
  <c r="P34" i="2" s="1"/>
  <c r="Q34" i="2" s="1"/>
  <c r="O35" i="2"/>
  <c r="P35" i="2" s="1"/>
  <c r="Q35" i="2" s="1"/>
  <c r="R35" i="2" s="1"/>
  <c r="O36" i="2"/>
  <c r="P36" i="2" s="1"/>
  <c r="Q36" i="2" s="1"/>
  <c r="R36" i="2" s="1"/>
  <c r="O37" i="2"/>
  <c r="P37" i="2" s="1"/>
  <c r="Q37" i="2" s="1"/>
  <c r="R37" i="2" s="1"/>
  <c r="O38" i="2"/>
  <c r="P38" i="2" s="1"/>
  <c r="Q38" i="2" s="1"/>
  <c r="R38" i="2" s="1"/>
  <c r="O39" i="2"/>
  <c r="P39" i="2" s="1"/>
  <c r="Q39" i="2" s="1"/>
  <c r="R39" i="2" s="1"/>
  <c r="O40" i="2"/>
  <c r="P40" i="2" s="1"/>
  <c r="Q40" i="2" s="1"/>
  <c r="R40" i="2" s="1"/>
  <c r="O41" i="2"/>
  <c r="P41" i="2" s="1"/>
  <c r="Q41" i="2" s="1"/>
  <c r="R41" i="2" s="1"/>
  <c r="O42" i="2"/>
  <c r="P42" i="2" s="1"/>
  <c r="Q42" i="2" s="1"/>
  <c r="R42" i="2" s="1"/>
  <c r="O43" i="2"/>
  <c r="P43" i="2" s="1"/>
  <c r="Q43" i="2" s="1"/>
  <c r="R43" i="2" s="1"/>
  <c r="O44" i="2"/>
  <c r="P44" i="2" s="1"/>
  <c r="Q44" i="2" s="1"/>
  <c r="R44" i="2" s="1"/>
  <c r="O45" i="2"/>
  <c r="P45" i="2" s="1"/>
  <c r="Q45" i="2" s="1"/>
  <c r="R45" i="2" s="1"/>
  <c r="O46" i="2"/>
  <c r="P46" i="2" s="1"/>
  <c r="Q46" i="2" s="1"/>
  <c r="O47" i="2"/>
  <c r="P47" i="2" s="1"/>
  <c r="Q47" i="2" s="1"/>
  <c r="R47" i="2" s="1"/>
  <c r="O48" i="2"/>
  <c r="P48" i="2" s="1"/>
  <c r="Q48" i="2" s="1"/>
  <c r="R48" i="2" s="1"/>
  <c r="O49" i="2"/>
  <c r="P49" i="2" s="1"/>
  <c r="Q49" i="2" s="1"/>
  <c r="R49" i="2" s="1"/>
  <c r="O50" i="2"/>
  <c r="P50" i="2" s="1"/>
  <c r="Q50" i="2" s="1"/>
  <c r="R50" i="2" s="1"/>
  <c r="O51" i="2"/>
  <c r="P51" i="2" s="1"/>
  <c r="Q51" i="2" s="1"/>
  <c r="R51" i="2" s="1"/>
  <c r="O52" i="2"/>
  <c r="P52" i="2" s="1"/>
  <c r="Q52" i="2" s="1"/>
  <c r="R52" i="2" s="1"/>
  <c r="O53" i="2"/>
  <c r="P53" i="2" s="1"/>
  <c r="Q53" i="2" s="1"/>
  <c r="R53" i="2" s="1"/>
  <c r="O54" i="2"/>
  <c r="P54" i="2" s="1"/>
  <c r="Q54" i="2" s="1"/>
  <c r="R54" i="2" s="1"/>
  <c r="O55" i="2"/>
  <c r="P55" i="2" s="1"/>
  <c r="Q55" i="2" s="1"/>
  <c r="R55" i="2" s="1"/>
  <c r="O56" i="2"/>
  <c r="P56" i="2" s="1"/>
  <c r="Q56" i="2" s="1"/>
  <c r="R56" i="2" s="1"/>
  <c r="O57" i="2"/>
  <c r="P57" i="2" s="1"/>
  <c r="Q57" i="2" s="1"/>
  <c r="R57" i="2" s="1"/>
  <c r="O58" i="2"/>
  <c r="P58" i="2" s="1"/>
  <c r="Q58" i="2" s="1"/>
  <c r="O59" i="2"/>
  <c r="P59" i="2" s="1"/>
  <c r="Q59" i="2" s="1"/>
  <c r="R59" i="2" s="1"/>
  <c r="O60" i="2"/>
  <c r="P60" i="2" s="1"/>
  <c r="Q60" i="2" s="1"/>
  <c r="R60" i="2" s="1"/>
  <c r="O61" i="2"/>
  <c r="P61" i="2" s="1"/>
  <c r="Q61" i="2" s="1"/>
  <c r="R61" i="2" s="1"/>
  <c r="O62" i="2"/>
  <c r="P62" i="2" s="1"/>
  <c r="Q62" i="2" s="1"/>
  <c r="R62" i="2" s="1"/>
  <c r="O63" i="2"/>
  <c r="P63" i="2" s="1"/>
  <c r="Q63" i="2" s="1"/>
  <c r="R63" i="2" s="1"/>
  <c r="O64" i="2"/>
  <c r="P64" i="2" s="1"/>
  <c r="Q64" i="2" s="1"/>
  <c r="R64" i="2" s="1"/>
  <c r="O65" i="2"/>
  <c r="P65" i="2" s="1"/>
  <c r="Q65" i="2" s="1"/>
  <c r="R65" i="2" s="1"/>
  <c r="O66" i="2"/>
  <c r="P66" i="2" s="1"/>
  <c r="Q66" i="2" s="1"/>
  <c r="R66" i="2" s="1"/>
  <c r="O67" i="2"/>
  <c r="P67" i="2" s="1"/>
  <c r="Q67" i="2" s="1"/>
  <c r="R67" i="2" s="1"/>
  <c r="O68" i="2"/>
  <c r="P68" i="2" s="1"/>
  <c r="Q68" i="2" s="1"/>
  <c r="R68" i="2" s="1"/>
  <c r="O69" i="2"/>
  <c r="P69" i="2" s="1"/>
  <c r="Q69" i="2" s="1"/>
  <c r="R69" i="2" s="1"/>
  <c r="O70" i="2"/>
  <c r="P70" i="2" s="1"/>
  <c r="Q70" i="2" s="1"/>
  <c r="O71" i="2"/>
  <c r="P71" i="2" s="1"/>
  <c r="Q71" i="2" s="1"/>
  <c r="R71" i="2" s="1"/>
  <c r="O72" i="2"/>
  <c r="P72" i="2" s="1"/>
  <c r="Q72" i="2" s="1"/>
  <c r="R72" i="2" s="1"/>
  <c r="O73" i="2"/>
  <c r="P73" i="2" s="1"/>
  <c r="Q73" i="2" s="1"/>
  <c r="R73" i="2" s="1"/>
  <c r="O74" i="2"/>
  <c r="P74" i="2" s="1"/>
  <c r="Q74" i="2" s="1"/>
  <c r="R74" i="2" s="1"/>
  <c r="O75" i="2"/>
  <c r="P75" i="2" s="1"/>
  <c r="Q75" i="2" s="1"/>
  <c r="R75" i="2" s="1"/>
  <c r="O76" i="2"/>
  <c r="P76" i="2" s="1"/>
  <c r="Q76" i="2" s="1"/>
  <c r="R76" i="2" s="1"/>
  <c r="O77" i="2"/>
  <c r="P77" i="2" s="1"/>
  <c r="Q77" i="2" s="1"/>
  <c r="R77" i="2" s="1"/>
  <c r="O78" i="2"/>
  <c r="P78" i="2" s="1"/>
  <c r="Q78" i="2" s="1"/>
  <c r="R78" i="2" s="1"/>
  <c r="O79" i="2"/>
  <c r="P79" i="2" s="1"/>
  <c r="Q79" i="2" s="1"/>
  <c r="R79" i="2" s="1"/>
  <c r="O80" i="2"/>
  <c r="P80" i="2" s="1"/>
  <c r="Q80" i="2" s="1"/>
  <c r="R80" i="2" s="1"/>
  <c r="O81" i="2"/>
  <c r="P81" i="2" s="1"/>
  <c r="Q81" i="2" s="1"/>
  <c r="R81" i="2" s="1"/>
  <c r="O82" i="2"/>
  <c r="P82" i="2" s="1"/>
  <c r="Q82" i="2" s="1"/>
  <c r="O83" i="2"/>
  <c r="P83" i="2" s="1"/>
  <c r="Q83" i="2" s="1"/>
  <c r="R83" i="2" s="1"/>
  <c r="O84" i="2"/>
  <c r="P84" i="2" s="1"/>
  <c r="Q84" i="2" s="1"/>
  <c r="R84" i="2" s="1"/>
  <c r="O85" i="2"/>
  <c r="P85" i="2" s="1"/>
  <c r="Q85" i="2" s="1"/>
  <c r="R85" i="2" s="1"/>
  <c r="O86" i="2"/>
  <c r="P86" i="2" s="1"/>
  <c r="Q86" i="2" s="1"/>
  <c r="R86" i="2" s="1"/>
  <c r="O87" i="2"/>
  <c r="P87" i="2" s="1"/>
  <c r="Q87" i="2" s="1"/>
  <c r="R87" i="2" s="1"/>
  <c r="O88" i="2"/>
  <c r="P88" i="2" s="1"/>
  <c r="Q88" i="2" s="1"/>
  <c r="R88" i="2" s="1"/>
  <c r="O89" i="2"/>
  <c r="P89" i="2" s="1"/>
  <c r="Q89" i="2" s="1"/>
  <c r="R89" i="2" s="1"/>
  <c r="O90" i="2"/>
  <c r="P90" i="2" s="1"/>
  <c r="Q90" i="2" s="1"/>
  <c r="R90" i="2" s="1"/>
  <c r="O91" i="2"/>
  <c r="P91" i="2" s="1"/>
  <c r="Q91" i="2" s="1"/>
  <c r="R91" i="2" s="1"/>
  <c r="O92" i="2"/>
  <c r="P92" i="2" s="1"/>
  <c r="Q92" i="2" s="1"/>
  <c r="R92" i="2" s="1"/>
  <c r="O93" i="2"/>
  <c r="P93" i="2" s="1"/>
  <c r="Q93" i="2" s="1"/>
  <c r="R93" i="2" s="1"/>
  <c r="O94" i="2"/>
  <c r="P94" i="2" s="1"/>
  <c r="Q94" i="2" s="1"/>
  <c r="O95" i="2"/>
  <c r="P95" i="2" s="1"/>
  <c r="Q95" i="2" s="1"/>
  <c r="R95" i="2" s="1"/>
  <c r="O96" i="2"/>
  <c r="P96" i="2" s="1"/>
  <c r="Q96" i="2" s="1"/>
  <c r="R96" i="2" s="1"/>
  <c r="O97" i="2"/>
  <c r="P97" i="2" s="1"/>
  <c r="Q97" i="2" s="1"/>
  <c r="R97" i="2" s="1"/>
  <c r="O98" i="2"/>
  <c r="P98" i="2" s="1"/>
  <c r="Q98" i="2" s="1"/>
  <c r="R98" i="2" s="1"/>
  <c r="O99" i="2"/>
  <c r="P99" i="2" s="1"/>
  <c r="Q99" i="2" s="1"/>
  <c r="R99" i="2" s="1"/>
  <c r="O100" i="2"/>
  <c r="P100" i="2" s="1"/>
  <c r="Q100" i="2" s="1"/>
  <c r="R100" i="2" s="1"/>
  <c r="O101" i="2"/>
  <c r="P101" i="2" s="1"/>
  <c r="Q101" i="2" s="1"/>
  <c r="R101" i="2" s="1"/>
  <c r="O102" i="2"/>
  <c r="P102" i="2" s="1"/>
  <c r="Q102" i="2" s="1"/>
  <c r="R102" i="2" s="1"/>
  <c r="O103" i="2"/>
  <c r="P103" i="2" s="1"/>
  <c r="Q103" i="2" s="1"/>
  <c r="R103" i="2" s="1"/>
  <c r="O104" i="2"/>
  <c r="P104" i="2" s="1"/>
  <c r="Q104" i="2" s="1"/>
  <c r="R104" i="2" s="1"/>
  <c r="O105" i="2"/>
  <c r="P105" i="2" s="1"/>
  <c r="Q105" i="2" s="1"/>
  <c r="R105" i="2" s="1"/>
  <c r="O106" i="2"/>
  <c r="P106" i="2" s="1"/>
  <c r="Q106" i="2" s="1"/>
  <c r="O107" i="2"/>
  <c r="P107" i="2" s="1"/>
  <c r="Q107" i="2" s="1"/>
  <c r="R107" i="2" s="1"/>
  <c r="O108" i="2"/>
  <c r="P108" i="2" s="1"/>
  <c r="Q108" i="2" s="1"/>
  <c r="R108" i="2" s="1"/>
  <c r="O109" i="2"/>
  <c r="P109" i="2" s="1"/>
  <c r="Q109" i="2" s="1"/>
  <c r="R109" i="2" s="1"/>
  <c r="O110" i="2"/>
  <c r="P110" i="2" s="1"/>
  <c r="Q110" i="2" s="1"/>
  <c r="R110" i="2" s="1"/>
  <c r="O111" i="2"/>
  <c r="P111" i="2" s="1"/>
  <c r="Q111" i="2" s="1"/>
  <c r="R111" i="2" s="1"/>
  <c r="O112" i="2"/>
  <c r="P112" i="2" s="1"/>
  <c r="Q112" i="2" s="1"/>
  <c r="R112" i="2" s="1"/>
  <c r="O113" i="2"/>
  <c r="P113" i="2" s="1"/>
  <c r="Q113" i="2" s="1"/>
  <c r="R113" i="2" s="1"/>
  <c r="O114" i="2"/>
  <c r="P114" i="2" s="1"/>
  <c r="Q114" i="2" s="1"/>
  <c r="R114" i="2" s="1"/>
  <c r="O115" i="2"/>
  <c r="P115" i="2" s="1"/>
  <c r="Q115" i="2" s="1"/>
  <c r="R115" i="2" s="1"/>
  <c r="O116" i="2"/>
  <c r="P116" i="2" s="1"/>
  <c r="Q116" i="2" s="1"/>
  <c r="R116" i="2" s="1"/>
  <c r="O117" i="2"/>
  <c r="P117" i="2" s="1"/>
  <c r="Q117" i="2" s="1"/>
  <c r="R117" i="2" s="1"/>
  <c r="O118" i="2"/>
  <c r="P118" i="2" s="1"/>
  <c r="Q118" i="2" s="1"/>
  <c r="O119" i="2"/>
  <c r="P119" i="2" s="1"/>
  <c r="Q119" i="2" s="1"/>
  <c r="R119" i="2" s="1"/>
  <c r="O120" i="2"/>
  <c r="P120" i="2" s="1"/>
  <c r="Q120" i="2" s="1"/>
  <c r="R120" i="2" s="1"/>
  <c r="O121" i="2"/>
  <c r="P121" i="2" s="1"/>
  <c r="Q121" i="2" s="1"/>
  <c r="R121" i="2" s="1"/>
  <c r="O122" i="2"/>
  <c r="P122" i="2" s="1"/>
  <c r="Q122" i="2" s="1"/>
  <c r="R122" i="2" s="1"/>
  <c r="O123" i="2"/>
  <c r="P123" i="2" s="1"/>
  <c r="Q123" i="2" s="1"/>
  <c r="R123" i="2" s="1"/>
  <c r="O124" i="2"/>
  <c r="P124" i="2" s="1"/>
  <c r="Q124" i="2" s="1"/>
  <c r="R124" i="2" s="1"/>
  <c r="O125" i="2"/>
  <c r="P125" i="2" s="1"/>
  <c r="Q125" i="2" s="1"/>
  <c r="R125" i="2" s="1"/>
  <c r="O126" i="2"/>
  <c r="P126" i="2" s="1"/>
  <c r="Q126" i="2" s="1"/>
  <c r="R126" i="2" s="1"/>
  <c r="O127" i="2"/>
  <c r="P127" i="2" s="1"/>
  <c r="Q127" i="2" s="1"/>
  <c r="R127" i="2" s="1"/>
  <c r="O128" i="2"/>
  <c r="P128" i="2" s="1"/>
  <c r="Q128" i="2" s="1"/>
  <c r="R128" i="2" s="1"/>
  <c r="O129" i="2"/>
  <c r="P129" i="2" s="1"/>
  <c r="Q129" i="2" s="1"/>
  <c r="R129" i="2" s="1"/>
  <c r="O130" i="2"/>
  <c r="P130" i="2" s="1"/>
  <c r="Q130" i="2" s="1"/>
  <c r="O131" i="2"/>
  <c r="P131" i="2" s="1"/>
  <c r="Q131" i="2" s="1"/>
  <c r="R131" i="2" s="1"/>
  <c r="O132" i="2"/>
  <c r="P132" i="2" s="1"/>
  <c r="Q132" i="2" s="1"/>
  <c r="R132" i="2" s="1"/>
  <c r="O133" i="2"/>
  <c r="P133" i="2" s="1"/>
  <c r="Q133" i="2" s="1"/>
  <c r="R133" i="2" s="1"/>
  <c r="O134" i="2"/>
  <c r="P134" i="2" s="1"/>
  <c r="Q134" i="2" s="1"/>
  <c r="R134" i="2" s="1"/>
  <c r="O135" i="2"/>
  <c r="P135" i="2" s="1"/>
  <c r="Q135" i="2" s="1"/>
  <c r="R135" i="2" s="1"/>
  <c r="O136" i="2"/>
  <c r="P136" i="2" s="1"/>
  <c r="Q136" i="2" s="1"/>
  <c r="R136" i="2" s="1"/>
  <c r="O137" i="2"/>
  <c r="P137" i="2" s="1"/>
  <c r="Q137" i="2" s="1"/>
  <c r="R137" i="2" s="1"/>
  <c r="O138" i="2"/>
  <c r="P138" i="2" s="1"/>
  <c r="Q138" i="2" s="1"/>
  <c r="R138" i="2" s="1"/>
  <c r="O139" i="2"/>
  <c r="P139" i="2" s="1"/>
  <c r="Q139" i="2" s="1"/>
  <c r="R139" i="2" s="1"/>
  <c r="O140" i="2"/>
  <c r="P140" i="2" s="1"/>
  <c r="Q140" i="2" s="1"/>
  <c r="R140" i="2" s="1"/>
  <c r="O141" i="2"/>
  <c r="P141" i="2" s="1"/>
  <c r="Q141" i="2" s="1"/>
  <c r="R141" i="2" s="1"/>
  <c r="O142" i="2"/>
  <c r="P142" i="2" s="1"/>
  <c r="Q142" i="2" s="1"/>
  <c r="O143" i="2"/>
  <c r="P143" i="2" s="1"/>
  <c r="Q143" i="2" s="1"/>
  <c r="R143" i="2" s="1"/>
  <c r="O144" i="2"/>
  <c r="P144" i="2" s="1"/>
  <c r="Q144" i="2" s="1"/>
  <c r="R144" i="2" s="1"/>
  <c r="O145" i="2"/>
  <c r="P145" i="2" s="1"/>
  <c r="Q145" i="2" s="1"/>
  <c r="R145" i="2" s="1"/>
  <c r="O146" i="2"/>
  <c r="P146" i="2" s="1"/>
  <c r="Q146" i="2" s="1"/>
  <c r="R146" i="2" s="1"/>
  <c r="O147" i="2"/>
  <c r="P147" i="2" s="1"/>
  <c r="Q147" i="2" s="1"/>
  <c r="R147" i="2" s="1"/>
  <c r="O148" i="2"/>
  <c r="P148" i="2" s="1"/>
  <c r="Q148" i="2" s="1"/>
  <c r="R148" i="2" s="1"/>
  <c r="O149" i="2"/>
  <c r="P149" i="2" s="1"/>
  <c r="Q149" i="2" s="1"/>
  <c r="R149" i="2" s="1"/>
  <c r="O150" i="2"/>
  <c r="P150" i="2" s="1"/>
  <c r="Q150" i="2" s="1"/>
  <c r="R150" i="2" s="1"/>
  <c r="O151" i="2"/>
  <c r="P151" i="2" s="1"/>
  <c r="Q151" i="2" s="1"/>
  <c r="R151" i="2" s="1"/>
  <c r="O152" i="2"/>
  <c r="P152" i="2" s="1"/>
  <c r="Q152" i="2" s="1"/>
  <c r="R152" i="2" s="1"/>
  <c r="O153" i="2"/>
  <c r="P153" i="2" s="1"/>
  <c r="Q153" i="2" s="1"/>
  <c r="R153" i="2" s="1"/>
  <c r="O154" i="2"/>
  <c r="P154" i="2" s="1"/>
  <c r="Q154" i="2" s="1"/>
  <c r="O155" i="2"/>
  <c r="P155" i="2" s="1"/>
  <c r="Q155" i="2" s="1"/>
  <c r="R155" i="2" s="1"/>
  <c r="O156" i="2"/>
  <c r="P156" i="2" s="1"/>
  <c r="Q156" i="2" s="1"/>
  <c r="R156" i="2" s="1"/>
  <c r="O157" i="2"/>
  <c r="P157" i="2" s="1"/>
  <c r="Q157" i="2" s="1"/>
  <c r="R157" i="2" s="1"/>
  <c r="O158" i="2"/>
  <c r="P158" i="2" s="1"/>
  <c r="Q158" i="2" s="1"/>
  <c r="R158" i="2" s="1"/>
  <c r="O159" i="2"/>
  <c r="P159" i="2" s="1"/>
  <c r="Q159" i="2" s="1"/>
  <c r="R159" i="2" s="1"/>
  <c r="O160" i="2"/>
  <c r="P160" i="2" s="1"/>
  <c r="Q160" i="2" s="1"/>
  <c r="R160" i="2" s="1"/>
  <c r="O161" i="2"/>
  <c r="P161" i="2" s="1"/>
  <c r="Q161" i="2" s="1"/>
  <c r="R161" i="2" s="1"/>
  <c r="O162" i="2"/>
  <c r="P162" i="2" s="1"/>
  <c r="Q162" i="2" s="1"/>
  <c r="R162" i="2" s="1"/>
  <c r="O163" i="2"/>
  <c r="P163" i="2" s="1"/>
  <c r="Q163" i="2" s="1"/>
  <c r="R163" i="2" s="1"/>
  <c r="O164" i="2"/>
  <c r="P164" i="2" s="1"/>
  <c r="Q164" i="2" s="1"/>
  <c r="R164" i="2" s="1"/>
  <c r="O165" i="2"/>
  <c r="P165" i="2" s="1"/>
  <c r="Q165" i="2" s="1"/>
  <c r="R165" i="2" s="1"/>
  <c r="O166" i="2"/>
  <c r="P166" i="2" s="1"/>
  <c r="Q166" i="2" s="1"/>
  <c r="O167" i="2"/>
  <c r="P167" i="2" s="1"/>
  <c r="Q167" i="2" s="1"/>
  <c r="R167" i="2" s="1"/>
  <c r="O168" i="2"/>
  <c r="P168" i="2" s="1"/>
  <c r="Q168" i="2" s="1"/>
  <c r="R168" i="2" s="1"/>
  <c r="O169" i="2"/>
  <c r="P169" i="2" s="1"/>
  <c r="Q169" i="2" s="1"/>
  <c r="R169" i="2" s="1"/>
  <c r="O170" i="2"/>
  <c r="P170" i="2" s="1"/>
  <c r="Q170" i="2" s="1"/>
  <c r="R170" i="2" s="1"/>
  <c r="O171" i="2"/>
  <c r="P171" i="2" s="1"/>
  <c r="Q171" i="2" s="1"/>
  <c r="R171" i="2" s="1"/>
  <c r="O172" i="2"/>
  <c r="P172" i="2" s="1"/>
  <c r="Q172" i="2" s="1"/>
  <c r="R172" i="2" s="1"/>
  <c r="O173" i="2"/>
  <c r="P173" i="2" s="1"/>
  <c r="Q173" i="2" s="1"/>
  <c r="R173" i="2" s="1"/>
  <c r="O174" i="2"/>
  <c r="P174" i="2" s="1"/>
  <c r="Q174" i="2" s="1"/>
  <c r="R174" i="2" s="1"/>
  <c r="O175" i="2"/>
  <c r="P175" i="2" s="1"/>
  <c r="Q175" i="2" s="1"/>
  <c r="R175" i="2" s="1"/>
  <c r="O176" i="2"/>
  <c r="P176" i="2" s="1"/>
  <c r="Q176" i="2" s="1"/>
  <c r="R176" i="2" s="1"/>
  <c r="O177" i="2"/>
  <c r="P177" i="2" s="1"/>
  <c r="Q177" i="2" s="1"/>
  <c r="R177" i="2" s="1"/>
  <c r="O178" i="2"/>
  <c r="P178" i="2" s="1"/>
  <c r="Q178" i="2" s="1"/>
  <c r="O179" i="2"/>
  <c r="P179" i="2" s="1"/>
  <c r="Q179" i="2" s="1"/>
  <c r="R179" i="2" s="1"/>
  <c r="O180" i="2"/>
  <c r="P180" i="2" s="1"/>
  <c r="Q180" i="2" s="1"/>
  <c r="R180" i="2" s="1"/>
  <c r="O181" i="2"/>
  <c r="P181" i="2" s="1"/>
  <c r="Q181" i="2" s="1"/>
  <c r="R181" i="2" s="1"/>
  <c r="O182" i="2"/>
  <c r="P182" i="2" s="1"/>
  <c r="Q182" i="2" s="1"/>
  <c r="R182" i="2" s="1"/>
  <c r="O183" i="2"/>
  <c r="P183" i="2" s="1"/>
  <c r="Q183" i="2" s="1"/>
  <c r="R183" i="2" s="1"/>
  <c r="O184" i="2"/>
  <c r="P184" i="2" s="1"/>
  <c r="Q184" i="2" s="1"/>
  <c r="R184" i="2" s="1"/>
  <c r="O185" i="2"/>
  <c r="P185" i="2" s="1"/>
  <c r="Q185" i="2" s="1"/>
  <c r="R185" i="2" s="1"/>
  <c r="O186" i="2"/>
  <c r="P186" i="2" s="1"/>
  <c r="Q186" i="2" s="1"/>
  <c r="R186" i="2" s="1"/>
  <c r="O187" i="2"/>
  <c r="P187" i="2" s="1"/>
  <c r="Q187" i="2" s="1"/>
  <c r="R187" i="2" s="1"/>
  <c r="O188" i="2"/>
  <c r="P188" i="2" s="1"/>
  <c r="Q188" i="2" s="1"/>
  <c r="R188" i="2" s="1"/>
  <c r="O189" i="2"/>
  <c r="P189" i="2" s="1"/>
  <c r="Q189" i="2" s="1"/>
  <c r="R189" i="2" s="1"/>
  <c r="O190" i="2"/>
  <c r="P190" i="2" s="1"/>
  <c r="Q190" i="2" s="1"/>
  <c r="O191" i="2"/>
  <c r="P191" i="2" s="1"/>
  <c r="Q191" i="2" s="1"/>
  <c r="R191" i="2" s="1"/>
  <c r="O192" i="2"/>
  <c r="P192" i="2" s="1"/>
  <c r="Q192" i="2" s="1"/>
  <c r="R192" i="2" s="1"/>
  <c r="O193" i="2"/>
  <c r="P193" i="2" s="1"/>
  <c r="Q193" i="2" s="1"/>
  <c r="R193" i="2" s="1"/>
  <c r="O194" i="2"/>
  <c r="P194" i="2" s="1"/>
  <c r="Q194" i="2" s="1"/>
  <c r="R194" i="2" s="1"/>
  <c r="O195" i="2"/>
  <c r="P195" i="2" s="1"/>
  <c r="Q195" i="2" s="1"/>
  <c r="R195" i="2" s="1"/>
  <c r="O196" i="2"/>
  <c r="P196" i="2" s="1"/>
  <c r="Q196" i="2" s="1"/>
  <c r="R196" i="2" s="1"/>
  <c r="O197" i="2"/>
  <c r="P197" i="2" s="1"/>
  <c r="Q197" i="2" s="1"/>
  <c r="R197" i="2" s="1"/>
  <c r="O198" i="2"/>
  <c r="P198" i="2" s="1"/>
  <c r="Q198" i="2" s="1"/>
  <c r="R198" i="2" s="1"/>
  <c r="O199" i="2"/>
  <c r="P199" i="2" s="1"/>
  <c r="Q199" i="2" s="1"/>
  <c r="R199" i="2" s="1"/>
  <c r="O200" i="2"/>
  <c r="P200" i="2" s="1"/>
  <c r="Q200" i="2" s="1"/>
  <c r="R200" i="2" s="1"/>
  <c r="O201" i="2"/>
  <c r="P201" i="2" s="1"/>
  <c r="Q201" i="2" s="1"/>
  <c r="R201" i="2" s="1"/>
  <c r="O202" i="2"/>
  <c r="P202" i="2" s="1"/>
  <c r="Q202" i="2" s="1"/>
  <c r="O203" i="2"/>
  <c r="P203" i="2" s="1"/>
  <c r="Q203" i="2" s="1"/>
  <c r="R203" i="2" s="1"/>
  <c r="O204" i="2"/>
  <c r="P204" i="2" s="1"/>
  <c r="Q204" i="2" s="1"/>
  <c r="R204" i="2" s="1"/>
  <c r="O205" i="2"/>
  <c r="P205" i="2" s="1"/>
  <c r="Q205" i="2" s="1"/>
  <c r="R205" i="2" s="1"/>
  <c r="O206" i="2"/>
  <c r="P206" i="2" s="1"/>
  <c r="Q206" i="2" s="1"/>
  <c r="R206" i="2" s="1"/>
  <c r="O207" i="2"/>
  <c r="P207" i="2" s="1"/>
  <c r="Q207" i="2" s="1"/>
  <c r="R207" i="2" s="1"/>
  <c r="O208" i="2"/>
  <c r="P208" i="2" s="1"/>
  <c r="Q208" i="2" s="1"/>
  <c r="R208" i="2" s="1"/>
  <c r="O209" i="2"/>
  <c r="P209" i="2" s="1"/>
  <c r="Q209" i="2" s="1"/>
  <c r="R209" i="2" s="1"/>
  <c r="O210" i="2"/>
  <c r="P210" i="2" s="1"/>
  <c r="Q210" i="2" s="1"/>
  <c r="R210" i="2" s="1"/>
  <c r="O211" i="2"/>
  <c r="P211" i="2" s="1"/>
  <c r="Q211" i="2" s="1"/>
  <c r="R211" i="2" s="1"/>
  <c r="O212" i="2"/>
  <c r="P212" i="2" s="1"/>
  <c r="Q212" i="2" s="1"/>
  <c r="R212" i="2" s="1"/>
  <c r="O213" i="2"/>
  <c r="P213" i="2" s="1"/>
  <c r="Q213" i="2" s="1"/>
  <c r="R213" i="2" s="1"/>
  <c r="O214" i="2"/>
  <c r="P214" i="2" s="1"/>
  <c r="Q214" i="2" s="1"/>
  <c r="O215" i="2"/>
  <c r="P215" i="2" s="1"/>
  <c r="Q215" i="2" s="1"/>
  <c r="R215" i="2" s="1"/>
  <c r="O216" i="2"/>
  <c r="P216" i="2" s="1"/>
  <c r="Q216" i="2" s="1"/>
  <c r="R216" i="2" s="1"/>
  <c r="O217" i="2"/>
  <c r="P217" i="2" s="1"/>
  <c r="Q217" i="2" s="1"/>
  <c r="R217" i="2" s="1"/>
  <c r="O218" i="2"/>
  <c r="P218" i="2" s="1"/>
  <c r="Q218" i="2" s="1"/>
  <c r="R218" i="2" s="1"/>
  <c r="O219" i="2"/>
  <c r="P219" i="2" s="1"/>
  <c r="Q219" i="2" s="1"/>
  <c r="R219" i="2" s="1"/>
  <c r="O220" i="2"/>
  <c r="P220" i="2" s="1"/>
  <c r="Q220" i="2" s="1"/>
  <c r="R220" i="2" s="1"/>
  <c r="O221" i="2"/>
  <c r="P221" i="2" s="1"/>
  <c r="Q221" i="2" s="1"/>
  <c r="R221" i="2" s="1"/>
  <c r="O222" i="2"/>
  <c r="P222" i="2" s="1"/>
  <c r="Q222" i="2" s="1"/>
  <c r="R222" i="2" s="1"/>
  <c r="O223" i="2"/>
  <c r="P223" i="2" s="1"/>
  <c r="Q223" i="2" s="1"/>
  <c r="R223" i="2" s="1"/>
  <c r="O224" i="2"/>
  <c r="P224" i="2" s="1"/>
  <c r="Q224" i="2" s="1"/>
  <c r="R224" i="2" s="1"/>
  <c r="O225" i="2"/>
  <c r="P225" i="2" s="1"/>
  <c r="Q225" i="2" s="1"/>
  <c r="R225" i="2" s="1"/>
  <c r="O226" i="2"/>
  <c r="P226" i="2" s="1"/>
  <c r="Q226" i="2" s="1"/>
  <c r="O227" i="2"/>
  <c r="P227" i="2" s="1"/>
  <c r="Q227" i="2" s="1"/>
  <c r="R227" i="2" s="1"/>
  <c r="O228" i="2"/>
  <c r="P228" i="2" s="1"/>
  <c r="Q228" i="2" s="1"/>
  <c r="R228" i="2" s="1"/>
  <c r="O229" i="2"/>
  <c r="P229" i="2" s="1"/>
  <c r="Q229" i="2" s="1"/>
  <c r="R229" i="2" s="1"/>
  <c r="O230" i="2"/>
  <c r="P230" i="2" s="1"/>
  <c r="Q230" i="2" s="1"/>
  <c r="R230" i="2" s="1"/>
  <c r="O231" i="2"/>
  <c r="P231" i="2" s="1"/>
  <c r="Q231" i="2" s="1"/>
  <c r="R231" i="2" s="1"/>
  <c r="O232" i="2"/>
  <c r="P232" i="2" s="1"/>
  <c r="Q232" i="2" s="1"/>
  <c r="R232" i="2" s="1"/>
  <c r="O233" i="2"/>
  <c r="P233" i="2" s="1"/>
  <c r="Q233" i="2" s="1"/>
  <c r="R233" i="2" s="1"/>
  <c r="O234" i="2"/>
  <c r="P234" i="2" s="1"/>
  <c r="Q234" i="2" s="1"/>
  <c r="R234" i="2" s="1"/>
  <c r="O235" i="2"/>
  <c r="P235" i="2" s="1"/>
  <c r="Q235" i="2" s="1"/>
  <c r="R235" i="2" s="1"/>
  <c r="O236" i="2"/>
  <c r="P236" i="2" s="1"/>
  <c r="Q236" i="2" s="1"/>
  <c r="R236" i="2" s="1"/>
  <c r="O237" i="2"/>
  <c r="P237" i="2" s="1"/>
  <c r="Q237" i="2" s="1"/>
  <c r="R237" i="2" s="1"/>
  <c r="O238" i="2"/>
  <c r="P238" i="2" s="1"/>
  <c r="Q238" i="2" s="1"/>
  <c r="O239" i="2"/>
  <c r="P239" i="2" s="1"/>
  <c r="Q239" i="2" s="1"/>
  <c r="R239" i="2" s="1"/>
  <c r="O240" i="2"/>
  <c r="P240" i="2" s="1"/>
  <c r="Q240" i="2" s="1"/>
  <c r="R240" i="2" s="1"/>
  <c r="O241" i="2"/>
  <c r="P241" i="2" s="1"/>
  <c r="Q241" i="2" s="1"/>
  <c r="R241" i="2" s="1"/>
  <c r="O242" i="2"/>
  <c r="P242" i="2" s="1"/>
  <c r="Q242" i="2" s="1"/>
  <c r="R242" i="2" s="1"/>
  <c r="O243" i="2"/>
  <c r="P243" i="2" s="1"/>
  <c r="Q243" i="2" s="1"/>
  <c r="R243" i="2" s="1"/>
  <c r="O244" i="2"/>
  <c r="P244" i="2" s="1"/>
  <c r="Q244" i="2" s="1"/>
  <c r="R244" i="2" s="1"/>
  <c r="O245" i="2"/>
  <c r="P245" i="2" s="1"/>
  <c r="Q245" i="2" s="1"/>
  <c r="R245" i="2" s="1"/>
  <c r="O246" i="2"/>
  <c r="P246" i="2" s="1"/>
  <c r="Q246" i="2" s="1"/>
  <c r="R246" i="2" s="1"/>
  <c r="O247" i="2"/>
  <c r="P247" i="2" s="1"/>
  <c r="Q247" i="2" s="1"/>
  <c r="R247" i="2" s="1"/>
  <c r="O248" i="2"/>
  <c r="P248" i="2" s="1"/>
  <c r="Q248" i="2" s="1"/>
  <c r="R248" i="2" s="1"/>
  <c r="O249" i="2"/>
  <c r="P249" i="2" s="1"/>
  <c r="Q249" i="2" s="1"/>
  <c r="R249" i="2" s="1"/>
  <c r="O250" i="2"/>
  <c r="P250" i="2" s="1"/>
  <c r="Q250" i="2" s="1"/>
  <c r="O251" i="2"/>
  <c r="P251" i="2" s="1"/>
  <c r="Q251" i="2" s="1"/>
  <c r="R251" i="2" s="1"/>
  <c r="O252" i="2"/>
  <c r="P252" i="2" s="1"/>
  <c r="Q252" i="2" s="1"/>
  <c r="R252" i="2" s="1"/>
  <c r="O253" i="2"/>
  <c r="P253" i="2" s="1"/>
  <c r="Q253" i="2" s="1"/>
  <c r="R253" i="2" s="1"/>
  <c r="O254" i="2"/>
  <c r="P254" i="2" s="1"/>
  <c r="Q254" i="2" s="1"/>
  <c r="R254" i="2" s="1"/>
  <c r="O255" i="2"/>
  <c r="P255" i="2" s="1"/>
  <c r="Q255" i="2" s="1"/>
  <c r="R255" i="2" s="1"/>
  <c r="O256" i="2"/>
  <c r="P256" i="2" s="1"/>
  <c r="Q256" i="2" s="1"/>
  <c r="R256" i="2" s="1"/>
  <c r="O257" i="2"/>
  <c r="P257" i="2" s="1"/>
  <c r="Q257" i="2" s="1"/>
  <c r="R257" i="2" s="1"/>
  <c r="O258" i="2"/>
  <c r="P258" i="2" s="1"/>
  <c r="Q258" i="2" s="1"/>
  <c r="R258" i="2" s="1"/>
  <c r="O259" i="2"/>
  <c r="P259" i="2" s="1"/>
  <c r="Q259" i="2" s="1"/>
  <c r="R259" i="2" s="1"/>
  <c r="O260" i="2"/>
  <c r="P260" i="2" s="1"/>
  <c r="Q260" i="2" s="1"/>
  <c r="R260" i="2" s="1"/>
  <c r="O261" i="2"/>
  <c r="P261" i="2" s="1"/>
  <c r="Q261" i="2" s="1"/>
  <c r="R261" i="2" s="1"/>
  <c r="O262" i="2"/>
  <c r="P262" i="2" s="1"/>
  <c r="Q262" i="2" s="1"/>
  <c r="O263" i="2"/>
  <c r="P263" i="2" s="1"/>
  <c r="Q263" i="2" s="1"/>
  <c r="R263" i="2" s="1"/>
  <c r="O264" i="2"/>
  <c r="P264" i="2" s="1"/>
  <c r="Q264" i="2" s="1"/>
  <c r="R264" i="2" s="1"/>
  <c r="O265" i="2"/>
  <c r="P265" i="2" s="1"/>
  <c r="Q265" i="2" s="1"/>
  <c r="R265" i="2" s="1"/>
  <c r="O266" i="2"/>
  <c r="P266" i="2" s="1"/>
  <c r="Q266" i="2" s="1"/>
  <c r="R266" i="2" s="1"/>
  <c r="O267" i="2"/>
  <c r="P267" i="2" s="1"/>
  <c r="Q267" i="2" s="1"/>
  <c r="R267" i="2" s="1"/>
  <c r="O268" i="2"/>
  <c r="P268" i="2" s="1"/>
  <c r="Q268" i="2" s="1"/>
  <c r="R268" i="2" s="1"/>
  <c r="O269" i="2"/>
  <c r="P269" i="2" s="1"/>
  <c r="Q269" i="2" s="1"/>
  <c r="R269" i="2" s="1"/>
  <c r="O270" i="2"/>
  <c r="P270" i="2" s="1"/>
  <c r="Q270" i="2" s="1"/>
  <c r="R270" i="2" s="1"/>
  <c r="O271" i="2"/>
  <c r="P271" i="2" s="1"/>
  <c r="Q271" i="2" s="1"/>
  <c r="R271" i="2" s="1"/>
  <c r="O272" i="2"/>
  <c r="P272" i="2" s="1"/>
  <c r="Q272" i="2" s="1"/>
  <c r="R272" i="2" s="1"/>
  <c r="O273" i="2"/>
  <c r="P273" i="2" s="1"/>
  <c r="Q273" i="2" s="1"/>
  <c r="R273" i="2" s="1"/>
  <c r="O274" i="2"/>
  <c r="P274" i="2" s="1"/>
  <c r="Q274" i="2" s="1"/>
  <c r="O275" i="2"/>
  <c r="P275" i="2" s="1"/>
  <c r="Q275" i="2" s="1"/>
  <c r="R275" i="2" s="1"/>
  <c r="O276" i="2"/>
  <c r="P276" i="2" s="1"/>
  <c r="Q276" i="2" s="1"/>
  <c r="R276" i="2" s="1"/>
  <c r="O277" i="2"/>
  <c r="P277" i="2" s="1"/>
  <c r="Q277" i="2" s="1"/>
  <c r="R277" i="2" s="1"/>
  <c r="O278" i="2"/>
  <c r="P278" i="2" s="1"/>
  <c r="Q278" i="2" s="1"/>
  <c r="R278" i="2" s="1"/>
  <c r="O279" i="2"/>
  <c r="P279" i="2" s="1"/>
  <c r="Q279" i="2" s="1"/>
  <c r="R279" i="2" s="1"/>
  <c r="O280" i="2"/>
  <c r="P280" i="2" s="1"/>
  <c r="Q280" i="2" s="1"/>
  <c r="R280" i="2" s="1"/>
  <c r="O281" i="2"/>
  <c r="P281" i="2" s="1"/>
  <c r="Q281" i="2" s="1"/>
  <c r="R281" i="2" s="1"/>
  <c r="O282" i="2"/>
  <c r="P282" i="2" s="1"/>
  <c r="Q282" i="2" s="1"/>
  <c r="R282" i="2" s="1"/>
  <c r="O283" i="2"/>
  <c r="P283" i="2" s="1"/>
  <c r="Q283" i="2" s="1"/>
  <c r="R283" i="2" s="1"/>
  <c r="O284" i="2"/>
  <c r="P284" i="2" s="1"/>
  <c r="Q284" i="2" s="1"/>
  <c r="R284" i="2" s="1"/>
  <c r="O285" i="2"/>
  <c r="P285" i="2" s="1"/>
  <c r="Q285" i="2" s="1"/>
  <c r="R285" i="2" s="1"/>
  <c r="O286" i="2"/>
  <c r="P286" i="2" s="1"/>
  <c r="Q286" i="2" s="1"/>
  <c r="O287" i="2"/>
  <c r="P287" i="2" s="1"/>
  <c r="Q287" i="2" s="1"/>
  <c r="R287" i="2" s="1"/>
  <c r="O288" i="2"/>
  <c r="P288" i="2" s="1"/>
  <c r="Q288" i="2" s="1"/>
  <c r="R288" i="2" s="1"/>
  <c r="O289" i="2"/>
  <c r="P289" i="2" s="1"/>
  <c r="Q289" i="2" s="1"/>
  <c r="R289" i="2" s="1"/>
  <c r="O290" i="2"/>
  <c r="P290" i="2" s="1"/>
  <c r="Q290" i="2" s="1"/>
  <c r="R290" i="2" s="1"/>
  <c r="O291" i="2"/>
  <c r="P291" i="2" s="1"/>
  <c r="Q291" i="2" s="1"/>
  <c r="R291" i="2" s="1"/>
  <c r="O292" i="2"/>
  <c r="P292" i="2" s="1"/>
  <c r="Q292" i="2" s="1"/>
  <c r="R292" i="2" s="1"/>
  <c r="O293" i="2"/>
  <c r="P293" i="2" s="1"/>
  <c r="Q293" i="2" s="1"/>
  <c r="R293" i="2" s="1"/>
  <c r="O294" i="2"/>
  <c r="P294" i="2" s="1"/>
  <c r="Q294" i="2" s="1"/>
  <c r="R294" i="2" s="1"/>
  <c r="O295" i="2"/>
  <c r="P295" i="2" s="1"/>
  <c r="Q295" i="2" s="1"/>
  <c r="R295" i="2" s="1"/>
  <c r="O296" i="2"/>
  <c r="P296" i="2" s="1"/>
  <c r="Q296" i="2" s="1"/>
  <c r="R296" i="2" s="1"/>
  <c r="O297" i="2"/>
  <c r="P297" i="2" s="1"/>
  <c r="Q297" i="2" s="1"/>
  <c r="R297" i="2" s="1"/>
  <c r="O298" i="2"/>
  <c r="P298" i="2" s="1"/>
  <c r="Q298" i="2" s="1"/>
  <c r="O299" i="2"/>
  <c r="P299" i="2" s="1"/>
  <c r="Q299" i="2" s="1"/>
  <c r="R299" i="2" s="1"/>
  <c r="O300" i="2"/>
  <c r="P300" i="2" s="1"/>
  <c r="Q300" i="2" s="1"/>
  <c r="R300" i="2" s="1"/>
  <c r="O301" i="2"/>
  <c r="P301" i="2" s="1"/>
  <c r="Q301" i="2" s="1"/>
  <c r="R301" i="2" s="1"/>
  <c r="O302" i="2"/>
  <c r="P302" i="2" s="1"/>
  <c r="Q302" i="2" s="1"/>
  <c r="R302" i="2" s="1"/>
  <c r="O303" i="2"/>
  <c r="P303" i="2" s="1"/>
  <c r="Q303" i="2" s="1"/>
  <c r="R303" i="2" s="1"/>
  <c r="O304" i="2"/>
  <c r="P304" i="2" s="1"/>
  <c r="Q304" i="2" s="1"/>
  <c r="R304" i="2" s="1"/>
  <c r="O305" i="2"/>
  <c r="P305" i="2" s="1"/>
  <c r="Q305" i="2" s="1"/>
  <c r="R305" i="2" s="1"/>
  <c r="O306" i="2"/>
  <c r="P306" i="2" s="1"/>
  <c r="Q306" i="2" s="1"/>
  <c r="R306" i="2" s="1"/>
  <c r="O307" i="2"/>
  <c r="P307" i="2" s="1"/>
  <c r="Q307" i="2" s="1"/>
  <c r="R307" i="2" s="1"/>
  <c r="O308" i="2"/>
  <c r="P308" i="2" s="1"/>
  <c r="Q308" i="2" s="1"/>
  <c r="R308" i="2" s="1"/>
  <c r="O309" i="2"/>
  <c r="P309" i="2" s="1"/>
  <c r="Q309" i="2" s="1"/>
  <c r="R309" i="2" s="1"/>
  <c r="O310" i="2"/>
  <c r="P310" i="2" s="1"/>
  <c r="Q310" i="2" s="1"/>
  <c r="O311" i="2"/>
  <c r="P311" i="2" s="1"/>
  <c r="Q311" i="2" s="1"/>
  <c r="R311" i="2" s="1"/>
  <c r="O312" i="2"/>
  <c r="P312" i="2" s="1"/>
  <c r="Q312" i="2" s="1"/>
  <c r="R312" i="2" s="1"/>
  <c r="O313" i="2"/>
  <c r="P313" i="2" s="1"/>
  <c r="Q313" i="2" s="1"/>
  <c r="R313" i="2" s="1"/>
  <c r="O314" i="2"/>
  <c r="P314" i="2" s="1"/>
  <c r="Q314" i="2" s="1"/>
  <c r="R314" i="2" s="1"/>
  <c r="O315" i="2"/>
  <c r="P315" i="2" s="1"/>
  <c r="Q315" i="2" s="1"/>
  <c r="R315" i="2" s="1"/>
  <c r="O316" i="2"/>
  <c r="P316" i="2" s="1"/>
  <c r="Q316" i="2" s="1"/>
  <c r="R316" i="2" s="1"/>
  <c r="O317" i="2"/>
  <c r="P317" i="2" s="1"/>
  <c r="Q317" i="2" s="1"/>
  <c r="R317" i="2" s="1"/>
  <c r="O318" i="2"/>
  <c r="P318" i="2" s="1"/>
  <c r="Q318" i="2" s="1"/>
  <c r="R318" i="2" s="1"/>
  <c r="O319" i="2"/>
  <c r="P319" i="2" s="1"/>
  <c r="Q319" i="2" s="1"/>
  <c r="R319" i="2" s="1"/>
  <c r="O320" i="2"/>
  <c r="P320" i="2" s="1"/>
  <c r="Q320" i="2" s="1"/>
  <c r="R320" i="2" s="1"/>
  <c r="O321" i="2"/>
  <c r="P321" i="2" s="1"/>
  <c r="Q321" i="2" s="1"/>
  <c r="R321" i="2" s="1"/>
  <c r="O322" i="2"/>
  <c r="P322" i="2" s="1"/>
  <c r="Q322" i="2" s="1"/>
  <c r="O323" i="2"/>
  <c r="P323" i="2" s="1"/>
  <c r="Q323" i="2" s="1"/>
  <c r="R323" i="2" s="1"/>
  <c r="O324" i="2"/>
  <c r="P324" i="2" s="1"/>
  <c r="Q324" i="2" s="1"/>
  <c r="R324" i="2" s="1"/>
  <c r="O325" i="2"/>
  <c r="P325" i="2" s="1"/>
  <c r="Q325" i="2" s="1"/>
  <c r="R325" i="2" s="1"/>
  <c r="O326" i="2"/>
  <c r="P326" i="2" s="1"/>
  <c r="Q326" i="2" s="1"/>
  <c r="R326" i="2" s="1"/>
  <c r="O327" i="2"/>
  <c r="P327" i="2" s="1"/>
  <c r="Q327" i="2" s="1"/>
  <c r="R327" i="2" s="1"/>
  <c r="O328" i="2"/>
  <c r="P328" i="2" s="1"/>
  <c r="Q328" i="2" s="1"/>
  <c r="R328" i="2" s="1"/>
  <c r="O329" i="2"/>
  <c r="P329" i="2" s="1"/>
  <c r="Q329" i="2" s="1"/>
  <c r="R329" i="2" s="1"/>
  <c r="O330" i="2"/>
  <c r="P330" i="2" s="1"/>
  <c r="Q330" i="2" s="1"/>
  <c r="R330" i="2" s="1"/>
  <c r="O331" i="2"/>
  <c r="P331" i="2" s="1"/>
  <c r="Q331" i="2" s="1"/>
  <c r="R331" i="2" s="1"/>
  <c r="O332" i="2"/>
  <c r="P332" i="2" s="1"/>
  <c r="Q332" i="2" s="1"/>
  <c r="R332" i="2" s="1"/>
  <c r="O333" i="2"/>
  <c r="P333" i="2" s="1"/>
  <c r="Q333" i="2" s="1"/>
  <c r="R333" i="2" s="1"/>
  <c r="O334" i="2"/>
  <c r="P334" i="2" s="1"/>
  <c r="Q334" i="2" s="1"/>
  <c r="O335" i="2"/>
  <c r="P335" i="2" s="1"/>
  <c r="Q335" i="2" s="1"/>
  <c r="R335" i="2" s="1"/>
  <c r="O336" i="2"/>
  <c r="P336" i="2" s="1"/>
  <c r="Q336" i="2" s="1"/>
  <c r="R336" i="2" s="1"/>
  <c r="O337" i="2"/>
  <c r="P337" i="2" s="1"/>
  <c r="Q337" i="2" s="1"/>
  <c r="R337" i="2" s="1"/>
  <c r="O338" i="2"/>
  <c r="P338" i="2" s="1"/>
  <c r="Q338" i="2" s="1"/>
  <c r="R338" i="2" s="1"/>
  <c r="O339" i="2"/>
  <c r="P339" i="2" s="1"/>
  <c r="Q339" i="2" s="1"/>
  <c r="R339" i="2" s="1"/>
  <c r="O340" i="2"/>
  <c r="P340" i="2" s="1"/>
  <c r="Q340" i="2" s="1"/>
  <c r="R340" i="2" s="1"/>
  <c r="O341" i="2"/>
  <c r="P341" i="2" s="1"/>
  <c r="Q341" i="2" s="1"/>
  <c r="R341" i="2" s="1"/>
  <c r="O342" i="2"/>
  <c r="P342" i="2" s="1"/>
  <c r="Q342" i="2" s="1"/>
  <c r="R342" i="2" s="1"/>
  <c r="O343" i="2"/>
  <c r="P343" i="2" s="1"/>
  <c r="Q343" i="2" s="1"/>
  <c r="R343" i="2" s="1"/>
  <c r="O344" i="2"/>
  <c r="P344" i="2" s="1"/>
  <c r="Q344" i="2" s="1"/>
  <c r="R344" i="2" s="1"/>
  <c r="O345" i="2"/>
  <c r="P345" i="2" s="1"/>
  <c r="Q345" i="2" s="1"/>
  <c r="R345" i="2" s="1"/>
  <c r="O346" i="2"/>
  <c r="P346" i="2" s="1"/>
  <c r="Q346" i="2" s="1"/>
  <c r="O347" i="2"/>
  <c r="P347" i="2" s="1"/>
  <c r="Q347" i="2" s="1"/>
  <c r="R347" i="2" s="1"/>
  <c r="O348" i="2"/>
  <c r="P348" i="2" s="1"/>
  <c r="Q348" i="2" s="1"/>
  <c r="R348" i="2" s="1"/>
  <c r="O349" i="2"/>
  <c r="P349" i="2" s="1"/>
  <c r="Q349" i="2" s="1"/>
  <c r="R349" i="2" s="1"/>
  <c r="O350" i="2"/>
  <c r="P350" i="2" s="1"/>
  <c r="Q350" i="2" s="1"/>
  <c r="R350" i="2" s="1"/>
  <c r="O351" i="2"/>
  <c r="P351" i="2" s="1"/>
  <c r="Q351" i="2" s="1"/>
  <c r="R351" i="2" s="1"/>
  <c r="O352" i="2"/>
  <c r="P352" i="2" s="1"/>
  <c r="Q352" i="2" s="1"/>
  <c r="R352" i="2" s="1"/>
  <c r="O353" i="2"/>
  <c r="P353" i="2" s="1"/>
  <c r="Q353" i="2" s="1"/>
  <c r="R353" i="2" s="1"/>
  <c r="O354" i="2"/>
  <c r="P354" i="2" s="1"/>
  <c r="Q354" i="2" s="1"/>
  <c r="R354" i="2" s="1"/>
  <c r="O355" i="2"/>
  <c r="P355" i="2" s="1"/>
  <c r="Q355" i="2" s="1"/>
  <c r="R355" i="2" s="1"/>
  <c r="O356" i="2"/>
  <c r="P356" i="2" s="1"/>
  <c r="Q356" i="2" s="1"/>
  <c r="R356" i="2" s="1"/>
  <c r="O357" i="2"/>
  <c r="P357" i="2" s="1"/>
  <c r="Q357" i="2" s="1"/>
  <c r="R357" i="2" s="1"/>
  <c r="O358" i="2"/>
  <c r="P358" i="2" s="1"/>
  <c r="Q358" i="2" s="1"/>
  <c r="O359" i="2"/>
  <c r="P359" i="2" s="1"/>
  <c r="Q359" i="2" s="1"/>
  <c r="R359" i="2" s="1"/>
  <c r="O360" i="2"/>
  <c r="P360" i="2" s="1"/>
  <c r="Q360" i="2" s="1"/>
  <c r="R360" i="2" s="1"/>
  <c r="O361" i="2"/>
  <c r="P361" i="2" s="1"/>
  <c r="Q361" i="2" s="1"/>
  <c r="R361" i="2" s="1"/>
  <c r="O362" i="2"/>
  <c r="P362" i="2" s="1"/>
  <c r="Q362" i="2" s="1"/>
  <c r="R362" i="2" s="1"/>
  <c r="O363" i="2"/>
  <c r="P363" i="2" s="1"/>
  <c r="Q363" i="2" s="1"/>
  <c r="R363" i="2" s="1"/>
  <c r="O364" i="2"/>
  <c r="P364" i="2" s="1"/>
  <c r="Q364" i="2" s="1"/>
  <c r="R364" i="2" s="1"/>
  <c r="O365" i="2"/>
  <c r="P365" i="2" s="1"/>
  <c r="Q365" i="2" s="1"/>
  <c r="R365" i="2" s="1"/>
  <c r="O366" i="2"/>
  <c r="P366" i="2" s="1"/>
  <c r="Q366" i="2" s="1"/>
  <c r="R366" i="2" s="1"/>
  <c r="O367" i="2"/>
  <c r="P367" i="2" s="1"/>
  <c r="Q367" i="2" s="1"/>
  <c r="R367" i="2" s="1"/>
  <c r="O368" i="2"/>
  <c r="P368" i="2" s="1"/>
  <c r="Q368" i="2" s="1"/>
  <c r="R368" i="2" s="1"/>
  <c r="O369" i="2"/>
  <c r="P369" i="2" s="1"/>
  <c r="Q369" i="2" s="1"/>
  <c r="R369" i="2" s="1"/>
  <c r="O370" i="2"/>
  <c r="P370" i="2" s="1"/>
  <c r="Q370" i="2" s="1"/>
  <c r="O371" i="2"/>
  <c r="P371" i="2" s="1"/>
  <c r="Q371" i="2" s="1"/>
  <c r="R371" i="2" s="1"/>
  <c r="O372" i="2"/>
  <c r="P372" i="2" s="1"/>
  <c r="Q372" i="2" s="1"/>
  <c r="R372" i="2" s="1"/>
  <c r="O373" i="2"/>
  <c r="P373" i="2" s="1"/>
  <c r="Q373" i="2" s="1"/>
  <c r="R373" i="2" s="1"/>
  <c r="O374" i="2"/>
  <c r="P374" i="2" s="1"/>
  <c r="Q374" i="2" s="1"/>
  <c r="R374" i="2" s="1"/>
  <c r="O375" i="2"/>
  <c r="P375" i="2" s="1"/>
  <c r="Q375" i="2" s="1"/>
  <c r="R375" i="2" s="1"/>
  <c r="O376" i="2"/>
  <c r="P376" i="2" s="1"/>
  <c r="Q376" i="2" s="1"/>
  <c r="R376" i="2" s="1"/>
  <c r="O377" i="2"/>
  <c r="P377" i="2" s="1"/>
  <c r="Q377" i="2" s="1"/>
  <c r="R377" i="2" s="1"/>
  <c r="O378" i="2"/>
  <c r="P378" i="2" s="1"/>
  <c r="Q378" i="2" s="1"/>
  <c r="R378" i="2" s="1"/>
  <c r="O379" i="2"/>
  <c r="P379" i="2" s="1"/>
  <c r="Q379" i="2" s="1"/>
  <c r="R379" i="2" s="1"/>
  <c r="O380" i="2"/>
  <c r="P380" i="2" s="1"/>
  <c r="Q380" i="2" s="1"/>
  <c r="R380" i="2" s="1"/>
  <c r="O381" i="2"/>
  <c r="P381" i="2" s="1"/>
  <c r="Q381" i="2" s="1"/>
  <c r="R381" i="2" s="1"/>
  <c r="O382" i="2"/>
  <c r="P382" i="2" s="1"/>
  <c r="Q382" i="2" s="1"/>
  <c r="O383" i="2"/>
  <c r="P383" i="2" s="1"/>
  <c r="Q383" i="2" s="1"/>
  <c r="R383" i="2" s="1"/>
  <c r="O384" i="2"/>
  <c r="P384" i="2" s="1"/>
  <c r="Q384" i="2" s="1"/>
  <c r="R384" i="2" s="1"/>
  <c r="O385" i="2"/>
  <c r="P385" i="2" s="1"/>
  <c r="Q385" i="2" s="1"/>
  <c r="R385" i="2" s="1"/>
  <c r="O386" i="2"/>
  <c r="P386" i="2" s="1"/>
  <c r="Q386" i="2" s="1"/>
  <c r="R386" i="2" s="1"/>
  <c r="O387" i="2"/>
  <c r="P387" i="2" s="1"/>
  <c r="Q387" i="2" s="1"/>
  <c r="R387" i="2" s="1"/>
  <c r="O388" i="2"/>
  <c r="P388" i="2" s="1"/>
  <c r="Q388" i="2" s="1"/>
  <c r="R388" i="2" s="1"/>
  <c r="O389" i="2"/>
  <c r="P389" i="2" s="1"/>
  <c r="Q389" i="2" s="1"/>
  <c r="R389" i="2" s="1"/>
  <c r="O390" i="2"/>
  <c r="P390" i="2" s="1"/>
  <c r="Q390" i="2" s="1"/>
  <c r="R390" i="2" s="1"/>
  <c r="O391" i="2"/>
  <c r="P391" i="2" s="1"/>
  <c r="Q391" i="2" s="1"/>
  <c r="R391" i="2" s="1"/>
  <c r="O392" i="2"/>
  <c r="P392" i="2" s="1"/>
  <c r="Q392" i="2" s="1"/>
  <c r="R392" i="2" s="1"/>
  <c r="O393" i="2"/>
  <c r="P393" i="2" s="1"/>
  <c r="Q393" i="2" s="1"/>
  <c r="R393" i="2" s="1"/>
  <c r="O394" i="2"/>
  <c r="P394" i="2" s="1"/>
  <c r="Q394" i="2" s="1"/>
  <c r="O395" i="2"/>
  <c r="P395" i="2" s="1"/>
  <c r="Q395" i="2" s="1"/>
  <c r="R395" i="2" s="1"/>
  <c r="O396" i="2"/>
  <c r="P396" i="2" s="1"/>
  <c r="Q396" i="2" s="1"/>
  <c r="R396" i="2" s="1"/>
  <c r="O397" i="2"/>
  <c r="P397" i="2" s="1"/>
  <c r="Q397" i="2" s="1"/>
  <c r="R397" i="2" s="1"/>
  <c r="O398" i="2"/>
  <c r="P398" i="2" s="1"/>
  <c r="Q398" i="2" s="1"/>
  <c r="R398" i="2" s="1"/>
  <c r="O399" i="2"/>
  <c r="P399" i="2" s="1"/>
  <c r="Q399" i="2" s="1"/>
  <c r="R399" i="2" s="1"/>
  <c r="O400" i="2"/>
  <c r="P400" i="2" s="1"/>
  <c r="Q400" i="2" s="1"/>
  <c r="R400" i="2" s="1"/>
  <c r="O401" i="2"/>
  <c r="P401" i="2" s="1"/>
  <c r="Q401" i="2" s="1"/>
  <c r="R401" i="2" s="1"/>
  <c r="O402" i="2"/>
  <c r="P402" i="2" s="1"/>
  <c r="Q402" i="2" s="1"/>
  <c r="R402" i="2" s="1"/>
  <c r="O403" i="2"/>
  <c r="P403" i="2" s="1"/>
  <c r="Q403" i="2" s="1"/>
  <c r="R403" i="2" s="1"/>
  <c r="O404" i="2"/>
  <c r="P404" i="2" s="1"/>
  <c r="Q404" i="2" s="1"/>
  <c r="R404" i="2" s="1"/>
  <c r="O405" i="2"/>
  <c r="P405" i="2" s="1"/>
  <c r="Q405" i="2" s="1"/>
  <c r="R405" i="2" s="1"/>
  <c r="O406" i="2"/>
  <c r="P406" i="2" s="1"/>
  <c r="Q406" i="2" s="1"/>
  <c r="O407" i="2"/>
  <c r="P407" i="2" s="1"/>
  <c r="Q407" i="2" s="1"/>
  <c r="R407" i="2" s="1"/>
  <c r="O408" i="2"/>
  <c r="P408" i="2" s="1"/>
  <c r="Q408" i="2" s="1"/>
  <c r="R408" i="2" s="1"/>
  <c r="O409" i="2"/>
  <c r="P409" i="2" s="1"/>
  <c r="Q409" i="2" s="1"/>
  <c r="R409" i="2" s="1"/>
  <c r="O410" i="2"/>
  <c r="P410" i="2" s="1"/>
  <c r="Q410" i="2" s="1"/>
  <c r="R410" i="2" s="1"/>
  <c r="O411" i="2"/>
  <c r="P411" i="2" s="1"/>
  <c r="Q411" i="2" s="1"/>
  <c r="R411" i="2" s="1"/>
  <c r="O412" i="2"/>
  <c r="P412" i="2" s="1"/>
  <c r="Q412" i="2" s="1"/>
  <c r="R412" i="2" s="1"/>
  <c r="O413" i="2"/>
  <c r="P413" i="2" s="1"/>
  <c r="Q413" i="2" s="1"/>
  <c r="R413" i="2" s="1"/>
  <c r="O414" i="2"/>
  <c r="P414" i="2" s="1"/>
  <c r="Q414" i="2" s="1"/>
  <c r="R414" i="2" s="1"/>
  <c r="O415" i="2"/>
  <c r="P415" i="2" s="1"/>
  <c r="Q415" i="2" s="1"/>
  <c r="R415" i="2" s="1"/>
  <c r="O416" i="2"/>
  <c r="P416" i="2" s="1"/>
  <c r="Q416" i="2" s="1"/>
  <c r="R416" i="2" s="1"/>
  <c r="O417" i="2"/>
  <c r="P417" i="2" s="1"/>
  <c r="Q417" i="2" s="1"/>
  <c r="R417" i="2" s="1"/>
  <c r="O418" i="2"/>
  <c r="P418" i="2" s="1"/>
  <c r="Q418" i="2" s="1"/>
  <c r="O419" i="2"/>
  <c r="P419" i="2" s="1"/>
  <c r="Q419" i="2" s="1"/>
  <c r="R419" i="2" s="1"/>
  <c r="O420" i="2"/>
  <c r="P420" i="2" s="1"/>
  <c r="Q420" i="2" s="1"/>
  <c r="R420" i="2" s="1"/>
  <c r="O421" i="2"/>
  <c r="P421" i="2" s="1"/>
  <c r="Q421" i="2" s="1"/>
  <c r="R421" i="2" s="1"/>
  <c r="O422" i="2"/>
  <c r="P422" i="2" s="1"/>
  <c r="Q422" i="2" s="1"/>
  <c r="R422" i="2" s="1"/>
  <c r="O423" i="2"/>
  <c r="P423" i="2" s="1"/>
  <c r="Q423" i="2" s="1"/>
  <c r="R423" i="2" s="1"/>
  <c r="O424" i="2"/>
  <c r="P424" i="2" s="1"/>
  <c r="Q424" i="2" s="1"/>
  <c r="R424" i="2" s="1"/>
  <c r="O425" i="2"/>
  <c r="P425" i="2" s="1"/>
  <c r="Q425" i="2" s="1"/>
  <c r="R425" i="2" s="1"/>
  <c r="O426" i="2"/>
  <c r="P426" i="2" s="1"/>
  <c r="Q426" i="2" s="1"/>
  <c r="R426" i="2" s="1"/>
  <c r="O427" i="2"/>
  <c r="P427" i="2" s="1"/>
  <c r="Q427" i="2" s="1"/>
  <c r="R427" i="2" s="1"/>
  <c r="O428" i="2"/>
  <c r="P428" i="2" s="1"/>
  <c r="Q428" i="2" s="1"/>
  <c r="R428" i="2" s="1"/>
  <c r="O429" i="2"/>
  <c r="P429" i="2" s="1"/>
  <c r="Q429" i="2" s="1"/>
  <c r="R429" i="2" s="1"/>
  <c r="O430" i="2"/>
  <c r="P430" i="2" s="1"/>
  <c r="Q430" i="2" s="1"/>
  <c r="O431" i="2"/>
  <c r="P431" i="2" s="1"/>
  <c r="Q431" i="2" s="1"/>
  <c r="R431" i="2" s="1"/>
  <c r="O432" i="2"/>
  <c r="P432" i="2" s="1"/>
  <c r="Q432" i="2" s="1"/>
  <c r="R432" i="2" s="1"/>
  <c r="O433" i="2"/>
  <c r="P433" i="2" s="1"/>
  <c r="Q433" i="2" s="1"/>
  <c r="R433" i="2" s="1"/>
  <c r="O434" i="2"/>
  <c r="P434" i="2" s="1"/>
  <c r="Q434" i="2" s="1"/>
  <c r="R434" i="2" s="1"/>
  <c r="O435" i="2"/>
  <c r="P435" i="2" s="1"/>
  <c r="Q435" i="2" s="1"/>
  <c r="R435" i="2" s="1"/>
  <c r="O436" i="2"/>
  <c r="P436" i="2" s="1"/>
  <c r="Q436" i="2" s="1"/>
  <c r="R436" i="2" s="1"/>
  <c r="O437" i="2"/>
  <c r="P437" i="2" s="1"/>
  <c r="Q437" i="2" s="1"/>
  <c r="R437" i="2" s="1"/>
  <c r="O438" i="2"/>
  <c r="P438" i="2" s="1"/>
  <c r="Q438" i="2" s="1"/>
  <c r="R438" i="2" s="1"/>
  <c r="O439" i="2"/>
  <c r="P439" i="2" s="1"/>
  <c r="Q439" i="2" s="1"/>
  <c r="R439" i="2" s="1"/>
  <c r="O440" i="2"/>
  <c r="P440" i="2" s="1"/>
  <c r="Q440" i="2" s="1"/>
  <c r="R440" i="2" s="1"/>
  <c r="O441" i="2"/>
  <c r="P441" i="2" s="1"/>
  <c r="Q441" i="2" s="1"/>
  <c r="R441" i="2" s="1"/>
  <c r="O442" i="2"/>
  <c r="P442" i="2" s="1"/>
  <c r="Q442" i="2" s="1"/>
  <c r="O443" i="2"/>
  <c r="P443" i="2" s="1"/>
  <c r="Q443" i="2" s="1"/>
  <c r="R443" i="2" s="1"/>
  <c r="O444" i="2"/>
  <c r="P444" i="2" s="1"/>
  <c r="Q444" i="2" s="1"/>
  <c r="R444" i="2" s="1"/>
  <c r="O445" i="2"/>
  <c r="P445" i="2" s="1"/>
  <c r="Q445" i="2" s="1"/>
  <c r="R445" i="2" s="1"/>
  <c r="O446" i="2"/>
  <c r="P446" i="2" s="1"/>
  <c r="Q446" i="2" s="1"/>
  <c r="R446" i="2" s="1"/>
  <c r="O447" i="2"/>
  <c r="P447" i="2" s="1"/>
  <c r="Q447" i="2" s="1"/>
  <c r="R447" i="2" s="1"/>
  <c r="O448" i="2"/>
  <c r="P448" i="2" s="1"/>
  <c r="Q448" i="2" s="1"/>
  <c r="R448" i="2" s="1"/>
  <c r="O449" i="2"/>
  <c r="P449" i="2" s="1"/>
  <c r="Q449" i="2" s="1"/>
  <c r="R449" i="2" s="1"/>
  <c r="O450" i="2"/>
  <c r="P450" i="2" s="1"/>
  <c r="Q450" i="2" s="1"/>
  <c r="R450" i="2" s="1"/>
  <c r="O451" i="2"/>
  <c r="P451" i="2" s="1"/>
  <c r="Q451" i="2" s="1"/>
  <c r="R451" i="2" s="1"/>
  <c r="O452" i="2"/>
  <c r="P452" i="2" s="1"/>
  <c r="Q452" i="2" s="1"/>
  <c r="R452" i="2" s="1"/>
  <c r="O453" i="2"/>
  <c r="P453" i="2" s="1"/>
  <c r="Q453" i="2" s="1"/>
  <c r="R453" i="2" s="1"/>
  <c r="O454" i="2"/>
  <c r="P454" i="2" s="1"/>
  <c r="Q454" i="2" s="1"/>
  <c r="O455" i="2"/>
  <c r="P455" i="2" s="1"/>
  <c r="Q455" i="2" s="1"/>
  <c r="R455" i="2" s="1"/>
  <c r="O456" i="2"/>
  <c r="P456" i="2" s="1"/>
  <c r="Q456" i="2" s="1"/>
  <c r="R456" i="2" s="1"/>
  <c r="O457" i="2"/>
  <c r="P457" i="2" s="1"/>
  <c r="Q457" i="2" s="1"/>
  <c r="R457" i="2" s="1"/>
  <c r="O458" i="2"/>
  <c r="P458" i="2" s="1"/>
  <c r="Q458" i="2" s="1"/>
  <c r="R458" i="2" s="1"/>
  <c r="O459" i="2"/>
  <c r="P459" i="2" s="1"/>
  <c r="Q459" i="2" s="1"/>
  <c r="R459" i="2" s="1"/>
  <c r="O460" i="2"/>
  <c r="P460" i="2" s="1"/>
  <c r="Q460" i="2" s="1"/>
  <c r="R460" i="2" s="1"/>
  <c r="O461" i="2"/>
  <c r="P461" i="2" s="1"/>
  <c r="Q461" i="2" s="1"/>
  <c r="R461" i="2" s="1"/>
  <c r="O462" i="2"/>
  <c r="P462" i="2" s="1"/>
  <c r="Q462" i="2" s="1"/>
  <c r="R462" i="2" s="1"/>
  <c r="O463" i="2"/>
  <c r="P463" i="2" s="1"/>
  <c r="Q463" i="2" s="1"/>
  <c r="R463" i="2" s="1"/>
  <c r="O464" i="2"/>
  <c r="P464" i="2" s="1"/>
  <c r="Q464" i="2" s="1"/>
  <c r="R464" i="2" s="1"/>
  <c r="O465" i="2"/>
  <c r="P465" i="2" s="1"/>
  <c r="Q465" i="2" s="1"/>
  <c r="R465" i="2" s="1"/>
  <c r="O466" i="2"/>
  <c r="P466" i="2" s="1"/>
  <c r="Q466" i="2" s="1"/>
  <c r="O467" i="2"/>
  <c r="P467" i="2" s="1"/>
  <c r="Q467" i="2" s="1"/>
  <c r="R467" i="2" s="1"/>
  <c r="O468" i="2"/>
  <c r="P468" i="2" s="1"/>
  <c r="Q468" i="2" s="1"/>
  <c r="R468" i="2" s="1"/>
  <c r="O469" i="2"/>
  <c r="P469" i="2" s="1"/>
  <c r="Q469" i="2" s="1"/>
  <c r="R469" i="2" s="1"/>
  <c r="O470" i="2"/>
  <c r="P470" i="2" s="1"/>
  <c r="Q470" i="2" s="1"/>
  <c r="R470" i="2" s="1"/>
  <c r="O471" i="2"/>
  <c r="P471" i="2" s="1"/>
  <c r="Q471" i="2" s="1"/>
  <c r="R471" i="2" s="1"/>
  <c r="O472" i="2"/>
  <c r="P472" i="2" s="1"/>
  <c r="Q472" i="2" s="1"/>
  <c r="R472" i="2" s="1"/>
  <c r="O473" i="2"/>
  <c r="P473" i="2" s="1"/>
  <c r="Q473" i="2" s="1"/>
  <c r="R473" i="2" s="1"/>
  <c r="O474" i="2"/>
  <c r="P474" i="2" s="1"/>
  <c r="Q474" i="2" s="1"/>
  <c r="R474" i="2" s="1"/>
  <c r="O475" i="2"/>
  <c r="P475" i="2" s="1"/>
  <c r="Q475" i="2" s="1"/>
  <c r="R475" i="2" s="1"/>
  <c r="O476" i="2"/>
  <c r="P476" i="2" s="1"/>
  <c r="Q476" i="2" s="1"/>
  <c r="R476" i="2" s="1"/>
  <c r="O477" i="2"/>
  <c r="P477" i="2" s="1"/>
  <c r="Q477" i="2" s="1"/>
  <c r="R477" i="2" s="1"/>
  <c r="O478" i="2"/>
  <c r="P478" i="2" s="1"/>
  <c r="Q478" i="2" s="1"/>
  <c r="O479" i="2"/>
  <c r="P479" i="2" s="1"/>
  <c r="Q479" i="2" s="1"/>
  <c r="R479" i="2" s="1"/>
  <c r="O480" i="2"/>
  <c r="P480" i="2" s="1"/>
  <c r="Q480" i="2" s="1"/>
  <c r="R480" i="2" s="1"/>
  <c r="O481" i="2"/>
  <c r="P481" i="2" s="1"/>
  <c r="Q481" i="2" s="1"/>
  <c r="R481" i="2" s="1"/>
  <c r="O482" i="2"/>
  <c r="P482" i="2" s="1"/>
  <c r="Q482" i="2" s="1"/>
  <c r="R482" i="2" s="1"/>
  <c r="O483" i="2"/>
  <c r="P483" i="2" s="1"/>
  <c r="Q483" i="2" s="1"/>
  <c r="R483" i="2" s="1"/>
  <c r="O484" i="2"/>
  <c r="P484" i="2" s="1"/>
  <c r="Q484" i="2" s="1"/>
  <c r="R484" i="2" s="1"/>
  <c r="O485" i="2"/>
  <c r="P485" i="2" s="1"/>
  <c r="Q485" i="2" s="1"/>
  <c r="R485" i="2" s="1"/>
  <c r="O486" i="2"/>
  <c r="P486" i="2" s="1"/>
  <c r="Q486" i="2" s="1"/>
  <c r="R486" i="2" s="1"/>
  <c r="O487" i="2"/>
  <c r="P487" i="2" s="1"/>
  <c r="Q487" i="2" s="1"/>
  <c r="R487" i="2" s="1"/>
  <c r="O488" i="2"/>
  <c r="P488" i="2" s="1"/>
  <c r="Q488" i="2" s="1"/>
  <c r="R488" i="2" s="1"/>
  <c r="O489" i="2"/>
  <c r="P489" i="2" s="1"/>
  <c r="Q489" i="2" s="1"/>
  <c r="R489" i="2" s="1"/>
  <c r="O490" i="2"/>
  <c r="P490" i="2" s="1"/>
  <c r="Q490" i="2" s="1"/>
  <c r="O491" i="2"/>
  <c r="P491" i="2" s="1"/>
  <c r="Q491" i="2" s="1"/>
  <c r="R491" i="2" s="1"/>
  <c r="O492" i="2"/>
  <c r="P492" i="2" s="1"/>
  <c r="Q492" i="2" s="1"/>
  <c r="R492" i="2" s="1"/>
  <c r="O493" i="2"/>
  <c r="P493" i="2" s="1"/>
  <c r="Q493" i="2" s="1"/>
  <c r="R493" i="2" s="1"/>
  <c r="O494" i="2"/>
  <c r="P494" i="2" s="1"/>
  <c r="Q494" i="2" s="1"/>
  <c r="R494" i="2" s="1"/>
  <c r="O495" i="2"/>
  <c r="P495" i="2" s="1"/>
  <c r="Q495" i="2" s="1"/>
  <c r="R495" i="2" s="1"/>
  <c r="O496" i="2"/>
  <c r="P496" i="2" s="1"/>
  <c r="Q496" i="2" s="1"/>
  <c r="R496" i="2" s="1"/>
  <c r="O497" i="2"/>
  <c r="P497" i="2" s="1"/>
  <c r="Q497" i="2" s="1"/>
  <c r="R497" i="2" s="1"/>
  <c r="O498" i="2"/>
  <c r="P498" i="2" s="1"/>
  <c r="Q498" i="2" s="1"/>
  <c r="R498" i="2" s="1"/>
  <c r="O499" i="2"/>
  <c r="P499" i="2" s="1"/>
  <c r="Q499" i="2" s="1"/>
  <c r="R499" i="2" s="1"/>
  <c r="O500" i="2"/>
  <c r="P500" i="2" s="1"/>
  <c r="Q500" i="2" s="1"/>
  <c r="R500" i="2" s="1"/>
  <c r="O501" i="2"/>
  <c r="P501" i="2" s="1"/>
  <c r="Q501" i="2" s="1"/>
  <c r="R501" i="2" s="1"/>
  <c r="O502" i="2"/>
  <c r="P502" i="2" s="1"/>
  <c r="Q502" i="2" s="1"/>
  <c r="O503" i="2"/>
  <c r="P503" i="2" s="1"/>
  <c r="Q503" i="2" s="1"/>
  <c r="R503" i="2" s="1"/>
  <c r="O504" i="2"/>
  <c r="P504" i="2" s="1"/>
  <c r="Q504" i="2" s="1"/>
  <c r="R504" i="2" s="1"/>
  <c r="O505" i="2"/>
  <c r="P505" i="2" s="1"/>
  <c r="Q505" i="2" s="1"/>
  <c r="R505" i="2" s="1"/>
  <c r="O506" i="2"/>
  <c r="P506" i="2" s="1"/>
  <c r="Q506" i="2" s="1"/>
  <c r="R506" i="2" s="1"/>
  <c r="O507" i="2"/>
  <c r="P507" i="2" s="1"/>
  <c r="Q507" i="2" s="1"/>
  <c r="R507" i="2" s="1"/>
  <c r="O508" i="2"/>
  <c r="P508" i="2" s="1"/>
  <c r="Q508" i="2" s="1"/>
  <c r="R508" i="2" s="1"/>
  <c r="O509" i="2"/>
  <c r="P509" i="2" s="1"/>
  <c r="Q509" i="2" s="1"/>
  <c r="R509" i="2" s="1"/>
  <c r="O510" i="2"/>
  <c r="P510" i="2" s="1"/>
  <c r="Q510" i="2" s="1"/>
  <c r="R510" i="2" s="1"/>
  <c r="O511" i="2"/>
  <c r="P511" i="2" s="1"/>
  <c r="Q511" i="2" s="1"/>
  <c r="R511" i="2" s="1"/>
  <c r="O512" i="2"/>
  <c r="P512" i="2" s="1"/>
  <c r="Q512" i="2" s="1"/>
  <c r="R512" i="2" s="1"/>
  <c r="O513" i="2"/>
  <c r="P513" i="2" s="1"/>
  <c r="Q513" i="2" s="1"/>
  <c r="R513" i="2" s="1"/>
  <c r="O514" i="2"/>
  <c r="P514" i="2" s="1"/>
  <c r="Q514" i="2" s="1"/>
  <c r="O515" i="2"/>
  <c r="P515" i="2" s="1"/>
  <c r="Q515" i="2" s="1"/>
  <c r="R515" i="2" s="1"/>
  <c r="O516" i="2"/>
  <c r="P516" i="2" s="1"/>
  <c r="Q516" i="2" s="1"/>
  <c r="R516" i="2" s="1"/>
  <c r="O517" i="2"/>
  <c r="P517" i="2" s="1"/>
  <c r="Q517" i="2" s="1"/>
  <c r="R517" i="2" s="1"/>
  <c r="O518" i="2"/>
  <c r="P518" i="2" s="1"/>
  <c r="Q518" i="2" s="1"/>
  <c r="R518" i="2" s="1"/>
  <c r="O519" i="2"/>
  <c r="P519" i="2" s="1"/>
  <c r="Q519" i="2" s="1"/>
  <c r="R519" i="2" s="1"/>
  <c r="O520" i="2"/>
  <c r="P520" i="2" s="1"/>
  <c r="Q520" i="2" s="1"/>
  <c r="R520" i="2" s="1"/>
  <c r="O521" i="2"/>
  <c r="P521" i="2" s="1"/>
  <c r="Q521" i="2" s="1"/>
  <c r="R521" i="2" s="1"/>
  <c r="O522" i="2"/>
  <c r="P522" i="2" s="1"/>
  <c r="Q522" i="2" s="1"/>
  <c r="R522" i="2" s="1"/>
  <c r="O523" i="2"/>
  <c r="P523" i="2" s="1"/>
  <c r="Q523" i="2" s="1"/>
  <c r="R523" i="2" s="1"/>
  <c r="O524" i="2"/>
  <c r="P524" i="2" s="1"/>
  <c r="Q524" i="2" s="1"/>
  <c r="R524" i="2" s="1"/>
  <c r="O525" i="2"/>
  <c r="P525" i="2" s="1"/>
  <c r="Q525" i="2" s="1"/>
  <c r="R525" i="2" s="1"/>
  <c r="O526" i="2"/>
  <c r="P526" i="2" s="1"/>
  <c r="Q526" i="2" s="1"/>
  <c r="O527" i="2"/>
  <c r="P527" i="2" s="1"/>
  <c r="Q527" i="2" s="1"/>
  <c r="R527" i="2" s="1"/>
  <c r="O528" i="2"/>
  <c r="P528" i="2" s="1"/>
  <c r="Q528" i="2" s="1"/>
  <c r="R528" i="2" s="1"/>
  <c r="O529" i="2"/>
  <c r="P529" i="2" s="1"/>
  <c r="Q529" i="2" s="1"/>
  <c r="R529" i="2" s="1"/>
  <c r="O530" i="2"/>
  <c r="P530" i="2" s="1"/>
  <c r="Q530" i="2" s="1"/>
  <c r="R530" i="2" s="1"/>
  <c r="O531" i="2"/>
  <c r="P531" i="2" s="1"/>
  <c r="Q531" i="2" s="1"/>
  <c r="R531" i="2" s="1"/>
  <c r="O532" i="2"/>
  <c r="P532" i="2" s="1"/>
  <c r="Q532" i="2" s="1"/>
  <c r="R532" i="2" s="1"/>
  <c r="O533" i="2"/>
  <c r="P533" i="2" s="1"/>
  <c r="Q533" i="2" s="1"/>
  <c r="R533" i="2" s="1"/>
  <c r="O534" i="2"/>
  <c r="P534" i="2" s="1"/>
  <c r="Q534" i="2" s="1"/>
  <c r="R534" i="2" s="1"/>
  <c r="O535" i="2"/>
  <c r="P535" i="2" s="1"/>
  <c r="Q535" i="2" s="1"/>
  <c r="R535" i="2" s="1"/>
  <c r="O536" i="2"/>
  <c r="P536" i="2" s="1"/>
  <c r="Q536" i="2" s="1"/>
  <c r="R536" i="2" s="1"/>
  <c r="O537" i="2"/>
  <c r="P537" i="2" s="1"/>
  <c r="Q537" i="2" s="1"/>
  <c r="R537" i="2" s="1"/>
  <c r="O538" i="2"/>
  <c r="P538" i="2" s="1"/>
  <c r="Q538" i="2" s="1"/>
  <c r="O539" i="2"/>
  <c r="P539" i="2" s="1"/>
  <c r="Q539" i="2" s="1"/>
  <c r="R539" i="2" s="1"/>
  <c r="O540" i="2"/>
  <c r="P540" i="2" s="1"/>
  <c r="Q540" i="2" s="1"/>
  <c r="R540" i="2" s="1"/>
  <c r="O541" i="2"/>
  <c r="P541" i="2" s="1"/>
  <c r="Q541" i="2" s="1"/>
  <c r="R541" i="2" s="1"/>
  <c r="O542" i="2"/>
  <c r="P542" i="2" s="1"/>
  <c r="Q542" i="2" s="1"/>
  <c r="R542" i="2" s="1"/>
  <c r="O543" i="2"/>
  <c r="P543" i="2" s="1"/>
  <c r="Q543" i="2" s="1"/>
  <c r="R543" i="2" s="1"/>
  <c r="O544" i="2"/>
  <c r="P544" i="2" s="1"/>
  <c r="Q544" i="2" s="1"/>
  <c r="R544" i="2" s="1"/>
  <c r="O545" i="2"/>
  <c r="P545" i="2" s="1"/>
  <c r="Q545" i="2" s="1"/>
  <c r="R545" i="2" s="1"/>
  <c r="O546" i="2"/>
  <c r="P546" i="2" s="1"/>
  <c r="Q546" i="2" s="1"/>
  <c r="R546" i="2" s="1"/>
  <c r="O547" i="2"/>
  <c r="P547" i="2" s="1"/>
  <c r="Q547" i="2" s="1"/>
  <c r="R547" i="2" s="1"/>
  <c r="O548" i="2"/>
  <c r="P548" i="2" s="1"/>
  <c r="Q548" i="2" s="1"/>
  <c r="R548" i="2" s="1"/>
  <c r="O549" i="2"/>
  <c r="P549" i="2" s="1"/>
  <c r="Q549" i="2" s="1"/>
  <c r="R549" i="2" s="1"/>
  <c r="O550" i="2"/>
  <c r="P550" i="2" s="1"/>
  <c r="Q550" i="2" s="1"/>
  <c r="O551" i="2"/>
  <c r="P551" i="2" s="1"/>
  <c r="Q551" i="2" s="1"/>
  <c r="R551" i="2" s="1"/>
  <c r="O552" i="2"/>
  <c r="P552" i="2" s="1"/>
  <c r="Q552" i="2" s="1"/>
  <c r="R552" i="2" s="1"/>
  <c r="O553" i="2"/>
  <c r="P553" i="2" s="1"/>
  <c r="Q553" i="2" s="1"/>
  <c r="R553" i="2" s="1"/>
  <c r="O554" i="2"/>
  <c r="P554" i="2" s="1"/>
  <c r="Q554" i="2" s="1"/>
  <c r="R554" i="2" s="1"/>
  <c r="O555" i="2"/>
  <c r="P555" i="2" s="1"/>
  <c r="Q555" i="2" s="1"/>
  <c r="R555" i="2" s="1"/>
  <c r="O556" i="2"/>
  <c r="P556" i="2" s="1"/>
  <c r="Q556" i="2" s="1"/>
  <c r="R556" i="2" s="1"/>
  <c r="O557" i="2"/>
  <c r="P557" i="2" s="1"/>
  <c r="Q557" i="2" s="1"/>
  <c r="R557" i="2" s="1"/>
  <c r="O558" i="2"/>
  <c r="P558" i="2" s="1"/>
  <c r="Q558" i="2" s="1"/>
  <c r="R558" i="2" s="1"/>
  <c r="O559" i="2"/>
  <c r="P559" i="2" s="1"/>
  <c r="Q559" i="2" s="1"/>
  <c r="R559" i="2" s="1"/>
  <c r="O560" i="2"/>
  <c r="P560" i="2" s="1"/>
  <c r="Q560" i="2" s="1"/>
  <c r="R560" i="2" s="1"/>
  <c r="O561" i="2"/>
  <c r="P561" i="2" s="1"/>
  <c r="Q561" i="2" s="1"/>
  <c r="R561" i="2" s="1"/>
  <c r="O562" i="2"/>
  <c r="P562" i="2" s="1"/>
  <c r="Q562" i="2" s="1"/>
  <c r="O563" i="2"/>
  <c r="P563" i="2" s="1"/>
  <c r="Q563" i="2" s="1"/>
  <c r="R563" i="2" s="1"/>
  <c r="O564" i="2"/>
  <c r="P564" i="2" s="1"/>
  <c r="Q564" i="2" s="1"/>
  <c r="R564" i="2" s="1"/>
  <c r="O565" i="2"/>
  <c r="P565" i="2" s="1"/>
  <c r="Q565" i="2" s="1"/>
  <c r="R565" i="2" s="1"/>
  <c r="O566" i="2"/>
  <c r="P566" i="2" s="1"/>
  <c r="Q566" i="2" s="1"/>
  <c r="R566" i="2" s="1"/>
  <c r="O567" i="2"/>
  <c r="P567" i="2" s="1"/>
  <c r="Q567" i="2" s="1"/>
  <c r="R567" i="2" s="1"/>
  <c r="O568" i="2"/>
  <c r="P568" i="2" s="1"/>
  <c r="Q568" i="2" s="1"/>
  <c r="R568" i="2" s="1"/>
  <c r="O569" i="2"/>
  <c r="P569" i="2" s="1"/>
  <c r="Q569" i="2" s="1"/>
  <c r="R569" i="2" s="1"/>
  <c r="O570" i="2"/>
  <c r="P570" i="2" s="1"/>
  <c r="Q570" i="2" s="1"/>
  <c r="R570" i="2" s="1"/>
  <c r="O571" i="2"/>
  <c r="P571" i="2" s="1"/>
  <c r="Q571" i="2" s="1"/>
  <c r="R571" i="2" s="1"/>
  <c r="O572" i="2"/>
  <c r="P572" i="2" s="1"/>
  <c r="Q572" i="2" s="1"/>
  <c r="R572" i="2" s="1"/>
  <c r="O573" i="2"/>
  <c r="P573" i="2" s="1"/>
  <c r="Q573" i="2" s="1"/>
  <c r="R573" i="2" s="1"/>
  <c r="O574" i="2"/>
  <c r="P574" i="2" s="1"/>
  <c r="Q574" i="2" s="1"/>
  <c r="O575" i="2"/>
  <c r="P575" i="2" s="1"/>
  <c r="Q575" i="2" s="1"/>
  <c r="R575" i="2" s="1"/>
  <c r="O576" i="2"/>
  <c r="P576" i="2" s="1"/>
  <c r="Q576" i="2" s="1"/>
  <c r="R576" i="2" s="1"/>
  <c r="O577" i="2"/>
  <c r="P577" i="2" s="1"/>
  <c r="Q577" i="2" s="1"/>
  <c r="R577" i="2" s="1"/>
  <c r="O578" i="2"/>
  <c r="P578" i="2" s="1"/>
  <c r="Q578" i="2" s="1"/>
  <c r="R578" i="2" s="1"/>
  <c r="O579" i="2"/>
  <c r="P579" i="2" s="1"/>
  <c r="Q579" i="2" s="1"/>
  <c r="R579" i="2" s="1"/>
  <c r="O580" i="2"/>
  <c r="P580" i="2" s="1"/>
  <c r="Q580" i="2" s="1"/>
  <c r="R580" i="2" s="1"/>
  <c r="O581" i="2"/>
  <c r="P581" i="2" s="1"/>
  <c r="Q581" i="2" s="1"/>
  <c r="R581" i="2" s="1"/>
  <c r="O582" i="2"/>
  <c r="P582" i="2" s="1"/>
  <c r="Q582" i="2" s="1"/>
  <c r="R582" i="2" s="1"/>
  <c r="O583" i="2"/>
  <c r="P583" i="2" s="1"/>
  <c r="Q583" i="2" s="1"/>
  <c r="R583" i="2" s="1"/>
  <c r="O584" i="2"/>
  <c r="P584" i="2" s="1"/>
  <c r="Q584" i="2" s="1"/>
  <c r="R584" i="2" s="1"/>
  <c r="O585" i="2"/>
  <c r="P585" i="2" s="1"/>
  <c r="Q585" i="2" s="1"/>
  <c r="R585" i="2" s="1"/>
  <c r="O586" i="2"/>
  <c r="P586" i="2" s="1"/>
  <c r="Q586" i="2" s="1"/>
  <c r="O587" i="2"/>
  <c r="P587" i="2" s="1"/>
  <c r="Q587" i="2" s="1"/>
  <c r="R587" i="2" s="1"/>
  <c r="O588" i="2"/>
  <c r="P588" i="2" s="1"/>
  <c r="Q588" i="2" s="1"/>
  <c r="R588" i="2" s="1"/>
  <c r="O589" i="2"/>
  <c r="P589" i="2" s="1"/>
  <c r="Q589" i="2" s="1"/>
  <c r="R589" i="2" s="1"/>
  <c r="O590" i="2"/>
  <c r="P590" i="2" s="1"/>
  <c r="Q590" i="2" s="1"/>
  <c r="R590" i="2" s="1"/>
  <c r="O591" i="2"/>
  <c r="P591" i="2" s="1"/>
  <c r="Q591" i="2" s="1"/>
  <c r="R591" i="2" s="1"/>
  <c r="O592" i="2"/>
  <c r="P592" i="2" s="1"/>
  <c r="Q592" i="2" s="1"/>
  <c r="R592" i="2" s="1"/>
  <c r="O593" i="2"/>
  <c r="P593" i="2" s="1"/>
  <c r="Q593" i="2" s="1"/>
  <c r="R593" i="2" s="1"/>
  <c r="O594" i="2"/>
  <c r="P594" i="2" s="1"/>
  <c r="Q594" i="2" s="1"/>
  <c r="R594" i="2" s="1"/>
  <c r="O595" i="2"/>
  <c r="P595" i="2" s="1"/>
  <c r="Q595" i="2" s="1"/>
  <c r="R595" i="2" s="1"/>
  <c r="O596" i="2"/>
  <c r="P596" i="2" s="1"/>
  <c r="Q596" i="2" s="1"/>
  <c r="R596" i="2" s="1"/>
  <c r="O597" i="2"/>
  <c r="P597" i="2" s="1"/>
  <c r="Q597" i="2" s="1"/>
  <c r="R597" i="2" s="1"/>
  <c r="O598" i="2"/>
  <c r="P598" i="2" s="1"/>
  <c r="Q598" i="2" s="1"/>
  <c r="O599" i="2"/>
  <c r="P599" i="2" s="1"/>
  <c r="Q599" i="2" s="1"/>
  <c r="R599" i="2" s="1"/>
  <c r="O600" i="2"/>
  <c r="P600" i="2" s="1"/>
  <c r="Q600" i="2" s="1"/>
  <c r="R600" i="2" s="1"/>
  <c r="O601" i="2"/>
  <c r="P601" i="2" s="1"/>
  <c r="Q601" i="2" s="1"/>
  <c r="R601" i="2" s="1"/>
  <c r="O602" i="2"/>
  <c r="P602" i="2" s="1"/>
  <c r="Q602" i="2" s="1"/>
  <c r="R602" i="2" s="1"/>
  <c r="O603" i="2"/>
  <c r="P603" i="2" s="1"/>
  <c r="Q603" i="2" s="1"/>
  <c r="R603" i="2" s="1"/>
  <c r="O604" i="2"/>
  <c r="P604" i="2" s="1"/>
  <c r="Q604" i="2" s="1"/>
  <c r="R604" i="2" s="1"/>
  <c r="O605" i="2"/>
  <c r="P605" i="2" s="1"/>
  <c r="Q605" i="2" s="1"/>
  <c r="R605" i="2" s="1"/>
  <c r="O606" i="2"/>
  <c r="P606" i="2" s="1"/>
  <c r="Q606" i="2" s="1"/>
  <c r="R606" i="2" s="1"/>
  <c r="O607" i="2"/>
  <c r="P607" i="2" s="1"/>
  <c r="Q607" i="2" s="1"/>
  <c r="R607" i="2" s="1"/>
  <c r="O608" i="2"/>
  <c r="P608" i="2" s="1"/>
  <c r="Q608" i="2" s="1"/>
  <c r="R608" i="2" s="1"/>
  <c r="O609" i="2"/>
  <c r="P609" i="2" s="1"/>
  <c r="Q609" i="2" s="1"/>
  <c r="R609" i="2" s="1"/>
  <c r="O610" i="2"/>
  <c r="P610" i="2" s="1"/>
  <c r="Q610" i="2" s="1"/>
  <c r="O611" i="2"/>
  <c r="P611" i="2" s="1"/>
  <c r="Q611" i="2" s="1"/>
  <c r="R611" i="2" s="1"/>
  <c r="O612" i="2"/>
  <c r="P612" i="2" s="1"/>
  <c r="Q612" i="2" s="1"/>
  <c r="R612" i="2" s="1"/>
  <c r="O613" i="2"/>
  <c r="P613" i="2" s="1"/>
  <c r="Q613" i="2" s="1"/>
  <c r="R613" i="2" s="1"/>
  <c r="O614" i="2"/>
  <c r="P614" i="2" s="1"/>
  <c r="Q614" i="2" s="1"/>
  <c r="R614" i="2" s="1"/>
  <c r="O615" i="2"/>
  <c r="P615" i="2" s="1"/>
  <c r="Q615" i="2" s="1"/>
  <c r="R615" i="2" s="1"/>
  <c r="O616" i="2"/>
  <c r="P616" i="2" s="1"/>
  <c r="Q616" i="2" s="1"/>
  <c r="R616" i="2" s="1"/>
  <c r="O617" i="2"/>
  <c r="P617" i="2" s="1"/>
  <c r="Q617" i="2" s="1"/>
  <c r="R617" i="2" s="1"/>
  <c r="O618" i="2"/>
  <c r="P618" i="2" s="1"/>
  <c r="Q618" i="2" s="1"/>
  <c r="R618" i="2" s="1"/>
  <c r="O619" i="2"/>
  <c r="P619" i="2" s="1"/>
  <c r="Q619" i="2" s="1"/>
  <c r="R619" i="2" s="1"/>
  <c r="O620" i="2"/>
  <c r="P620" i="2" s="1"/>
  <c r="Q620" i="2" s="1"/>
  <c r="R620" i="2" s="1"/>
  <c r="O621" i="2"/>
  <c r="P621" i="2" s="1"/>
  <c r="Q621" i="2" s="1"/>
  <c r="R621" i="2" s="1"/>
  <c r="O622" i="2"/>
  <c r="P622" i="2" s="1"/>
  <c r="Q622" i="2" s="1"/>
  <c r="O623" i="2"/>
  <c r="P623" i="2" s="1"/>
  <c r="Q623" i="2" s="1"/>
  <c r="R623" i="2" s="1"/>
  <c r="O624" i="2"/>
  <c r="P624" i="2" s="1"/>
  <c r="Q624" i="2" s="1"/>
  <c r="R624" i="2" s="1"/>
  <c r="O625" i="2"/>
  <c r="P625" i="2" s="1"/>
  <c r="Q625" i="2" s="1"/>
  <c r="R625" i="2" s="1"/>
  <c r="O626" i="2"/>
  <c r="P626" i="2" s="1"/>
  <c r="Q626" i="2" s="1"/>
  <c r="R626" i="2" s="1"/>
  <c r="O627" i="2"/>
  <c r="P627" i="2" s="1"/>
  <c r="Q627" i="2" s="1"/>
  <c r="R627" i="2" s="1"/>
  <c r="O628" i="2"/>
  <c r="P628" i="2" s="1"/>
  <c r="Q628" i="2" s="1"/>
  <c r="R628" i="2" s="1"/>
  <c r="O629" i="2"/>
  <c r="P629" i="2" s="1"/>
  <c r="Q629" i="2" s="1"/>
  <c r="R629" i="2" s="1"/>
  <c r="O630" i="2"/>
  <c r="P630" i="2" s="1"/>
  <c r="Q630" i="2" s="1"/>
  <c r="R630" i="2" s="1"/>
  <c r="O631" i="2"/>
  <c r="P631" i="2" s="1"/>
  <c r="Q631" i="2" s="1"/>
  <c r="R631" i="2" s="1"/>
  <c r="O632" i="2"/>
  <c r="P632" i="2" s="1"/>
  <c r="Q632" i="2" s="1"/>
  <c r="R632" i="2" s="1"/>
  <c r="O633" i="2"/>
  <c r="P633" i="2" s="1"/>
  <c r="Q633" i="2" s="1"/>
  <c r="R633" i="2" s="1"/>
  <c r="O634" i="2"/>
  <c r="P634" i="2" s="1"/>
  <c r="Q634" i="2" s="1"/>
  <c r="O635" i="2"/>
  <c r="P635" i="2" s="1"/>
  <c r="Q635" i="2" s="1"/>
  <c r="R635" i="2" s="1"/>
  <c r="O636" i="2"/>
  <c r="P636" i="2" s="1"/>
  <c r="Q636" i="2" s="1"/>
  <c r="R636" i="2" s="1"/>
  <c r="O637" i="2"/>
  <c r="P637" i="2" s="1"/>
  <c r="Q637" i="2" s="1"/>
  <c r="R637" i="2" s="1"/>
  <c r="O638" i="2"/>
  <c r="P638" i="2" s="1"/>
  <c r="Q638" i="2" s="1"/>
  <c r="R638" i="2" s="1"/>
  <c r="O639" i="2"/>
  <c r="P639" i="2" s="1"/>
  <c r="Q639" i="2" s="1"/>
  <c r="R639" i="2" s="1"/>
  <c r="O640" i="2"/>
  <c r="P640" i="2" s="1"/>
  <c r="Q640" i="2" s="1"/>
  <c r="R640" i="2" s="1"/>
  <c r="O641" i="2"/>
  <c r="P641" i="2" s="1"/>
  <c r="Q641" i="2" s="1"/>
  <c r="R641" i="2" s="1"/>
  <c r="O642" i="2"/>
  <c r="P642" i="2" s="1"/>
  <c r="Q642" i="2" s="1"/>
  <c r="R642" i="2" s="1"/>
  <c r="O643" i="2"/>
  <c r="P643" i="2" s="1"/>
  <c r="Q643" i="2" s="1"/>
  <c r="R643" i="2" s="1"/>
  <c r="O644" i="2"/>
  <c r="P644" i="2" s="1"/>
  <c r="Q644" i="2" s="1"/>
  <c r="R644" i="2" s="1"/>
  <c r="O645" i="2"/>
  <c r="P645" i="2" s="1"/>
  <c r="Q645" i="2" s="1"/>
  <c r="R645" i="2" s="1"/>
  <c r="O646" i="2"/>
  <c r="P646" i="2" s="1"/>
  <c r="Q646" i="2" s="1"/>
  <c r="O647" i="2"/>
  <c r="P647" i="2" s="1"/>
  <c r="Q647" i="2" s="1"/>
  <c r="R647" i="2" s="1"/>
  <c r="O648" i="2"/>
  <c r="P648" i="2" s="1"/>
  <c r="Q648" i="2" s="1"/>
  <c r="R648" i="2" s="1"/>
  <c r="O649" i="2"/>
  <c r="P649" i="2" s="1"/>
  <c r="Q649" i="2" s="1"/>
  <c r="R649" i="2" s="1"/>
  <c r="O650" i="2"/>
  <c r="P650" i="2" s="1"/>
  <c r="Q650" i="2" s="1"/>
  <c r="R650" i="2" s="1"/>
  <c r="O651" i="2"/>
  <c r="P651" i="2" s="1"/>
  <c r="Q651" i="2" s="1"/>
  <c r="R651" i="2" s="1"/>
  <c r="O652" i="2"/>
  <c r="P652" i="2" s="1"/>
  <c r="Q652" i="2" s="1"/>
  <c r="R652" i="2" s="1"/>
  <c r="O653" i="2"/>
  <c r="P653" i="2" s="1"/>
  <c r="Q653" i="2" s="1"/>
  <c r="R653" i="2" s="1"/>
  <c r="O654" i="2"/>
  <c r="P654" i="2" s="1"/>
  <c r="Q654" i="2" s="1"/>
  <c r="R654" i="2" s="1"/>
  <c r="O655" i="2"/>
  <c r="P655" i="2" s="1"/>
  <c r="Q655" i="2" s="1"/>
  <c r="R655" i="2" s="1"/>
  <c r="O656" i="2"/>
  <c r="P656" i="2" s="1"/>
  <c r="Q656" i="2" s="1"/>
  <c r="R656" i="2" s="1"/>
  <c r="O657" i="2"/>
  <c r="P657" i="2" s="1"/>
  <c r="Q657" i="2" s="1"/>
  <c r="R657" i="2" s="1"/>
  <c r="O658" i="2"/>
  <c r="P658" i="2" s="1"/>
  <c r="Q658" i="2" s="1"/>
  <c r="O659" i="2"/>
  <c r="P659" i="2" s="1"/>
  <c r="Q659" i="2" s="1"/>
  <c r="R659" i="2" s="1"/>
  <c r="O660" i="2"/>
  <c r="P660" i="2" s="1"/>
  <c r="Q660" i="2" s="1"/>
  <c r="R660" i="2" s="1"/>
  <c r="O661" i="2"/>
  <c r="P661" i="2" s="1"/>
  <c r="Q661" i="2" s="1"/>
  <c r="R661" i="2" s="1"/>
  <c r="O662" i="2"/>
  <c r="P662" i="2" s="1"/>
  <c r="Q662" i="2" s="1"/>
  <c r="R662" i="2" s="1"/>
  <c r="O663" i="2"/>
  <c r="P663" i="2" s="1"/>
  <c r="Q663" i="2" s="1"/>
  <c r="R663" i="2" s="1"/>
  <c r="O664" i="2"/>
  <c r="P664" i="2" s="1"/>
  <c r="Q664" i="2" s="1"/>
  <c r="R664" i="2" s="1"/>
  <c r="O665" i="2"/>
  <c r="P665" i="2" s="1"/>
  <c r="Q665" i="2" s="1"/>
  <c r="R665" i="2" s="1"/>
  <c r="O666" i="2"/>
  <c r="P666" i="2" s="1"/>
  <c r="Q666" i="2" s="1"/>
  <c r="R666" i="2" s="1"/>
  <c r="O667" i="2"/>
  <c r="P667" i="2" s="1"/>
  <c r="Q667" i="2" s="1"/>
  <c r="R667" i="2" s="1"/>
  <c r="O668" i="2"/>
  <c r="P668" i="2" s="1"/>
  <c r="Q668" i="2" s="1"/>
  <c r="R668" i="2" s="1"/>
  <c r="O669" i="2"/>
  <c r="P669" i="2" s="1"/>
  <c r="Q669" i="2" s="1"/>
  <c r="R669" i="2" s="1"/>
  <c r="O670" i="2"/>
  <c r="P670" i="2" s="1"/>
  <c r="Q670" i="2" s="1"/>
  <c r="O671" i="2"/>
  <c r="P671" i="2" s="1"/>
  <c r="Q671" i="2" s="1"/>
  <c r="R671" i="2" s="1"/>
  <c r="O672" i="2"/>
  <c r="P672" i="2" s="1"/>
  <c r="Q672" i="2" s="1"/>
  <c r="R672" i="2" s="1"/>
  <c r="O673" i="2"/>
  <c r="P673" i="2" s="1"/>
  <c r="Q673" i="2" s="1"/>
  <c r="R673" i="2" s="1"/>
  <c r="O674" i="2"/>
  <c r="P674" i="2" s="1"/>
  <c r="Q674" i="2" s="1"/>
  <c r="R674" i="2" s="1"/>
  <c r="O675" i="2"/>
  <c r="P675" i="2" s="1"/>
  <c r="Q675" i="2" s="1"/>
  <c r="R675" i="2" s="1"/>
  <c r="O676" i="2"/>
  <c r="P676" i="2" s="1"/>
  <c r="Q676" i="2" s="1"/>
  <c r="R676" i="2" s="1"/>
  <c r="O677" i="2"/>
  <c r="P677" i="2" s="1"/>
  <c r="Q677" i="2" s="1"/>
  <c r="R677" i="2" s="1"/>
  <c r="O678" i="2"/>
  <c r="P678" i="2" s="1"/>
  <c r="Q678" i="2" s="1"/>
  <c r="R678" i="2" s="1"/>
  <c r="O679" i="2"/>
  <c r="P679" i="2" s="1"/>
  <c r="Q679" i="2" s="1"/>
  <c r="R679" i="2" s="1"/>
  <c r="O680" i="2"/>
  <c r="P680" i="2" s="1"/>
  <c r="Q680" i="2" s="1"/>
  <c r="R680" i="2" s="1"/>
  <c r="O681" i="2"/>
  <c r="P681" i="2" s="1"/>
  <c r="Q681" i="2" s="1"/>
  <c r="R681" i="2" s="1"/>
  <c r="O682" i="2"/>
  <c r="P682" i="2" s="1"/>
  <c r="Q682" i="2" s="1"/>
  <c r="O683" i="2"/>
  <c r="P683" i="2" s="1"/>
  <c r="Q683" i="2" s="1"/>
  <c r="R683" i="2" s="1"/>
  <c r="O684" i="2"/>
  <c r="P684" i="2" s="1"/>
  <c r="Q684" i="2" s="1"/>
  <c r="R684" i="2" s="1"/>
  <c r="O685" i="2"/>
  <c r="P685" i="2" s="1"/>
  <c r="Q685" i="2" s="1"/>
  <c r="R685" i="2" s="1"/>
  <c r="O686" i="2"/>
  <c r="P686" i="2" s="1"/>
  <c r="Q686" i="2" s="1"/>
  <c r="R686" i="2" s="1"/>
  <c r="O687" i="2"/>
  <c r="P687" i="2" s="1"/>
  <c r="Q687" i="2" s="1"/>
  <c r="R687" i="2" s="1"/>
  <c r="O688" i="2"/>
  <c r="P688" i="2" s="1"/>
  <c r="Q688" i="2" s="1"/>
  <c r="R688" i="2" s="1"/>
  <c r="O689" i="2"/>
  <c r="P689" i="2" s="1"/>
  <c r="Q689" i="2" s="1"/>
  <c r="R689" i="2" s="1"/>
  <c r="O690" i="2"/>
  <c r="P690" i="2" s="1"/>
  <c r="Q690" i="2" s="1"/>
  <c r="R690" i="2" s="1"/>
  <c r="O691" i="2"/>
  <c r="P691" i="2" s="1"/>
  <c r="Q691" i="2" s="1"/>
  <c r="R691" i="2" s="1"/>
  <c r="O692" i="2"/>
  <c r="P692" i="2" s="1"/>
  <c r="Q692" i="2" s="1"/>
  <c r="R692" i="2" s="1"/>
  <c r="O693" i="2"/>
  <c r="P693" i="2" s="1"/>
  <c r="Q693" i="2" s="1"/>
  <c r="R693" i="2" s="1"/>
  <c r="O694" i="2"/>
  <c r="P694" i="2" s="1"/>
  <c r="Q694" i="2" s="1"/>
  <c r="O695" i="2"/>
  <c r="P695" i="2" s="1"/>
  <c r="Q695" i="2" s="1"/>
  <c r="R695" i="2" s="1"/>
  <c r="O696" i="2"/>
  <c r="P696" i="2" s="1"/>
  <c r="Q696" i="2" s="1"/>
  <c r="R696" i="2" s="1"/>
  <c r="O697" i="2"/>
  <c r="P697" i="2" s="1"/>
  <c r="Q697" i="2" s="1"/>
  <c r="R697" i="2" s="1"/>
  <c r="O698" i="2"/>
  <c r="P698" i="2" s="1"/>
  <c r="Q698" i="2" s="1"/>
  <c r="R698" i="2" s="1"/>
  <c r="O699" i="2"/>
  <c r="P699" i="2" s="1"/>
  <c r="Q699" i="2" s="1"/>
  <c r="R699" i="2" s="1"/>
  <c r="O700" i="2"/>
  <c r="P700" i="2" s="1"/>
  <c r="Q700" i="2" s="1"/>
  <c r="R700" i="2" s="1"/>
  <c r="O701" i="2"/>
  <c r="P701" i="2" s="1"/>
  <c r="Q701" i="2" s="1"/>
  <c r="R701" i="2" s="1"/>
  <c r="O702" i="2"/>
  <c r="P702" i="2" s="1"/>
  <c r="Q702" i="2" s="1"/>
  <c r="R702" i="2" s="1"/>
  <c r="O703" i="2"/>
  <c r="P703" i="2" s="1"/>
  <c r="Q703" i="2" s="1"/>
  <c r="R703" i="2" s="1"/>
  <c r="O704" i="2"/>
  <c r="P704" i="2" s="1"/>
  <c r="Q704" i="2" s="1"/>
  <c r="R704" i="2" s="1"/>
  <c r="O705" i="2"/>
  <c r="P705" i="2" s="1"/>
  <c r="Q705" i="2" s="1"/>
  <c r="R705" i="2" s="1"/>
  <c r="O706" i="2"/>
  <c r="P706" i="2" s="1"/>
  <c r="Q706" i="2" s="1"/>
  <c r="O707" i="2"/>
  <c r="P707" i="2" s="1"/>
  <c r="Q707" i="2" s="1"/>
  <c r="R707" i="2" s="1"/>
  <c r="O708" i="2"/>
  <c r="P708" i="2" s="1"/>
  <c r="Q708" i="2" s="1"/>
  <c r="R708" i="2" s="1"/>
  <c r="O709" i="2"/>
  <c r="P709" i="2" s="1"/>
  <c r="Q709" i="2" s="1"/>
  <c r="R709" i="2" s="1"/>
  <c r="O710" i="2"/>
  <c r="P710" i="2" s="1"/>
  <c r="Q710" i="2" s="1"/>
  <c r="R710" i="2" s="1"/>
  <c r="O711" i="2"/>
  <c r="P711" i="2" s="1"/>
  <c r="Q711" i="2" s="1"/>
  <c r="R711" i="2" s="1"/>
  <c r="O712" i="2"/>
  <c r="P712" i="2" s="1"/>
  <c r="Q712" i="2" s="1"/>
  <c r="R712" i="2" s="1"/>
  <c r="O713" i="2"/>
  <c r="P713" i="2" s="1"/>
  <c r="Q713" i="2" s="1"/>
  <c r="R713" i="2" s="1"/>
  <c r="O714" i="2"/>
  <c r="P714" i="2" s="1"/>
  <c r="Q714" i="2" s="1"/>
  <c r="R714" i="2" s="1"/>
  <c r="O715" i="2"/>
  <c r="P715" i="2" s="1"/>
  <c r="Q715" i="2" s="1"/>
  <c r="R715" i="2" s="1"/>
  <c r="O716" i="2"/>
  <c r="P716" i="2" s="1"/>
  <c r="Q716" i="2" s="1"/>
  <c r="R716" i="2" s="1"/>
  <c r="O717" i="2"/>
  <c r="P717" i="2" s="1"/>
  <c r="Q717" i="2" s="1"/>
  <c r="R717" i="2" s="1"/>
  <c r="O718" i="2"/>
  <c r="P718" i="2" s="1"/>
  <c r="Q718" i="2" s="1"/>
  <c r="O719" i="2"/>
  <c r="P719" i="2" s="1"/>
  <c r="Q719" i="2" s="1"/>
  <c r="R719" i="2" s="1"/>
  <c r="O720" i="2"/>
  <c r="P720" i="2" s="1"/>
  <c r="Q720" i="2" s="1"/>
  <c r="R720" i="2" s="1"/>
  <c r="O721" i="2"/>
  <c r="P721" i="2" s="1"/>
  <c r="Q721" i="2" s="1"/>
  <c r="R721" i="2" s="1"/>
  <c r="O722" i="2"/>
  <c r="P722" i="2" s="1"/>
  <c r="Q722" i="2" s="1"/>
  <c r="R722" i="2" s="1"/>
  <c r="O723" i="2"/>
  <c r="P723" i="2" s="1"/>
  <c r="Q723" i="2" s="1"/>
  <c r="R723" i="2" s="1"/>
  <c r="O724" i="2"/>
  <c r="P724" i="2" s="1"/>
  <c r="Q724" i="2" s="1"/>
  <c r="R724" i="2" s="1"/>
  <c r="O725" i="2"/>
  <c r="P725" i="2" s="1"/>
  <c r="Q725" i="2" s="1"/>
  <c r="R725" i="2" s="1"/>
  <c r="O726" i="2"/>
  <c r="P726" i="2" s="1"/>
  <c r="Q726" i="2" s="1"/>
  <c r="R726" i="2" s="1"/>
  <c r="O727" i="2"/>
  <c r="P727" i="2" s="1"/>
  <c r="Q727" i="2" s="1"/>
  <c r="R727" i="2" s="1"/>
  <c r="O728" i="2"/>
  <c r="P728" i="2" s="1"/>
  <c r="Q728" i="2" s="1"/>
  <c r="R728" i="2" s="1"/>
  <c r="O729" i="2"/>
  <c r="P729" i="2" s="1"/>
  <c r="Q729" i="2" s="1"/>
  <c r="R729" i="2" s="1"/>
  <c r="O730" i="2"/>
  <c r="P730" i="2" s="1"/>
  <c r="Q730" i="2" s="1"/>
  <c r="O731" i="2"/>
  <c r="P731" i="2" s="1"/>
  <c r="Q731" i="2" s="1"/>
  <c r="R731" i="2" s="1"/>
  <c r="O732" i="2"/>
  <c r="P732" i="2" s="1"/>
  <c r="Q732" i="2" s="1"/>
  <c r="R732" i="2" s="1"/>
  <c r="O733" i="2"/>
  <c r="P733" i="2" s="1"/>
  <c r="Q733" i="2" s="1"/>
  <c r="R733" i="2" s="1"/>
  <c r="O734" i="2"/>
  <c r="P734" i="2" s="1"/>
  <c r="Q734" i="2" s="1"/>
  <c r="R734" i="2" s="1"/>
  <c r="O735" i="2"/>
  <c r="P735" i="2" s="1"/>
  <c r="Q735" i="2" s="1"/>
  <c r="R735" i="2" s="1"/>
  <c r="O736" i="2"/>
  <c r="P736" i="2" s="1"/>
  <c r="Q736" i="2" s="1"/>
  <c r="R736" i="2" s="1"/>
  <c r="O737" i="2"/>
  <c r="P737" i="2" s="1"/>
  <c r="Q737" i="2" s="1"/>
  <c r="R737" i="2" s="1"/>
  <c r="O738" i="2"/>
  <c r="P738" i="2" s="1"/>
  <c r="Q738" i="2" s="1"/>
  <c r="R738" i="2" s="1"/>
  <c r="O739" i="2"/>
  <c r="P739" i="2" s="1"/>
  <c r="Q739" i="2" s="1"/>
  <c r="R739" i="2" s="1"/>
  <c r="O740" i="2"/>
  <c r="P740" i="2" s="1"/>
  <c r="Q740" i="2" s="1"/>
  <c r="R740" i="2" s="1"/>
  <c r="O741" i="2"/>
  <c r="P741" i="2" s="1"/>
  <c r="Q741" i="2" s="1"/>
  <c r="R741" i="2" s="1"/>
  <c r="O742" i="2"/>
  <c r="P742" i="2" s="1"/>
  <c r="Q742" i="2" s="1"/>
  <c r="O743" i="2"/>
  <c r="P743" i="2" s="1"/>
  <c r="Q743" i="2" s="1"/>
  <c r="R743" i="2" s="1"/>
  <c r="O744" i="2"/>
  <c r="P744" i="2" s="1"/>
  <c r="Q744" i="2" s="1"/>
  <c r="R744" i="2" s="1"/>
  <c r="O745" i="2"/>
  <c r="P745" i="2" s="1"/>
  <c r="Q745" i="2" s="1"/>
  <c r="R745" i="2" s="1"/>
  <c r="O746" i="2"/>
  <c r="P746" i="2" s="1"/>
  <c r="Q746" i="2" s="1"/>
  <c r="R746" i="2" s="1"/>
  <c r="O747" i="2"/>
  <c r="P747" i="2" s="1"/>
  <c r="Q747" i="2" s="1"/>
  <c r="R747" i="2" s="1"/>
  <c r="O748" i="2"/>
  <c r="P748" i="2" s="1"/>
  <c r="Q748" i="2" s="1"/>
  <c r="R748" i="2" s="1"/>
  <c r="O749" i="2"/>
  <c r="P749" i="2" s="1"/>
  <c r="Q749" i="2" s="1"/>
  <c r="R749" i="2" s="1"/>
  <c r="O750" i="2"/>
  <c r="P750" i="2" s="1"/>
  <c r="Q750" i="2" s="1"/>
  <c r="R750" i="2" s="1"/>
  <c r="O751" i="2"/>
  <c r="P751" i="2" s="1"/>
  <c r="Q751" i="2" s="1"/>
  <c r="R751" i="2" s="1"/>
  <c r="O752" i="2"/>
  <c r="P752" i="2" s="1"/>
  <c r="Q752" i="2" s="1"/>
  <c r="R752" i="2" s="1"/>
  <c r="O753" i="2"/>
  <c r="P753" i="2" s="1"/>
  <c r="Q753" i="2" s="1"/>
  <c r="R753" i="2" s="1"/>
  <c r="O754" i="2"/>
  <c r="P754" i="2" s="1"/>
  <c r="Q754" i="2" s="1"/>
  <c r="O755" i="2"/>
  <c r="P755" i="2" s="1"/>
  <c r="Q755" i="2" s="1"/>
  <c r="R755" i="2" s="1"/>
  <c r="O756" i="2"/>
  <c r="P756" i="2" s="1"/>
  <c r="Q756" i="2" s="1"/>
  <c r="R756" i="2" s="1"/>
  <c r="O757" i="2"/>
  <c r="P757" i="2" s="1"/>
  <c r="Q757" i="2" s="1"/>
  <c r="R757" i="2" s="1"/>
  <c r="O758" i="2"/>
  <c r="P758" i="2" s="1"/>
  <c r="Q758" i="2" s="1"/>
  <c r="R758" i="2" s="1"/>
  <c r="O759" i="2"/>
  <c r="P759" i="2" s="1"/>
  <c r="Q759" i="2" s="1"/>
  <c r="R759" i="2" s="1"/>
  <c r="O760" i="2"/>
  <c r="P760" i="2" s="1"/>
  <c r="Q760" i="2" s="1"/>
  <c r="R760" i="2" s="1"/>
  <c r="O761" i="2"/>
  <c r="P761" i="2" s="1"/>
  <c r="Q761" i="2" s="1"/>
  <c r="R761" i="2" s="1"/>
  <c r="O762" i="2"/>
  <c r="P762" i="2" s="1"/>
  <c r="Q762" i="2" s="1"/>
  <c r="R762" i="2" s="1"/>
  <c r="O763" i="2"/>
  <c r="P763" i="2" s="1"/>
  <c r="Q763" i="2" s="1"/>
  <c r="R763" i="2" s="1"/>
  <c r="O764" i="2"/>
  <c r="P764" i="2" s="1"/>
  <c r="Q764" i="2" s="1"/>
  <c r="R764" i="2" s="1"/>
  <c r="O765" i="2"/>
  <c r="P765" i="2" s="1"/>
  <c r="Q765" i="2" s="1"/>
  <c r="R765" i="2" s="1"/>
  <c r="O766" i="2"/>
  <c r="P766" i="2" s="1"/>
  <c r="Q766" i="2" s="1"/>
  <c r="O767" i="2"/>
  <c r="P767" i="2" s="1"/>
  <c r="Q767" i="2" s="1"/>
  <c r="R767" i="2" s="1"/>
  <c r="O768" i="2"/>
  <c r="P768" i="2" s="1"/>
  <c r="Q768" i="2" s="1"/>
  <c r="R768" i="2" s="1"/>
  <c r="O769" i="2"/>
  <c r="P769" i="2" s="1"/>
  <c r="Q769" i="2" s="1"/>
  <c r="R769" i="2" s="1"/>
  <c r="O770" i="2"/>
  <c r="P770" i="2" s="1"/>
  <c r="Q770" i="2" s="1"/>
  <c r="R770" i="2" s="1"/>
  <c r="O771" i="2"/>
  <c r="P771" i="2" s="1"/>
  <c r="Q771" i="2" s="1"/>
  <c r="R771" i="2" s="1"/>
  <c r="O772" i="2"/>
  <c r="P772" i="2" s="1"/>
  <c r="Q772" i="2" s="1"/>
  <c r="R772" i="2" s="1"/>
  <c r="O773" i="2"/>
  <c r="P773" i="2" s="1"/>
  <c r="Q773" i="2" s="1"/>
  <c r="R773" i="2" s="1"/>
  <c r="O774" i="2"/>
  <c r="P774" i="2" s="1"/>
  <c r="Q774" i="2" s="1"/>
  <c r="R774" i="2" s="1"/>
  <c r="O775" i="2"/>
  <c r="P775" i="2" s="1"/>
  <c r="Q775" i="2" s="1"/>
  <c r="R775" i="2" s="1"/>
  <c r="O776" i="2"/>
  <c r="P776" i="2" s="1"/>
  <c r="Q776" i="2" s="1"/>
  <c r="R776" i="2" s="1"/>
  <c r="O777" i="2"/>
  <c r="P777" i="2" s="1"/>
  <c r="Q777" i="2" s="1"/>
  <c r="R777" i="2" s="1"/>
  <c r="O778" i="2"/>
  <c r="P778" i="2" s="1"/>
  <c r="Q778" i="2" s="1"/>
  <c r="O779" i="2"/>
  <c r="P779" i="2" s="1"/>
  <c r="Q779" i="2" s="1"/>
  <c r="R779" i="2" s="1"/>
  <c r="O780" i="2"/>
  <c r="P780" i="2" s="1"/>
  <c r="Q780" i="2" s="1"/>
  <c r="R780" i="2" s="1"/>
  <c r="O781" i="2"/>
  <c r="P781" i="2" s="1"/>
  <c r="Q781" i="2" s="1"/>
  <c r="R781" i="2" s="1"/>
  <c r="O782" i="2"/>
  <c r="P782" i="2" s="1"/>
  <c r="Q782" i="2" s="1"/>
  <c r="R782" i="2" s="1"/>
  <c r="O783" i="2"/>
  <c r="P783" i="2" s="1"/>
  <c r="Q783" i="2" s="1"/>
  <c r="R783" i="2" s="1"/>
  <c r="O784" i="2"/>
  <c r="P784" i="2" s="1"/>
  <c r="Q784" i="2" s="1"/>
  <c r="R784" i="2" s="1"/>
  <c r="O785" i="2"/>
  <c r="P785" i="2" s="1"/>
  <c r="Q785" i="2" s="1"/>
  <c r="R785" i="2" s="1"/>
  <c r="O786" i="2"/>
  <c r="P786" i="2" s="1"/>
  <c r="Q786" i="2" s="1"/>
  <c r="R786" i="2" s="1"/>
  <c r="O787" i="2"/>
  <c r="P787" i="2" s="1"/>
  <c r="Q787" i="2" s="1"/>
  <c r="R787" i="2" s="1"/>
  <c r="O788" i="2"/>
  <c r="P788" i="2" s="1"/>
  <c r="Q788" i="2" s="1"/>
  <c r="R788" i="2" s="1"/>
  <c r="O789" i="2"/>
  <c r="P789" i="2" s="1"/>
  <c r="Q789" i="2" s="1"/>
  <c r="R789" i="2" s="1"/>
  <c r="O790" i="2"/>
  <c r="P790" i="2" s="1"/>
  <c r="Q790" i="2" s="1"/>
  <c r="O791" i="2"/>
  <c r="P791" i="2" s="1"/>
  <c r="Q791" i="2" s="1"/>
  <c r="R791" i="2" s="1"/>
  <c r="O792" i="2"/>
  <c r="P792" i="2" s="1"/>
  <c r="Q792" i="2" s="1"/>
  <c r="R792" i="2" s="1"/>
  <c r="O793" i="2"/>
  <c r="P793" i="2" s="1"/>
  <c r="Q793" i="2" s="1"/>
  <c r="R793" i="2" s="1"/>
  <c r="O794" i="2"/>
  <c r="P794" i="2" s="1"/>
  <c r="Q794" i="2" s="1"/>
  <c r="R794" i="2" s="1"/>
  <c r="O795" i="2"/>
  <c r="P795" i="2" s="1"/>
  <c r="Q795" i="2" s="1"/>
  <c r="R795" i="2" s="1"/>
  <c r="O796" i="2"/>
  <c r="P796" i="2" s="1"/>
  <c r="Q796" i="2" s="1"/>
  <c r="R796" i="2" s="1"/>
  <c r="O797" i="2"/>
  <c r="P797" i="2" s="1"/>
  <c r="Q797" i="2" s="1"/>
  <c r="R797" i="2" s="1"/>
  <c r="O798" i="2"/>
  <c r="P798" i="2" s="1"/>
  <c r="Q798" i="2" s="1"/>
  <c r="R798" i="2" s="1"/>
  <c r="O799" i="2"/>
  <c r="P799" i="2" s="1"/>
  <c r="Q799" i="2" s="1"/>
  <c r="R799" i="2" s="1"/>
  <c r="O800" i="2"/>
  <c r="P800" i="2" s="1"/>
  <c r="Q800" i="2" s="1"/>
  <c r="R800" i="2" s="1"/>
  <c r="O801" i="2"/>
  <c r="P801" i="2" s="1"/>
  <c r="Q801" i="2" s="1"/>
  <c r="R801" i="2" s="1"/>
  <c r="O802" i="2"/>
  <c r="P802" i="2" s="1"/>
  <c r="Q802" i="2" s="1"/>
  <c r="O803" i="2"/>
  <c r="P803" i="2" s="1"/>
  <c r="Q803" i="2" s="1"/>
  <c r="R803" i="2" s="1"/>
  <c r="O804" i="2"/>
  <c r="P804" i="2" s="1"/>
  <c r="Q804" i="2" s="1"/>
  <c r="R804" i="2" s="1"/>
  <c r="O805" i="2"/>
  <c r="P805" i="2" s="1"/>
  <c r="Q805" i="2" s="1"/>
  <c r="R805" i="2" s="1"/>
  <c r="O806" i="2"/>
  <c r="P806" i="2" s="1"/>
  <c r="Q806" i="2" s="1"/>
  <c r="R806" i="2" s="1"/>
  <c r="O807" i="2"/>
  <c r="P807" i="2" s="1"/>
  <c r="Q807" i="2" s="1"/>
  <c r="R807" i="2" s="1"/>
  <c r="O808" i="2"/>
  <c r="P808" i="2" s="1"/>
  <c r="Q808" i="2" s="1"/>
  <c r="R808" i="2" s="1"/>
  <c r="O809" i="2"/>
  <c r="P809" i="2" s="1"/>
  <c r="Q809" i="2" s="1"/>
  <c r="R809" i="2" s="1"/>
  <c r="O810" i="2"/>
  <c r="P810" i="2" s="1"/>
  <c r="Q810" i="2" s="1"/>
  <c r="R810" i="2" s="1"/>
  <c r="O811" i="2"/>
  <c r="P811" i="2" s="1"/>
  <c r="Q811" i="2" s="1"/>
  <c r="R811" i="2" s="1"/>
  <c r="O812" i="2"/>
  <c r="P812" i="2" s="1"/>
  <c r="Q812" i="2" s="1"/>
  <c r="R812" i="2" s="1"/>
  <c r="O813" i="2"/>
  <c r="P813" i="2" s="1"/>
  <c r="Q813" i="2" s="1"/>
  <c r="R813" i="2" s="1"/>
  <c r="O814" i="2"/>
  <c r="P814" i="2" s="1"/>
  <c r="Q814" i="2" s="1"/>
  <c r="O815" i="2"/>
  <c r="P815" i="2" s="1"/>
  <c r="Q815" i="2" s="1"/>
  <c r="R815" i="2" s="1"/>
  <c r="O816" i="2"/>
  <c r="P816" i="2" s="1"/>
  <c r="Q816" i="2" s="1"/>
  <c r="R816" i="2" s="1"/>
  <c r="O817" i="2"/>
  <c r="P817" i="2" s="1"/>
  <c r="Q817" i="2" s="1"/>
  <c r="R817" i="2" s="1"/>
  <c r="O818" i="2"/>
  <c r="P818" i="2" s="1"/>
  <c r="Q818" i="2" s="1"/>
  <c r="R818" i="2" s="1"/>
  <c r="O819" i="2"/>
  <c r="P819" i="2" s="1"/>
  <c r="Q819" i="2" s="1"/>
  <c r="R819" i="2" s="1"/>
  <c r="O820" i="2"/>
  <c r="P820" i="2" s="1"/>
  <c r="Q820" i="2" s="1"/>
  <c r="R820" i="2" s="1"/>
  <c r="O821" i="2"/>
  <c r="P821" i="2" s="1"/>
  <c r="Q821" i="2" s="1"/>
  <c r="R821" i="2" s="1"/>
  <c r="O822" i="2"/>
  <c r="P822" i="2" s="1"/>
  <c r="Q822" i="2" s="1"/>
  <c r="R822" i="2" s="1"/>
  <c r="O823" i="2"/>
  <c r="P823" i="2" s="1"/>
  <c r="Q823" i="2" s="1"/>
  <c r="R823" i="2" s="1"/>
  <c r="O824" i="2"/>
  <c r="P824" i="2" s="1"/>
  <c r="Q824" i="2" s="1"/>
  <c r="R824" i="2" s="1"/>
  <c r="O825" i="2"/>
  <c r="P825" i="2" s="1"/>
  <c r="Q825" i="2" s="1"/>
  <c r="R825" i="2" s="1"/>
  <c r="O826" i="2"/>
  <c r="P826" i="2" s="1"/>
  <c r="Q826" i="2" s="1"/>
  <c r="O827" i="2"/>
  <c r="P827" i="2" s="1"/>
  <c r="Q827" i="2" s="1"/>
  <c r="R827" i="2" s="1"/>
  <c r="O828" i="2"/>
  <c r="P828" i="2" s="1"/>
  <c r="Q828" i="2" s="1"/>
  <c r="R828" i="2" s="1"/>
  <c r="O829" i="2"/>
  <c r="P829" i="2" s="1"/>
  <c r="Q829" i="2" s="1"/>
  <c r="R829" i="2" s="1"/>
  <c r="O830" i="2"/>
  <c r="P830" i="2" s="1"/>
  <c r="Q830" i="2" s="1"/>
  <c r="R830" i="2" s="1"/>
  <c r="O831" i="2"/>
  <c r="P831" i="2" s="1"/>
  <c r="Q831" i="2" s="1"/>
  <c r="R831" i="2" s="1"/>
  <c r="O832" i="2"/>
  <c r="P832" i="2" s="1"/>
  <c r="Q832" i="2" s="1"/>
  <c r="R832" i="2" s="1"/>
  <c r="O833" i="2"/>
  <c r="P833" i="2" s="1"/>
  <c r="Q833" i="2" s="1"/>
  <c r="R833" i="2" s="1"/>
  <c r="O834" i="2"/>
  <c r="P834" i="2" s="1"/>
  <c r="Q834" i="2" s="1"/>
  <c r="R834" i="2" s="1"/>
  <c r="O835" i="2"/>
  <c r="P835" i="2" s="1"/>
  <c r="Q835" i="2" s="1"/>
  <c r="R835" i="2" s="1"/>
  <c r="O836" i="2"/>
  <c r="P836" i="2" s="1"/>
  <c r="Q836" i="2" s="1"/>
  <c r="R836" i="2" s="1"/>
  <c r="O837" i="2"/>
  <c r="P837" i="2" s="1"/>
  <c r="Q837" i="2" s="1"/>
  <c r="R837" i="2" s="1"/>
  <c r="O838" i="2"/>
  <c r="P838" i="2" s="1"/>
  <c r="Q838" i="2" s="1"/>
  <c r="O839" i="2"/>
  <c r="P839" i="2" s="1"/>
  <c r="Q839" i="2" s="1"/>
  <c r="R839" i="2" s="1"/>
  <c r="O840" i="2"/>
  <c r="P840" i="2" s="1"/>
  <c r="Q840" i="2" s="1"/>
  <c r="R840" i="2" s="1"/>
  <c r="O841" i="2"/>
  <c r="P841" i="2" s="1"/>
  <c r="Q841" i="2" s="1"/>
  <c r="R841" i="2" s="1"/>
  <c r="O842" i="2"/>
  <c r="P842" i="2" s="1"/>
  <c r="Q842" i="2" s="1"/>
  <c r="R842" i="2" s="1"/>
  <c r="O843" i="2"/>
  <c r="P843" i="2" s="1"/>
  <c r="Q843" i="2" s="1"/>
  <c r="R843" i="2" s="1"/>
  <c r="O844" i="2"/>
  <c r="P844" i="2" s="1"/>
  <c r="Q844" i="2" s="1"/>
  <c r="R844" i="2" s="1"/>
  <c r="O845" i="2"/>
  <c r="P845" i="2" s="1"/>
  <c r="Q845" i="2" s="1"/>
  <c r="R845" i="2" s="1"/>
  <c r="O846" i="2"/>
  <c r="P846" i="2" s="1"/>
  <c r="Q846" i="2" s="1"/>
  <c r="R846" i="2" s="1"/>
  <c r="O847" i="2"/>
  <c r="P847" i="2" s="1"/>
  <c r="Q847" i="2" s="1"/>
  <c r="R847" i="2" s="1"/>
  <c r="O848" i="2"/>
  <c r="P848" i="2" s="1"/>
  <c r="Q848" i="2" s="1"/>
  <c r="R848" i="2" s="1"/>
  <c r="O849" i="2"/>
  <c r="P849" i="2" s="1"/>
  <c r="Q849" i="2" s="1"/>
  <c r="R849" i="2" s="1"/>
  <c r="O850" i="2"/>
  <c r="P850" i="2" s="1"/>
  <c r="Q850" i="2" s="1"/>
  <c r="O851" i="2"/>
  <c r="P851" i="2" s="1"/>
  <c r="Q851" i="2" s="1"/>
  <c r="R851" i="2" s="1"/>
  <c r="O852" i="2"/>
  <c r="P852" i="2" s="1"/>
  <c r="Q852" i="2" s="1"/>
  <c r="R852" i="2" s="1"/>
  <c r="O853" i="2"/>
  <c r="P853" i="2" s="1"/>
  <c r="Q853" i="2" s="1"/>
  <c r="R853" i="2" s="1"/>
  <c r="O854" i="2"/>
  <c r="P854" i="2" s="1"/>
  <c r="Q854" i="2" s="1"/>
  <c r="R854" i="2" s="1"/>
  <c r="O855" i="2"/>
  <c r="P855" i="2" s="1"/>
  <c r="Q855" i="2" s="1"/>
  <c r="R855" i="2" s="1"/>
  <c r="O856" i="2"/>
  <c r="P856" i="2" s="1"/>
  <c r="Q856" i="2" s="1"/>
  <c r="R856" i="2" s="1"/>
  <c r="O857" i="2"/>
  <c r="P857" i="2" s="1"/>
  <c r="Q857" i="2" s="1"/>
  <c r="R857" i="2" s="1"/>
  <c r="O858" i="2"/>
  <c r="P858" i="2" s="1"/>
  <c r="Q858" i="2" s="1"/>
  <c r="R858" i="2" s="1"/>
  <c r="O859" i="2"/>
  <c r="P859" i="2" s="1"/>
  <c r="Q859" i="2" s="1"/>
  <c r="R859" i="2" s="1"/>
  <c r="O860" i="2"/>
  <c r="P860" i="2" s="1"/>
  <c r="Q860" i="2" s="1"/>
  <c r="R860" i="2" s="1"/>
  <c r="O861" i="2"/>
  <c r="P861" i="2" s="1"/>
  <c r="Q861" i="2" s="1"/>
  <c r="R861" i="2" s="1"/>
  <c r="O862" i="2"/>
  <c r="P862" i="2" s="1"/>
  <c r="Q862" i="2" s="1"/>
  <c r="O863" i="2"/>
  <c r="P863" i="2" s="1"/>
  <c r="Q863" i="2" s="1"/>
  <c r="R863" i="2" s="1"/>
  <c r="O864" i="2"/>
  <c r="P864" i="2" s="1"/>
  <c r="Q864" i="2" s="1"/>
  <c r="R864" i="2" s="1"/>
  <c r="O865" i="2"/>
  <c r="P865" i="2" s="1"/>
  <c r="Q865" i="2" s="1"/>
  <c r="R865" i="2" s="1"/>
  <c r="O866" i="2"/>
  <c r="P866" i="2" s="1"/>
  <c r="Q866" i="2" s="1"/>
  <c r="R866" i="2" s="1"/>
  <c r="O867" i="2"/>
  <c r="P867" i="2" s="1"/>
  <c r="Q867" i="2" s="1"/>
  <c r="R867" i="2" s="1"/>
  <c r="O868" i="2"/>
  <c r="P868" i="2" s="1"/>
  <c r="Q868" i="2" s="1"/>
  <c r="R868" i="2" s="1"/>
  <c r="O869" i="2"/>
  <c r="P869" i="2" s="1"/>
  <c r="Q869" i="2" s="1"/>
  <c r="R869" i="2" s="1"/>
  <c r="O870" i="2"/>
  <c r="P870" i="2" s="1"/>
  <c r="Q870" i="2" s="1"/>
  <c r="R870" i="2" s="1"/>
  <c r="O871" i="2"/>
  <c r="P871" i="2" s="1"/>
  <c r="Q871" i="2" s="1"/>
  <c r="R871" i="2" s="1"/>
  <c r="O872" i="2"/>
  <c r="P872" i="2" s="1"/>
  <c r="Q872" i="2" s="1"/>
  <c r="R872" i="2" s="1"/>
  <c r="O873" i="2"/>
  <c r="P873" i="2" s="1"/>
  <c r="Q873" i="2" s="1"/>
  <c r="R873" i="2" s="1"/>
  <c r="O874" i="2"/>
  <c r="P874" i="2" s="1"/>
  <c r="Q874" i="2" s="1"/>
  <c r="O875" i="2"/>
  <c r="P875" i="2" s="1"/>
  <c r="Q875" i="2" s="1"/>
  <c r="R875" i="2" s="1"/>
  <c r="O876" i="2"/>
  <c r="P876" i="2" s="1"/>
  <c r="Q876" i="2" s="1"/>
  <c r="R876" i="2" s="1"/>
  <c r="O877" i="2"/>
  <c r="P877" i="2" s="1"/>
  <c r="Q877" i="2" s="1"/>
  <c r="R877" i="2" s="1"/>
  <c r="O878" i="2"/>
  <c r="P878" i="2" s="1"/>
  <c r="Q878" i="2" s="1"/>
  <c r="R878" i="2" s="1"/>
  <c r="O879" i="2"/>
  <c r="P879" i="2" s="1"/>
  <c r="Q879" i="2" s="1"/>
  <c r="R879" i="2" s="1"/>
  <c r="O880" i="2"/>
  <c r="P880" i="2" s="1"/>
  <c r="Q880" i="2" s="1"/>
  <c r="R880" i="2" s="1"/>
  <c r="O881" i="2"/>
  <c r="P881" i="2" s="1"/>
  <c r="Q881" i="2" s="1"/>
  <c r="R881" i="2" s="1"/>
  <c r="O882" i="2"/>
  <c r="P882" i="2" s="1"/>
  <c r="Q882" i="2" s="1"/>
  <c r="R882" i="2" s="1"/>
  <c r="O883" i="2"/>
  <c r="P883" i="2" s="1"/>
  <c r="Q883" i="2" s="1"/>
  <c r="R883" i="2" s="1"/>
  <c r="O884" i="2"/>
  <c r="P884" i="2" s="1"/>
  <c r="Q884" i="2" s="1"/>
  <c r="R884" i="2" s="1"/>
  <c r="O885" i="2"/>
  <c r="P885" i="2" s="1"/>
  <c r="Q885" i="2" s="1"/>
  <c r="R885" i="2" s="1"/>
  <c r="O886" i="2"/>
  <c r="P886" i="2" s="1"/>
  <c r="Q886" i="2" s="1"/>
  <c r="O887" i="2"/>
  <c r="P887" i="2" s="1"/>
  <c r="Q887" i="2" s="1"/>
  <c r="R887" i="2" s="1"/>
  <c r="O888" i="2"/>
  <c r="P888" i="2" s="1"/>
  <c r="Q888" i="2" s="1"/>
  <c r="R888" i="2" s="1"/>
  <c r="O889" i="2"/>
  <c r="P889" i="2" s="1"/>
  <c r="Q889" i="2" s="1"/>
  <c r="R889" i="2" s="1"/>
  <c r="O890" i="2"/>
  <c r="P890" i="2" s="1"/>
  <c r="Q890" i="2" s="1"/>
  <c r="R890" i="2" s="1"/>
  <c r="O891" i="2"/>
  <c r="P891" i="2" s="1"/>
  <c r="Q891" i="2" s="1"/>
  <c r="R891" i="2" s="1"/>
  <c r="O892" i="2"/>
  <c r="P892" i="2" s="1"/>
  <c r="Q892" i="2" s="1"/>
  <c r="R892" i="2" s="1"/>
  <c r="O893" i="2"/>
  <c r="P893" i="2" s="1"/>
  <c r="Q893" i="2" s="1"/>
  <c r="R893" i="2" s="1"/>
  <c r="O894" i="2"/>
  <c r="P894" i="2" s="1"/>
  <c r="Q894" i="2" s="1"/>
  <c r="R894" i="2" s="1"/>
  <c r="O895" i="2"/>
  <c r="P895" i="2" s="1"/>
  <c r="Q895" i="2" s="1"/>
  <c r="R895" i="2" s="1"/>
  <c r="O896" i="2"/>
  <c r="P896" i="2" s="1"/>
  <c r="Q896" i="2" s="1"/>
  <c r="R896" i="2" s="1"/>
  <c r="O897" i="2"/>
  <c r="P897" i="2" s="1"/>
  <c r="Q897" i="2" s="1"/>
  <c r="R897" i="2" s="1"/>
  <c r="O898" i="2"/>
  <c r="P898" i="2" s="1"/>
  <c r="Q898" i="2" s="1"/>
  <c r="O899" i="2"/>
  <c r="P899" i="2" s="1"/>
  <c r="Q899" i="2" s="1"/>
  <c r="R899" i="2" s="1"/>
  <c r="O900" i="2"/>
  <c r="P900" i="2" s="1"/>
  <c r="Q900" i="2" s="1"/>
  <c r="R900" i="2" s="1"/>
  <c r="O901" i="2"/>
  <c r="P901" i="2" s="1"/>
  <c r="Q901" i="2" s="1"/>
  <c r="R901" i="2" s="1"/>
  <c r="O902" i="2"/>
  <c r="P902" i="2" s="1"/>
  <c r="Q902" i="2" s="1"/>
  <c r="R902" i="2" s="1"/>
  <c r="O903" i="2"/>
  <c r="P903" i="2" s="1"/>
  <c r="Q903" i="2" s="1"/>
  <c r="R903" i="2" s="1"/>
  <c r="O904" i="2"/>
  <c r="P904" i="2" s="1"/>
  <c r="Q904" i="2" s="1"/>
  <c r="R904" i="2" s="1"/>
  <c r="O905" i="2"/>
  <c r="P905" i="2" s="1"/>
  <c r="Q905" i="2" s="1"/>
  <c r="R905" i="2" s="1"/>
  <c r="O906" i="2"/>
  <c r="P906" i="2" s="1"/>
  <c r="Q906" i="2" s="1"/>
  <c r="R906" i="2" s="1"/>
  <c r="O907" i="2"/>
  <c r="P907" i="2" s="1"/>
  <c r="Q907" i="2" s="1"/>
  <c r="R907" i="2" s="1"/>
  <c r="O908" i="2"/>
  <c r="P908" i="2" s="1"/>
  <c r="Q908" i="2" s="1"/>
  <c r="R908" i="2" s="1"/>
  <c r="O909" i="2"/>
  <c r="P909" i="2" s="1"/>
  <c r="Q909" i="2" s="1"/>
  <c r="R909" i="2" s="1"/>
  <c r="O910" i="2"/>
  <c r="P910" i="2" s="1"/>
  <c r="Q910" i="2" s="1"/>
  <c r="O911" i="2"/>
  <c r="P911" i="2" s="1"/>
  <c r="Q911" i="2" s="1"/>
  <c r="R911" i="2" s="1"/>
  <c r="O912" i="2"/>
  <c r="P912" i="2" s="1"/>
  <c r="Q912" i="2" s="1"/>
  <c r="R912" i="2" s="1"/>
  <c r="O913" i="2"/>
  <c r="P913" i="2" s="1"/>
  <c r="Q913" i="2" s="1"/>
  <c r="R913" i="2" s="1"/>
  <c r="O914" i="2"/>
  <c r="P914" i="2" s="1"/>
  <c r="Q914" i="2" s="1"/>
  <c r="R914" i="2" s="1"/>
  <c r="O915" i="2"/>
  <c r="P915" i="2" s="1"/>
  <c r="Q915" i="2" s="1"/>
  <c r="R915" i="2" s="1"/>
  <c r="O916" i="2"/>
  <c r="P916" i="2" s="1"/>
  <c r="Q916" i="2" s="1"/>
  <c r="R916" i="2" s="1"/>
  <c r="O917" i="2"/>
  <c r="P917" i="2" s="1"/>
  <c r="Q917" i="2" s="1"/>
  <c r="R917" i="2" s="1"/>
  <c r="O918" i="2"/>
  <c r="P918" i="2" s="1"/>
  <c r="Q918" i="2" s="1"/>
  <c r="R918" i="2" s="1"/>
  <c r="O919" i="2"/>
  <c r="P919" i="2" s="1"/>
  <c r="Q919" i="2" s="1"/>
  <c r="R919" i="2" s="1"/>
  <c r="O920" i="2"/>
  <c r="P920" i="2" s="1"/>
  <c r="Q920" i="2" s="1"/>
  <c r="R920" i="2" s="1"/>
  <c r="O921" i="2"/>
  <c r="P921" i="2" s="1"/>
  <c r="Q921" i="2" s="1"/>
  <c r="R921" i="2" s="1"/>
  <c r="O922" i="2"/>
  <c r="P922" i="2" s="1"/>
  <c r="Q922" i="2" s="1"/>
  <c r="O923" i="2"/>
  <c r="P923" i="2" s="1"/>
  <c r="Q923" i="2" s="1"/>
  <c r="R923" i="2" s="1"/>
  <c r="O924" i="2"/>
  <c r="P924" i="2" s="1"/>
  <c r="Q924" i="2" s="1"/>
  <c r="R924" i="2" s="1"/>
  <c r="O925" i="2"/>
  <c r="P925" i="2" s="1"/>
  <c r="Q925" i="2" s="1"/>
  <c r="R925" i="2" s="1"/>
  <c r="O926" i="2"/>
  <c r="P926" i="2" s="1"/>
  <c r="Q926" i="2" s="1"/>
  <c r="R926" i="2" s="1"/>
  <c r="O927" i="2"/>
  <c r="P927" i="2" s="1"/>
  <c r="Q927" i="2" s="1"/>
  <c r="R927" i="2" s="1"/>
  <c r="O928" i="2"/>
  <c r="P928" i="2" s="1"/>
  <c r="Q928" i="2" s="1"/>
  <c r="R928" i="2" s="1"/>
  <c r="O929" i="2"/>
  <c r="P929" i="2" s="1"/>
  <c r="Q929" i="2" s="1"/>
  <c r="R929" i="2" s="1"/>
  <c r="O930" i="2"/>
  <c r="P930" i="2" s="1"/>
  <c r="Q930" i="2" s="1"/>
  <c r="R930" i="2" s="1"/>
  <c r="O931" i="2"/>
  <c r="P931" i="2" s="1"/>
  <c r="Q931" i="2" s="1"/>
  <c r="R931" i="2" s="1"/>
  <c r="O932" i="2"/>
  <c r="P932" i="2" s="1"/>
  <c r="Q932" i="2" s="1"/>
  <c r="R932" i="2" s="1"/>
  <c r="O933" i="2"/>
  <c r="P933" i="2" s="1"/>
  <c r="Q933" i="2" s="1"/>
  <c r="R933" i="2" s="1"/>
  <c r="O934" i="2"/>
  <c r="P934" i="2" s="1"/>
  <c r="Q934" i="2" s="1"/>
  <c r="O935" i="2"/>
  <c r="P935" i="2" s="1"/>
  <c r="Q935" i="2" s="1"/>
  <c r="R935" i="2" s="1"/>
  <c r="O936" i="2"/>
  <c r="P936" i="2" s="1"/>
  <c r="Q936" i="2" s="1"/>
  <c r="R936" i="2" s="1"/>
  <c r="O937" i="2"/>
  <c r="P937" i="2" s="1"/>
  <c r="Q937" i="2" s="1"/>
  <c r="R937" i="2" s="1"/>
  <c r="O938" i="2"/>
  <c r="P938" i="2" s="1"/>
  <c r="Q938" i="2" s="1"/>
  <c r="R938" i="2" s="1"/>
  <c r="O939" i="2"/>
  <c r="P939" i="2" s="1"/>
  <c r="Q939" i="2" s="1"/>
  <c r="R939" i="2" s="1"/>
  <c r="O940" i="2"/>
  <c r="P940" i="2" s="1"/>
  <c r="Q940" i="2" s="1"/>
  <c r="R940" i="2" s="1"/>
  <c r="O941" i="2"/>
  <c r="P941" i="2" s="1"/>
  <c r="Q941" i="2" s="1"/>
  <c r="R941" i="2" s="1"/>
  <c r="O942" i="2"/>
  <c r="P942" i="2" s="1"/>
  <c r="Q942" i="2" s="1"/>
  <c r="R942" i="2" s="1"/>
  <c r="O943" i="2"/>
  <c r="P943" i="2" s="1"/>
  <c r="Q943" i="2" s="1"/>
  <c r="R943" i="2" s="1"/>
  <c r="O944" i="2"/>
  <c r="P944" i="2" s="1"/>
  <c r="Q944" i="2" s="1"/>
  <c r="R944" i="2" s="1"/>
  <c r="O945" i="2"/>
  <c r="P945" i="2" s="1"/>
  <c r="Q945" i="2" s="1"/>
  <c r="R945" i="2" s="1"/>
  <c r="O946" i="2"/>
  <c r="P946" i="2" s="1"/>
  <c r="Q946" i="2" s="1"/>
  <c r="O947" i="2"/>
  <c r="P947" i="2" s="1"/>
  <c r="Q947" i="2" s="1"/>
  <c r="R947" i="2" s="1"/>
  <c r="O948" i="2"/>
  <c r="P948" i="2" s="1"/>
  <c r="Q948" i="2" s="1"/>
  <c r="R948" i="2" s="1"/>
  <c r="O949" i="2"/>
  <c r="P949" i="2" s="1"/>
  <c r="Q949" i="2" s="1"/>
  <c r="R949" i="2" s="1"/>
  <c r="O950" i="2"/>
  <c r="P950" i="2" s="1"/>
  <c r="Q950" i="2" s="1"/>
  <c r="R950" i="2" s="1"/>
  <c r="O951" i="2"/>
  <c r="P951" i="2" s="1"/>
  <c r="Q951" i="2" s="1"/>
  <c r="R951" i="2" s="1"/>
  <c r="O952" i="2"/>
  <c r="P952" i="2" s="1"/>
  <c r="Q952" i="2" s="1"/>
  <c r="R952" i="2" s="1"/>
  <c r="O953" i="2"/>
  <c r="P953" i="2" s="1"/>
  <c r="Q953" i="2" s="1"/>
  <c r="R953" i="2" s="1"/>
  <c r="O954" i="2"/>
  <c r="P954" i="2" s="1"/>
  <c r="Q954" i="2" s="1"/>
  <c r="R954" i="2" s="1"/>
  <c r="O955" i="2"/>
  <c r="P955" i="2" s="1"/>
  <c r="Q955" i="2" s="1"/>
  <c r="R955" i="2" s="1"/>
  <c r="O956" i="2"/>
  <c r="P956" i="2" s="1"/>
  <c r="Q956" i="2" s="1"/>
  <c r="R956" i="2" s="1"/>
  <c r="O957" i="2"/>
  <c r="P957" i="2" s="1"/>
  <c r="Q957" i="2" s="1"/>
  <c r="R957" i="2" s="1"/>
  <c r="O958" i="2"/>
  <c r="P958" i="2" s="1"/>
  <c r="Q958" i="2" s="1"/>
  <c r="O959" i="2"/>
  <c r="P959" i="2" s="1"/>
  <c r="Q959" i="2" s="1"/>
  <c r="R959" i="2" s="1"/>
  <c r="O960" i="2"/>
  <c r="P960" i="2" s="1"/>
  <c r="Q960" i="2" s="1"/>
  <c r="R960" i="2" s="1"/>
  <c r="O961" i="2"/>
  <c r="P961" i="2" s="1"/>
  <c r="Q961" i="2" s="1"/>
  <c r="R961" i="2" s="1"/>
  <c r="O962" i="2"/>
  <c r="P962" i="2" s="1"/>
  <c r="Q962" i="2" s="1"/>
  <c r="R962" i="2" s="1"/>
  <c r="O963" i="2"/>
  <c r="P963" i="2" s="1"/>
  <c r="Q963" i="2" s="1"/>
  <c r="R963" i="2" s="1"/>
  <c r="O964" i="2"/>
  <c r="P964" i="2" s="1"/>
  <c r="Q964" i="2" s="1"/>
  <c r="R964" i="2" s="1"/>
  <c r="O965" i="2"/>
  <c r="P965" i="2" s="1"/>
  <c r="Q965" i="2" s="1"/>
  <c r="R965" i="2" s="1"/>
  <c r="O966" i="2"/>
  <c r="P966" i="2" s="1"/>
  <c r="Q966" i="2" s="1"/>
  <c r="R966" i="2" s="1"/>
  <c r="O967" i="2"/>
  <c r="P967" i="2" s="1"/>
  <c r="Q967" i="2" s="1"/>
  <c r="R967" i="2" s="1"/>
  <c r="O968" i="2"/>
  <c r="P968" i="2" s="1"/>
  <c r="Q968" i="2" s="1"/>
  <c r="R968" i="2" s="1"/>
  <c r="O969" i="2"/>
  <c r="P969" i="2" s="1"/>
  <c r="Q969" i="2" s="1"/>
  <c r="R969" i="2" s="1"/>
  <c r="O970" i="2"/>
  <c r="P970" i="2" s="1"/>
  <c r="Q970" i="2" s="1"/>
  <c r="O971" i="2"/>
  <c r="P971" i="2" s="1"/>
  <c r="Q971" i="2" s="1"/>
  <c r="R971" i="2" s="1"/>
  <c r="O972" i="2"/>
  <c r="P972" i="2" s="1"/>
  <c r="Q972" i="2" s="1"/>
  <c r="R972" i="2" s="1"/>
  <c r="O973" i="2"/>
  <c r="P973" i="2" s="1"/>
  <c r="Q973" i="2" s="1"/>
  <c r="R973" i="2" s="1"/>
  <c r="O974" i="2"/>
  <c r="P974" i="2" s="1"/>
  <c r="Q974" i="2" s="1"/>
  <c r="R974" i="2" s="1"/>
  <c r="O975" i="2"/>
  <c r="P975" i="2" s="1"/>
  <c r="Q975" i="2" s="1"/>
  <c r="R975" i="2" s="1"/>
  <c r="O976" i="2"/>
  <c r="P976" i="2" s="1"/>
  <c r="Q976" i="2" s="1"/>
  <c r="R976" i="2" s="1"/>
  <c r="O977" i="2"/>
  <c r="P977" i="2" s="1"/>
  <c r="Q977" i="2" s="1"/>
  <c r="R977" i="2" s="1"/>
  <c r="O978" i="2"/>
  <c r="P978" i="2" s="1"/>
  <c r="Q978" i="2" s="1"/>
  <c r="R978" i="2" s="1"/>
  <c r="O979" i="2"/>
  <c r="P979" i="2" s="1"/>
  <c r="Q979" i="2" s="1"/>
  <c r="R979" i="2" s="1"/>
  <c r="O980" i="2"/>
  <c r="P980" i="2" s="1"/>
  <c r="Q980" i="2" s="1"/>
  <c r="R980" i="2" s="1"/>
  <c r="O981" i="2"/>
  <c r="P981" i="2" s="1"/>
  <c r="Q981" i="2" s="1"/>
  <c r="R981" i="2" s="1"/>
  <c r="O982" i="2"/>
  <c r="P982" i="2" s="1"/>
  <c r="Q982" i="2" s="1"/>
  <c r="O983" i="2"/>
  <c r="P983" i="2" s="1"/>
  <c r="Q983" i="2" s="1"/>
  <c r="R983" i="2" s="1"/>
  <c r="O984" i="2"/>
  <c r="P984" i="2" s="1"/>
  <c r="Q984" i="2" s="1"/>
  <c r="R984" i="2" s="1"/>
  <c r="O985" i="2"/>
  <c r="P985" i="2" s="1"/>
  <c r="Q985" i="2" s="1"/>
  <c r="R985" i="2" s="1"/>
  <c r="O986" i="2"/>
  <c r="P986" i="2" s="1"/>
  <c r="Q986" i="2" s="1"/>
  <c r="R986" i="2" s="1"/>
  <c r="O987" i="2"/>
  <c r="P987" i="2" s="1"/>
  <c r="Q987" i="2" s="1"/>
  <c r="R987" i="2" s="1"/>
  <c r="O988" i="2"/>
  <c r="P988" i="2" s="1"/>
  <c r="Q988" i="2" s="1"/>
  <c r="R988" i="2" s="1"/>
  <c r="O989" i="2"/>
  <c r="P989" i="2" s="1"/>
  <c r="Q989" i="2" s="1"/>
  <c r="R989" i="2" s="1"/>
  <c r="O990" i="2"/>
  <c r="P990" i="2" s="1"/>
  <c r="Q990" i="2" s="1"/>
  <c r="R990" i="2" s="1"/>
  <c r="O991" i="2"/>
  <c r="P991" i="2" s="1"/>
  <c r="Q991" i="2" s="1"/>
  <c r="R991" i="2" s="1"/>
  <c r="O992" i="2"/>
  <c r="P992" i="2" s="1"/>
  <c r="Q992" i="2" s="1"/>
  <c r="R992" i="2" s="1"/>
  <c r="O993" i="2"/>
  <c r="P993" i="2" s="1"/>
  <c r="Q993" i="2" s="1"/>
  <c r="R993" i="2" s="1"/>
  <c r="O994" i="2"/>
  <c r="P994" i="2" s="1"/>
  <c r="Q994" i="2" s="1"/>
  <c r="O995" i="2"/>
  <c r="P995" i="2" s="1"/>
  <c r="Q995" i="2" s="1"/>
  <c r="R995" i="2" s="1"/>
  <c r="O996" i="2"/>
  <c r="P996" i="2" s="1"/>
  <c r="Q996" i="2" s="1"/>
  <c r="R996" i="2" s="1"/>
  <c r="O997" i="2"/>
  <c r="P997" i="2" s="1"/>
  <c r="Q997" i="2" s="1"/>
  <c r="R997" i="2" s="1"/>
  <c r="O998" i="2"/>
  <c r="P998" i="2" s="1"/>
  <c r="Q998" i="2" s="1"/>
  <c r="R998" i="2" s="1"/>
  <c r="O999" i="2"/>
  <c r="P999" i="2" s="1"/>
  <c r="Q999" i="2" s="1"/>
  <c r="R999" i="2" s="1"/>
  <c r="O1000" i="2"/>
  <c r="P1000" i="2" s="1"/>
  <c r="Q1000" i="2" s="1"/>
  <c r="R1000" i="2" s="1"/>
  <c r="O1001" i="2"/>
  <c r="P1001" i="2" s="1"/>
  <c r="Q1001" i="2" s="1"/>
  <c r="R1001" i="2" s="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R2" i="2" l="1"/>
  <c r="Y8" i="5" s="1"/>
</calcChain>
</file>

<file path=xl/sharedStrings.xml><?xml version="1.0" encoding="utf-8"?>
<sst xmlns="http://schemas.openxmlformats.org/spreadsheetml/2006/main" count="16271" uniqueCount="1071">
  <si>
    <t>Drug Name</t>
  </si>
  <si>
    <t>Manufacturer</t>
  </si>
  <si>
    <t>Dosage Form</t>
  </si>
  <si>
    <t>Strength</t>
  </si>
  <si>
    <t>Package Size</t>
  </si>
  <si>
    <t>Units Sold</t>
  </si>
  <si>
    <t>Revenue</t>
  </si>
  <si>
    <t>Sale Date</t>
  </si>
  <si>
    <t>Region</t>
  </si>
  <si>
    <t>Sales Representative</t>
  </si>
  <si>
    <t>Customer Type</t>
  </si>
  <si>
    <t>Drug B</t>
  </si>
  <si>
    <t>Company W</t>
  </si>
  <si>
    <t>Tablet</t>
  </si>
  <si>
    <t>100 mg/ml</t>
  </si>
  <si>
    <t>50 g</t>
  </si>
  <si>
    <t>South America</t>
  </si>
  <si>
    <t>Susan Hernandez</t>
  </si>
  <si>
    <t>Clinics</t>
  </si>
  <si>
    <t>Company X</t>
  </si>
  <si>
    <t>Cream</t>
  </si>
  <si>
    <t>500 mg</t>
  </si>
  <si>
    <t>100 ml</t>
  </si>
  <si>
    <t>Jackie Wagner</t>
  </si>
  <si>
    <t>Drug E</t>
  </si>
  <si>
    <t>Capsule</t>
  </si>
  <si>
    <t>50 mg</t>
  </si>
  <si>
    <t>Africa</t>
  </si>
  <si>
    <t>Mariah Mccoy</t>
  </si>
  <si>
    <t>Hospitals</t>
  </si>
  <si>
    <t>Injection</t>
  </si>
  <si>
    <t>10 mg</t>
  </si>
  <si>
    <t>Asia</t>
  </si>
  <si>
    <t>Courtney Doyle</t>
  </si>
  <si>
    <t>Pharmacy</t>
  </si>
  <si>
    <t>Drug C</t>
  </si>
  <si>
    <t>Company V</t>
  </si>
  <si>
    <t>Dawn Torres</t>
  </si>
  <si>
    <t>10 ml</t>
  </si>
  <si>
    <t>Europe</t>
  </si>
  <si>
    <t>Jessica Faulkner</t>
  </si>
  <si>
    <t>North America</t>
  </si>
  <si>
    <t>Alicia Howard</t>
  </si>
  <si>
    <t>David Hill</t>
  </si>
  <si>
    <t>Online Pharmacy</t>
  </si>
  <si>
    <t>Drug A</t>
  </si>
  <si>
    <t>Matthew Johnson</t>
  </si>
  <si>
    <t>Supermarkets</t>
  </si>
  <si>
    <t>Kimberly Murphy</t>
  </si>
  <si>
    <t>Company Y</t>
  </si>
  <si>
    <t>Tyler Brown</t>
  </si>
  <si>
    <t>Company Z</t>
  </si>
  <si>
    <t>Sheila Coleman</t>
  </si>
  <si>
    <t>Douglas Rodriguez</t>
  </si>
  <si>
    <t>Brandi King</t>
  </si>
  <si>
    <t>Susan Brewer</t>
  </si>
  <si>
    <t>Latoya Wright</t>
  </si>
  <si>
    <t>Richard Edwards</t>
  </si>
  <si>
    <t>Mr. Michael Taylor</t>
  </si>
  <si>
    <t>Syrup</t>
  </si>
  <si>
    <t>Angela Castro</t>
  </si>
  <si>
    <t>Christie Brown</t>
  </si>
  <si>
    <t>Annette Fisher</t>
  </si>
  <si>
    <t>Katelyn Smith</t>
  </si>
  <si>
    <t>Drug D</t>
  </si>
  <si>
    <t>Crystal Lawrence</t>
  </si>
  <si>
    <t>250 mg</t>
  </si>
  <si>
    <t>Katherine Sexton</t>
  </si>
  <si>
    <t>Felicia Jones</t>
  </si>
  <si>
    <t>Lisa Johnson</t>
  </si>
  <si>
    <t>Amber Hill</t>
  </si>
  <si>
    <t>Rebecca Lawrence</t>
  </si>
  <si>
    <t>John Smith</t>
  </si>
  <si>
    <t>Scott Jones</t>
  </si>
  <si>
    <t>Cynthia Cook</t>
  </si>
  <si>
    <t>Randy Dunn</t>
  </si>
  <si>
    <t>Michael Cisneros</t>
  </si>
  <si>
    <t>Crystal Keller</t>
  </si>
  <si>
    <t>Christina Lopez</t>
  </si>
  <si>
    <t>Christopher Taylor</t>
  </si>
  <si>
    <t>Lisa Alvarado</t>
  </si>
  <si>
    <t>Kerry Oneill</t>
  </si>
  <si>
    <t>Stephanie Collins</t>
  </si>
  <si>
    <t>Brian Williams</t>
  </si>
  <si>
    <t>Laura Vance</t>
  </si>
  <si>
    <t>Sierra Edwards</t>
  </si>
  <si>
    <t>Lisa Hunter</t>
  </si>
  <si>
    <t>Jeffrey Lane</t>
  </si>
  <si>
    <t>Terri Floyd</t>
  </si>
  <si>
    <t>Patrick Valenzuela</t>
  </si>
  <si>
    <t>Todd Roberts</t>
  </si>
  <si>
    <t>Jessica Donovan</t>
  </si>
  <si>
    <t>Sean Smith</t>
  </si>
  <si>
    <t>Laura Brown</t>
  </si>
  <si>
    <t>Dr. Michael Ortiz</t>
  </si>
  <si>
    <t>Paul Valdez</t>
  </si>
  <si>
    <t>Cassandra Diaz</t>
  </si>
  <si>
    <t>Matthew Richards</t>
  </si>
  <si>
    <t>Travis Gonzalez</t>
  </si>
  <si>
    <t>Sandra Murray</t>
  </si>
  <si>
    <t>Tammy Harper</t>
  </si>
  <si>
    <t>Dwayne Johnson</t>
  </si>
  <si>
    <t>Mary Dorsey</t>
  </si>
  <si>
    <t>Brian Beasley</t>
  </si>
  <si>
    <t>Russell Wong</t>
  </si>
  <si>
    <t>Jason Levy</t>
  </si>
  <si>
    <t>Lindsey Shepherd</t>
  </si>
  <si>
    <t>Matthew Nolan</t>
  </si>
  <si>
    <t>Stephen Schroeder</t>
  </si>
  <si>
    <t>Jennifer Taylor</t>
  </si>
  <si>
    <t>John Ewing</t>
  </si>
  <si>
    <t>Kimberly Blackburn</t>
  </si>
  <si>
    <t>Michael Jones</t>
  </si>
  <si>
    <t>Jacob Salinas</t>
  </si>
  <si>
    <t>Brianna Alexander</t>
  </si>
  <si>
    <t>Patricia Gonzales</t>
  </si>
  <si>
    <t>Caitlyn Juarez</t>
  </si>
  <si>
    <t>Willie Horn</t>
  </si>
  <si>
    <t>Tracy Bond</t>
  </si>
  <si>
    <t>Mark Martin</t>
  </si>
  <si>
    <t>William Wolf MD</t>
  </si>
  <si>
    <t>Kelsey Phillips</t>
  </si>
  <si>
    <t>Corey Weaver</t>
  </si>
  <si>
    <t>Brendan Garza</t>
  </si>
  <si>
    <t>Jeanette Vasquez</t>
  </si>
  <si>
    <t>Jeffrey Rivera</t>
  </si>
  <si>
    <t>Brandy Henderson</t>
  </si>
  <si>
    <t>Robert Jones</t>
  </si>
  <si>
    <t>Jason Caldwell</t>
  </si>
  <si>
    <t>Cynthia Thomas</t>
  </si>
  <si>
    <t>Alicia Lambert</t>
  </si>
  <si>
    <t>Michelle Abbott</t>
  </si>
  <si>
    <t>Robin Roth</t>
  </si>
  <si>
    <t>Emily Mills</t>
  </si>
  <si>
    <t>Michael Roberson</t>
  </si>
  <si>
    <t>Heather Adams</t>
  </si>
  <si>
    <t>Anna Ford</t>
  </si>
  <si>
    <t>Brian Greer</t>
  </si>
  <si>
    <t>Joshua Gomez</t>
  </si>
  <si>
    <t>Michael Orr</t>
  </si>
  <si>
    <t>Elizabeth Powell</t>
  </si>
  <si>
    <t>Steven Decker</t>
  </si>
  <si>
    <t>Lisa Friedman</t>
  </si>
  <si>
    <t>Jeremy Brandt</t>
  </si>
  <si>
    <t>Cheryl Campbell</t>
  </si>
  <si>
    <t>Emily Turner</t>
  </si>
  <si>
    <t>Cheryl Morris</t>
  </si>
  <si>
    <t>Richard Mendoza</t>
  </si>
  <si>
    <t>Isabel Whitaker</t>
  </si>
  <si>
    <t>Darryl Nicholson</t>
  </si>
  <si>
    <t>Patricia Mclean</t>
  </si>
  <si>
    <t>Raymond Scott</t>
  </si>
  <si>
    <t>Cindy Diaz</t>
  </si>
  <si>
    <t>Timothy Bradley</t>
  </si>
  <si>
    <t>Chad Lewis</t>
  </si>
  <si>
    <t>Ashley White</t>
  </si>
  <si>
    <t>Emily Scott</t>
  </si>
  <si>
    <t>Kelly Berry</t>
  </si>
  <si>
    <t>Michael Miller</t>
  </si>
  <si>
    <t>Brian Coleman</t>
  </si>
  <si>
    <t>James Sexton</t>
  </si>
  <si>
    <t>Mitchell Butler</t>
  </si>
  <si>
    <t>Jeremy Mcdaniel</t>
  </si>
  <si>
    <t>Heidi Joseph</t>
  </si>
  <si>
    <t>Caitlyn Smith</t>
  </si>
  <si>
    <t>Robert Brown</t>
  </si>
  <si>
    <t>Catherine Porter</t>
  </si>
  <si>
    <t>Angela Pierce</t>
  </si>
  <si>
    <t>Jason Taylor</t>
  </si>
  <si>
    <t>Stephen Rodriguez</t>
  </si>
  <si>
    <t>Lisa Gross</t>
  </si>
  <si>
    <t>Wyatt Norris</t>
  </si>
  <si>
    <t>Victoria Maldonado</t>
  </si>
  <si>
    <t>Stacey Jordan</t>
  </si>
  <si>
    <t>Isabella Alvarado</t>
  </si>
  <si>
    <t>Anna Griffin</t>
  </si>
  <si>
    <t>Jason Sanders</t>
  </si>
  <si>
    <t>Kevin Sanford</t>
  </si>
  <si>
    <t>Corey Miller</t>
  </si>
  <si>
    <t>Ronald Caldwell</t>
  </si>
  <si>
    <t>Andre Castillo</t>
  </si>
  <si>
    <t>Jessica Nelson</t>
  </si>
  <si>
    <t>Darin Smith</t>
  </si>
  <si>
    <t>Carmen Bailey</t>
  </si>
  <si>
    <t>Kristopher Martinez</t>
  </si>
  <si>
    <t>Joseph Brewer</t>
  </si>
  <si>
    <t>Michael Guzman</t>
  </si>
  <si>
    <t>Theresa Hansen</t>
  </si>
  <si>
    <t>Daniel Murillo</t>
  </si>
  <si>
    <t>Jake Cook</t>
  </si>
  <si>
    <t>Gary Grant</t>
  </si>
  <si>
    <t>Don Brown</t>
  </si>
  <si>
    <t>Shelby Johnson</t>
  </si>
  <si>
    <t>Virginia Phillips</t>
  </si>
  <si>
    <t>Melissa Kennedy</t>
  </si>
  <si>
    <t>Patricia Norris</t>
  </si>
  <si>
    <t>Taylor Barnes</t>
  </si>
  <si>
    <t>Christina Montoya</t>
  </si>
  <si>
    <t>Brittney Gonzales</t>
  </si>
  <si>
    <t>Stephanie Williams</t>
  </si>
  <si>
    <t>Hayden Rodriguez</t>
  </si>
  <si>
    <t>Susan Mccoy</t>
  </si>
  <si>
    <t>Keith Payne</t>
  </si>
  <si>
    <t>John Lindsey</t>
  </si>
  <si>
    <t>Hannah Long</t>
  </si>
  <si>
    <t>Kevin Gates</t>
  </si>
  <si>
    <t>Ricky Garner</t>
  </si>
  <si>
    <t>Elizabeth Lopez</t>
  </si>
  <si>
    <t>Gary Valencia</t>
  </si>
  <si>
    <t>Emily Brown</t>
  </si>
  <si>
    <t>Richard Stewart</t>
  </si>
  <si>
    <t>Aaron Cline</t>
  </si>
  <si>
    <t>Joshua Phillips</t>
  </si>
  <si>
    <t>Tammy Wolfe</t>
  </si>
  <si>
    <t>Catherine Henry</t>
  </si>
  <si>
    <t>Tiffany Lane</t>
  </si>
  <si>
    <t>Jodi Lowe</t>
  </si>
  <si>
    <t>James Elliott</t>
  </si>
  <si>
    <t>Cody Williams</t>
  </si>
  <si>
    <t>Brian Sanchez</t>
  </si>
  <si>
    <t>Teresa Taylor</t>
  </si>
  <si>
    <t>Dana Sharp</t>
  </si>
  <si>
    <t>Kevin Boyle</t>
  </si>
  <si>
    <t>Dennis Wilson</t>
  </si>
  <si>
    <t>Darrell Parsons</t>
  </si>
  <si>
    <t>Charles Roberson</t>
  </si>
  <si>
    <t>Jodi Reed</t>
  </si>
  <si>
    <t>Lisa Williams</t>
  </si>
  <si>
    <t>Meagan Braun</t>
  </si>
  <si>
    <t>Michael Gibson</t>
  </si>
  <si>
    <t>Mark Rivas</t>
  </si>
  <si>
    <t>Paul Sullivan</t>
  </si>
  <si>
    <t>Mr. Kevin Larson</t>
  </si>
  <si>
    <t>George White</t>
  </si>
  <si>
    <t>John Davis</t>
  </si>
  <si>
    <t>Kevin Clark</t>
  </si>
  <si>
    <t>John Orozco</t>
  </si>
  <si>
    <t>Danielle Thomas</t>
  </si>
  <si>
    <t>Yolanda Sims</t>
  </si>
  <si>
    <t>John Allen</t>
  </si>
  <si>
    <t>Larry Dunn</t>
  </si>
  <si>
    <t>Robert Clark</t>
  </si>
  <si>
    <t>Pamela Benson</t>
  </si>
  <si>
    <t>Emily Wright</t>
  </si>
  <si>
    <t>Robert Johnson</t>
  </si>
  <si>
    <t>Phillip Turner</t>
  </si>
  <si>
    <t>Antonio Murphy</t>
  </si>
  <si>
    <t>Erin Cline</t>
  </si>
  <si>
    <t>Jessica Morris</t>
  </si>
  <si>
    <t>Stephen Smith</t>
  </si>
  <si>
    <t>Kayla Meyer</t>
  </si>
  <si>
    <t>Cynthia Phillips</t>
  </si>
  <si>
    <t>James Smith</t>
  </si>
  <si>
    <t>Jacob Spencer</t>
  </si>
  <si>
    <t>Joseph Marks</t>
  </si>
  <si>
    <t>James Campbell</t>
  </si>
  <si>
    <t>Kristina Simpson</t>
  </si>
  <si>
    <t>Cody Robbins</t>
  </si>
  <si>
    <t>Karen Buchanan</t>
  </si>
  <si>
    <t>James Haley</t>
  </si>
  <si>
    <t>Sarah Hammond</t>
  </si>
  <si>
    <t>Rebecca Jackson</t>
  </si>
  <si>
    <t>Angela Nunez</t>
  </si>
  <si>
    <t>Richard Gutierrez</t>
  </si>
  <si>
    <t>Barbara Kim</t>
  </si>
  <si>
    <t>Elizabeth Mcdaniel</t>
  </si>
  <si>
    <t>Jamie Fischer</t>
  </si>
  <si>
    <t>Andre Bauer</t>
  </si>
  <si>
    <t>Robert Graham</t>
  </si>
  <si>
    <t>Elizabeth Adams</t>
  </si>
  <si>
    <t>Richard Lawson</t>
  </si>
  <si>
    <t>Christopher Fischer</t>
  </si>
  <si>
    <t>Jasmine Day</t>
  </si>
  <si>
    <t>Lisa Cordova</t>
  </si>
  <si>
    <t>Alejandro Bishop</t>
  </si>
  <si>
    <t>David Anderson</t>
  </si>
  <si>
    <t>Sara Chapman</t>
  </si>
  <si>
    <t>Kevin Wilson</t>
  </si>
  <si>
    <t>Edward Silva</t>
  </si>
  <si>
    <t>Erika Robinson</t>
  </si>
  <si>
    <t>Lauren Baker</t>
  </si>
  <si>
    <t>Christopher Wilson</t>
  </si>
  <si>
    <t>Steven Bray</t>
  </si>
  <si>
    <t>Sharon Carter</t>
  </si>
  <si>
    <t>Gregg Yu</t>
  </si>
  <si>
    <t>Bradley Pennington</t>
  </si>
  <si>
    <t>Angelica Hensley</t>
  </si>
  <si>
    <t>Benjamin Holloway</t>
  </si>
  <si>
    <t>Michael Williams</t>
  </si>
  <si>
    <t>William Ford</t>
  </si>
  <si>
    <t>Miss Elizabeth Evans</t>
  </si>
  <si>
    <t>James Mccarty</t>
  </si>
  <si>
    <t>Adam Cox</t>
  </si>
  <si>
    <t>Brandon Cooper</t>
  </si>
  <si>
    <t>Cathy Gonzalez</t>
  </si>
  <si>
    <t>Mrs. Hailey Johnson DDS</t>
  </si>
  <si>
    <t>Austin Martinez</t>
  </si>
  <si>
    <t>Stephanie Davis</t>
  </si>
  <si>
    <t>Erica Bass</t>
  </si>
  <si>
    <t>Jonathan Brown</t>
  </si>
  <si>
    <t>Zachary Miller</t>
  </si>
  <si>
    <t>Dr. Laura Shaffer</t>
  </si>
  <si>
    <t>Paul Smith</t>
  </si>
  <si>
    <t>Stacey Hart</t>
  </si>
  <si>
    <t>Dr. Sara Wilson</t>
  </si>
  <si>
    <t>Gary Lucas</t>
  </si>
  <si>
    <t>Jacqueline Greene</t>
  </si>
  <si>
    <t>Joseph Ross</t>
  </si>
  <si>
    <t>John Davila</t>
  </si>
  <si>
    <t>Jerry Michael</t>
  </si>
  <si>
    <t>Christina Blankenship</t>
  </si>
  <si>
    <t>Daniel Bryant</t>
  </si>
  <si>
    <t>Maria Moore</t>
  </si>
  <si>
    <t>Danny Pennington</t>
  </si>
  <si>
    <t>Geoffrey Elliott</t>
  </si>
  <si>
    <t>Heather Simmons</t>
  </si>
  <si>
    <t>Mark Mckinney</t>
  </si>
  <si>
    <t>Amy Dickson</t>
  </si>
  <si>
    <t>Bradley Dean</t>
  </si>
  <si>
    <t>Dylan Warren</t>
  </si>
  <si>
    <t>Ryan Thompson</t>
  </si>
  <si>
    <t>Alicia Flynn</t>
  </si>
  <si>
    <t>Felicia Wallace</t>
  </si>
  <si>
    <t>Jeffrey Molina</t>
  </si>
  <si>
    <t>Dustin Stephenson</t>
  </si>
  <si>
    <t>Autumn Francis</t>
  </si>
  <si>
    <t>Audrey Pennington</t>
  </si>
  <si>
    <t>Thomas Chapman</t>
  </si>
  <si>
    <t>David Johnson</t>
  </si>
  <si>
    <t>Donna Lucas</t>
  </si>
  <si>
    <t>Michael Robinson</t>
  </si>
  <si>
    <t>Austin Martin</t>
  </si>
  <si>
    <t>Julie Ferguson</t>
  </si>
  <si>
    <t>Justin Coffey</t>
  </si>
  <si>
    <t>Daniel Kelly</t>
  </si>
  <si>
    <t>Leah Miller</t>
  </si>
  <si>
    <t>Amy Jackson</t>
  </si>
  <si>
    <t>Brian Dennis</t>
  </si>
  <si>
    <t>Elizabeth Branch</t>
  </si>
  <si>
    <t>Rebecca Baker</t>
  </si>
  <si>
    <t>Ryan Beck</t>
  </si>
  <si>
    <t>Annette Bartlett</t>
  </si>
  <si>
    <t>Cameron Garcia</t>
  </si>
  <si>
    <t>Carlos Sawyer</t>
  </si>
  <si>
    <t>Anthony Bell</t>
  </si>
  <si>
    <t>Adam Brown</t>
  </si>
  <si>
    <t>Phyllis Robertson</t>
  </si>
  <si>
    <t>Justin Hamilton</t>
  </si>
  <si>
    <t>Lucas Dunn</t>
  </si>
  <si>
    <t>Aaron Douglas</t>
  </si>
  <si>
    <t>Gregory Ross</t>
  </si>
  <si>
    <t>Corey Wong</t>
  </si>
  <si>
    <t>Bobby Price</t>
  </si>
  <si>
    <t>Nicole Jones</t>
  </si>
  <si>
    <t>Bonnie Thompson</t>
  </si>
  <si>
    <t>Dawn Rogers</t>
  </si>
  <si>
    <t>Robert Kelley</t>
  </si>
  <si>
    <t>Anna Jordan</t>
  </si>
  <si>
    <t>Seth Jenkins</t>
  </si>
  <si>
    <t>Tiffany Brown</t>
  </si>
  <si>
    <t>Michael Ortiz</t>
  </si>
  <si>
    <t>Lauren Brown</t>
  </si>
  <si>
    <t>Barbara Richard</t>
  </si>
  <si>
    <t>Haley Maldonado</t>
  </si>
  <si>
    <t>Timothy Crosby</t>
  </si>
  <si>
    <t>Robin Benton</t>
  </si>
  <si>
    <t>Mr. David Bennett</t>
  </si>
  <si>
    <t>Alexander Maynard</t>
  </si>
  <si>
    <t>Julia Stevens</t>
  </si>
  <si>
    <t>Kimberly Stewart</t>
  </si>
  <si>
    <t>Rachel Allen</t>
  </si>
  <si>
    <t>Tracy Erickson</t>
  </si>
  <si>
    <t>William Parks</t>
  </si>
  <si>
    <t>Paul Morgan</t>
  </si>
  <si>
    <t>Jessica Vincent</t>
  </si>
  <si>
    <t>Elizabeth Ray</t>
  </si>
  <si>
    <t>James Graham</t>
  </si>
  <si>
    <t>Darrell Kelly</t>
  </si>
  <si>
    <t>Richard Thomas</t>
  </si>
  <si>
    <t>Laura Gregory</t>
  </si>
  <si>
    <t>David Castro</t>
  </si>
  <si>
    <t>Jessica Webster</t>
  </si>
  <si>
    <t>Cristina Stevens</t>
  </si>
  <si>
    <t>Lauren Bryant</t>
  </si>
  <si>
    <t>Adam Shelton</t>
  </si>
  <si>
    <t>Ashley Pittman</t>
  </si>
  <si>
    <t>Miss Amy Perry</t>
  </si>
  <si>
    <t>Johnny Kim</t>
  </si>
  <si>
    <t>Yvonne Rogers</t>
  </si>
  <si>
    <t>Mr. Kevin Duffy</t>
  </si>
  <si>
    <t>Angela Brown</t>
  </si>
  <si>
    <t>Lauren Gilbert</t>
  </si>
  <si>
    <t>Michael Solis</t>
  </si>
  <si>
    <t>Andre Skinner</t>
  </si>
  <si>
    <t>Jamie Martin</t>
  </si>
  <si>
    <t>Allison Alvarado</t>
  </si>
  <si>
    <t>Amy Anderson</t>
  </si>
  <si>
    <t>Ariel Brown</t>
  </si>
  <si>
    <t>John Newman</t>
  </si>
  <si>
    <t>Jon Richardson</t>
  </si>
  <si>
    <t>Sarah Burnett</t>
  </si>
  <si>
    <t>Jason Bradley</t>
  </si>
  <si>
    <t>Brendan Harrington</t>
  </si>
  <si>
    <t>Danny Bernard</t>
  </si>
  <si>
    <t>Timothy Villanueva</t>
  </si>
  <si>
    <t>Amy Adams</t>
  </si>
  <si>
    <t>Casey Coleman</t>
  </si>
  <si>
    <t>Samuel Lopez</t>
  </si>
  <si>
    <t>Joseph Johnson</t>
  </si>
  <si>
    <t>Mark Reed</t>
  </si>
  <si>
    <t>Maurice Mcintosh</t>
  </si>
  <si>
    <t>Ryan Cardenas</t>
  </si>
  <si>
    <t>Rachel Robinson</t>
  </si>
  <si>
    <t>Charles Wagner</t>
  </si>
  <si>
    <t>Donna White</t>
  </si>
  <si>
    <t>Shane Burke</t>
  </si>
  <si>
    <t>Daniel Newton</t>
  </si>
  <si>
    <t>Anita Morgan</t>
  </si>
  <si>
    <t>Sheryl Ramos</t>
  </si>
  <si>
    <t>Robert Cline</t>
  </si>
  <si>
    <t>Katherine Smith</t>
  </si>
  <si>
    <t>Sarah Martin</t>
  </si>
  <si>
    <t>Maria Sullivan</t>
  </si>
  <si>
    <t>Janet Bates</t>
  </si>
  <si>
    <t>Jorge Garcia</t>
  </si>
  <si>
    <t>Jacob Bennett</t>
  </si>
  <si>
    <t>Sarah Davila</t>
  </si>
  <si>
    <t>Carolyn Rhodes</t>
  </si>
  <si>
    <t>Erik Silva</t>
  </si>
  <si>
    <t>Eric Lee</t>
  </si>
  <si>
    <t>David Bell</t>
  </si>
  <si>
    <t>Raymond Aguirre</t>
  </si>
  <si>
    <t>Juan Webb</t>
  </si>
  <si>
    <t>Daniel Poole</t>
  </si>
  <si>
    <t>Joseph Howard</t>
  </si>
  <si>
    <t>Madison Butler</t>
  </si>
  <si>
    <t>Cameron Hunter</t>
  </si>
  <si>
    <t>Brian Dodson</t>
  </si>
  <si>
    <t>Savannah Brown</t>
  </si>
  <si>
    <t>John Gates</t>
  </si>
  <si>
    <t>Christine Willis</t>
  </si>
  <si>
    <t>Rebecca Taylor</t>
  </si>
  <si>
    <t>Lauren Johnson</t>
  </si>
  <si>
    <t>Candace Bowen</t>
  </si>
  <si>
    <t>Chase Melendez</t>
  </si>
  <si>
    <t>Mr. Austin Park</t>
  </si>
  <si>
    <t>Wendy Cowan</t>
  </si>
  <si>
    <t>Shelly Ball</t>
  </si>
  <si>
    <t>Nancy Evans</t>
  </si>
  <si>
    <t>Cathy Hooper</t>
  </si>
  <si>
    <t>Amy Garcia</t>
  </si>
  <si>
    <t>Deborah Lopez</t>
  </si>
  <si>
    <t>Tiffany Lucas</t>
  </si>
  <si>
    <t>Karen Garcia</t>
  </si>
  <si>
    <t>Tracy Wagner</t>
  </si>
  <si>
    <t>Kimberly Hudson</t>
  </si>
  <si>
    <t>Walter Maldonado</t>
  </si>
  <si>
    <t>Tyrone Doyle</t>
  </si>
  <si>
    <t>Sherry Adams</t>
  </si>
  <si>
    <t>Brooke Russell</t>
  </si>
  <si>
    <t>Stephanie Boyd</t>
  </si>
  <si>
    <t>Thomas Vega</t>
  </si>
  <si>
    <t>Maria Lewis</t>
  </si>
  <si>
    <t>Alexis Luna</t>
  </si>
  <si>
    <t>Hannah Lynch</t>
  </si>
  <si>
    <t>Todd Ortiz</t>
  </si>
  <si>
    <t>Wanda Salazar</t>
  </si>
  <si>
    <t>Margaret Patel</t>
  </si>
  <si>
    <t>Kevin Morrow</t>
  </si>
  <si>
    <t>Todd Lewis</t>
  </si>
  <si>
    <t>Michael Hernandez</t>
  </si>
  <si>
    <t>Allison Duran</t>
  </si>
  <si>
    <t>Angela Freeman</t>
  </si>
  <si>
    <t>Jessica Andrews</t>
  </si>
  <si>
    <t>Jay Tate</t>
  </si>
  <si>
    <t>Keith Davis</t>
  </si>
  <si>
    <t>Dennis Simmons</t>
  </si>
  <si>
    <t>Joshua Spencer</t>
  </si>
  <si>
    <t>Ronnie Becker</t>
  </si>
  <si>
    <t>Brittany Knight</t>
  </si>
  <si>
    <t>Mrs. Tammy Ferguson</t>
  </si>
  <si>
    <t>Daniel Flores</t>
  </si>
  <si>
    <t>Jocelyn Adams</t>
  </si>
  <si>
    <t>Ronald Lopez</t>
  </si>
  <si>
    <t>Sarah Anderson</t>
  </si>
  <si>
    <t>Bryan Gonzalez</t>
  </si>
  <si>
    <t>Steven Knox</t>
  </si>
  <si>
    <t>Anna Shepherd</t>
  </si>
  <si>
    <t>Shawn Delgado DVM</t>
  </si>
  <si>
    <t>Debra Nichols</t>
  </si>
  <si>
    <t>Leslie Cruz</t>
  </si>
  <si>
    <t>Tamara Ryan</t>
  </si>
  <si>
    <t>Lisa Wallace</t>
  </si>
  <si>
    <t>Judy Alvarado</t>
  </si>
  <si>
    <t>William Jones</t>
  </si>
  <si>
    <t>Timothy Lewis</t>
  </si>
  <si>
    <t>Kristin Stewart</t>
  </si>
  <si>
    <t>Michael Gaines</t>
  </si>
  <si>
    <t>Rebecca Turner</t>
  </si>
  <si>
    <t>Kevin Johnson</t>
  </si>
  <si>
    <t>Michelle Bowman</t>
  </si>
  <si>
    <t>Michael Burch</t>
  </si>
  <si>
    <t>Angel Gonzalez</t>
  </si>
  <si>
    <t>Tammy Dunlap</t>
  </si>
  <si>
    <t>John Ramirez</t>
  </si>
  <si>
    <t>Peter Barron</t>
  </si>
  <si>
    <t>Paige Davis</t>
  </si>
  <si>
    <t>Thomas Miller</t>
  </si>
  <si>
    <t>Miss Sara Hamilton</t>
  </si>
  <si>
    <t>Brian Little</t>
  </si>
  <si>
    <t>Charles White</t>
  </si>
  <si>
    <t>Elizabeth Carrillo</t>
  </si>
  <si>
    <t>Amber Garcia</t>
  </si>
  <si>
    <t>Katherine Velazquez</t>
  </si>
  <si>
    <t>Brian Barnes</t>
  </si>
  <si>
    <t>Susan Osborne</t>
  </si>
  <si>
    <t>Robin Owens</t>
  </si>
  <si>
    <t>Mr. Erik Bennett</t>
  </si>
  <si>
    <t>Sarah Whitney</t>
  </si>
  <si>
    <t>Thomas Mitchell</t>
  </si>
  <si>
    <t>Thomas Houston</t>
  </si>
  <si>
    <t>Kathleen Jenkins DVM</t>
  </si>
  <si>
    <t>Sara Gillespie</t>
  </si>
  <si>
    <t>Jennifer Jones</t>
  </si>
  <si>
    <t>James Gonzalez</t>
  </si>
  <si>
    <t>Katherine George</t>
  </si>
  <si>
    <t>Melissa Spence</t>
  </si>
  <si>
    <t>Renee Thompson</t>
  </si>
  <si>
    <t>David Hall</t>
  </si>
  <si>
    <t>Patricia Herrera</t>
  </si>
  <si>
    <t>Alan Sloan</t>
  </si>
  <si>
    <t>Tami Robles</t>
  </si>
  <si>
    <t>Edgar Hughes</t>
  </si>
  <si>
    <t>Melissa Gonzalez</t>
  </si>
  <si>
    <t>Joseph Gregory</t>
  </si>
  <si>
    <t>Daniel Bray</t>
  </si>
  <si>
    <t>Angela Gibson</t>
  </si>
  <si>
    <t>Luke Moore</t>
  </si>
  <si>
    <t>Darren Allen</t>
  </si>
  <si>
    <t>Sarah Gallagher</t>
  </si>
  <si>
    <t>Scott Chandler</t>
  </si>
  <si>
    <t>Kathy Ward</t>
  </si>
  <si>
    <t>Anthony Gutierrez</t>
  </si>
  <si>
    <t>Sharon Weiss</t>
  </si>
  <si>
    <t>Monica Brown</t>
  </si>
  <si>
    <t>Stephanie Savage</t>
  </si>
  <si>
    <t>Miguel Harrell</t>
  </si>
  <si>
    <t>Carol Sullivan</t>
  </si>
  <si>
    <t>Amanda Adams</t>
  </si>
  <si>
    <t>Heather Shah</t>
  </si>
  <si>
    <t>Michael Wright</t>
  </si>
  <si>
    <t>Rachel Chavez</t>
  </si>
  <si>
    <t>Alexander Moore</t>
  </si>
  <si>
    <t>Michael Scott</t>
  </si>
  <si>
    <t>Miranda Price</t>
  </si>
  <si>
    <t>Harold Sullivan</t>
  </si>
  <si>
    <t>Renee Barton</t>
  </si>
  <si>
    <t>Kevin Patterson</t>
  </si>
  <si>
    <t>Philip Bennett</t>
  </si>
  <si>
    <t>David Walker</t>
  </si>
  <si>
    <t>Sara Hill</t>
  </si>
  <si>
    <t>Ethan Lewis</t>
  </si>
  <si>
    <t>Cassandra Marshall</t>
  </si>
  <si>
    <t>Brenda Rice</t>
  </si>
  <si>
    <t>Megan Ingram</t>
  </si>
  <si>
    <t>Kevin Campbell</t>
  </si>
  <si>
    <t>Kelly Green</t>
  </si>
  <si>
    <t>Terri Hernandez</t>
  </si>
  <si>
    <t>Morgan Kelly</t>
  </si>
  <si>
    <t>Brenda Stewart</t>
  </si>
  <si>
    <t>Patrick Hunt</t>
  </si>
  <si>
    <t>Natalie Parks</t>
  </si>
  <si>
    <t>Shirley Hawkins</t>
  </si>
  <si>
    <t>John Serrano</t>
  </si>
  <si>
    <t>Brian Young</t>
  </si>
  <si>
    <t>Elizabeth Collins</t>
  </si>
  <si>
    <t>Sabrina Campbell</t>
  </si>
  <si>
    <t>Katrina Horn</t>
  </si>
  <si>
    <t>Jennifer Oconnell</t>
  </si>
  <si>
    <t>Jenny Cook</t>
  </si>
  <si>
    <t>Hannah Wright</t>
  </si>
  <si>
    <t>Michael Perkins</t>
  </si>
  <si>
    <t>Scott Fowler</t>
  </si>
  <si>
    <t>Julie Fisher</t>
  </si>
  <si>
    <t>Troy Kennedy</t>
  </si>
  <si>
    <t>Jill Howard</t>
  </si>
  <si>
    <t>Miranda Jones</t>
  </si>
  <si>
    <t>Jasmine Frank</t>
  </si>
  <si>
    <t>Ashlee Macdonald</t>
  </si>
  <si>
    <t>Lori Maldonado</t>
  </si>
  <si>
    <t>Kristy Taylor</t>
  </si>
  <si>
    <t>Hunter Nguyen</t>
  </si>
  <si>
    <t>Zachary Dyer</t>
  </si>
  <si>
    <t>James Lee</t>
  </si>
  <si>
    <t>Phillip Adkins</t>
  </si>
  <si>
    <t>Roger Larsen</t>
  </si>
  <si>
    <t>Rebecca Vargas</t>
  </si>
  <si>
    <t>Karen Kent</t>
  </si>
  <si>
    <t>Heather Dawson</t>
  </si>
  <si>
    <t>Carrie Reese</t>
  </si>
  <si>
    <t>Kevin Parker</t>
  </si>
  <si>
    <t>Christina Miller</t>
  </si>
  <si>
    <t>John Cruz</t>
  </si>
  <si>
    <t>Tommy Wise</t>
  </si>
  <si>
    <t>James Gutierrez</t>
  </si>
  <si>
    <t>Jill Mitchell</t>
  </si>
  <si>
    <t>Katherine Glover</t>
  </si>
  <si>
    <t>Christopher Adams</t>
  </si>
  <si>
    <t>Katrina Reid</t>
  </si>
  <si>
    <t>Luis Wood</t>
  </si>
  <si>
    <t>Robert Greer</t>
  </si>
  <si>
    <t>Michele Nguyen</t>
  </si>
  <si>
    <t>Tiffany Lewis</t>
  </si>
  <si>
    <t>Charles Ellis</t>
  </si>
  <si>
    <t>Alexander Underwood</t>
  </si>
  <si>
    <t>Arthur Henry</t>
  </si>
  <si>
    <t>Dawn Le</t>
  </si>
  <si>
    <t>Nicholas Caldwell</t>
  </si>
  <si>
    <t>Kelly Parker</t>
  </si>
  <si>
    <t>Noah Davis</t>
  </si>
  <si>
    <t>Joshua Villa</t>
  </si>
  <si>
    <t>Bonnie Mason</t>
  </si>
  <si>
    <t>Lorraine Gibson</t>
  </si>
  <si>
    <t>Kimberly Lopez</t>
  </si>
  <si>
    <t>Lisa Burgess</t>
  </si>
  <si>
    <t>Teresa Waters</t>
  </si>
  <si>
    <t>Gary Foster</t>
  </si>
  <si>
    <t>Cassandra Allen</t>
  </si>
  <si>
    <t>Bryan Erickson</t>
  </si>
  <si>
    <t>Claire Henry</t>
  </si>
  <si>
    <t>Courtney Shelton</t>
  </si>
  <si>
    <t>Danny Acevedo</t>
  </si>
  <si>
    <t>Brian Henry</t>
  </si>
  <si>
    <t>Patricia Robertson</t>
  </si>
  <si>
    <t>Jason Hernandez</t>
  </si>
  <si>
    <t>Sabrina Villa</t>
  </si>
  <si>
    <t>Robert Scott</t>
  </si>
  <si>
    <t>Jeffrey Moore</t>
  </si>
  <si>
    <t>Gregory Krause</t>
  </si>
  <si>
    <t>Daniel Adkins</t>
  </si>
  <si>
    <t>Donna Gardner</t>
  </si>
  <si>
    <t>Eric Boyd</t>
  </si>
  <si>
    <t>Sabrina Barnett MD</t>
  </si>
  <si>
    <t>Richard Matthews</t>
  </si>
  <si>
    <t>Christine Garcia</t>
  </si>
  <si>
    <t>Robert Becker</t>
  </si>
  <si>
    <t>Kimberly Hill</t>
  </si>
  <si>
    <t>Samuel Mullen</t>
  </si>
  <si>
    <t>Michael Romero</t>
  </si>
  <si>
    <t>Travis Mason</t>
  </si>
  <si>
    <t>Aaron Miles</t>
  </si>
  <si>
    <t>Bryan Porter</t>
  </si>
  <si>
    <t>Cynthia Ross</t>
  </si>
  <si>
    <t>Cynthia Aguirre</t>
  </si>
  <si>
    <t>Daniel Phillips</t>
  </si>
  <si>
    <t>Patrick Martinez</t>
  </si>
  <si>
    <t>Suzanne Hernandez</t>
  </si>
  <si>
    <t>Matthew Glover</t>
  </si>
  <si>
    <t>Timothy Ruiz</t>
  </si>
  <si>
    <t>Savannah Howard</t>
  </si>
  <si>
    <t>Gregory Henry</t>
  </si>
  <si>
    <t>Amanda Underwood</t>
  </si>
  <si>
    <t>Yvette Miller</t>
  </si>
  <si>
    <t>Robert Valencia</t>
  </si>
  <si>
    <t>Robert Lucas</t>
  </si>
  <si>
    <t>Joshua Ferguson</t>
  </si>
  <si>
    <t>Amy Davis</t>
  </si>
  <si>
    <t>Miguel Shah</t>
  </si>
  <si>
    <t>Matthew Thomas</t>
  </si>
  <si>
    <t>Jeffrey Woods</t>
  </si>
  <si>
    <t>Lori Jones MD</t>
  </si>
  <si>
    <t>Nicole Russell</t>
  </si>
  <si>
    <t>Raymond Perez</t>
  </si>
  <si>
    <t>Timothy Porter</t>
  </si>
  <si>
    <t>Jose Dunn</t>
  </si>
  <si>
    <t>Katelyn Fields</t>
  </si>
  <si>
    <t>Joshua Black</t>
  </si>
  <si>
    <t>Travis Carrillo</t>
  </si>
  <si>
    <t>Lisa Cobb</t>
  </si>
  <si>
    <t>Lisa Berry</t>
  </si>
  <si>
    <t>Ernest Mcgrath</t>
  </si>
  <si>
    <t>Jeffrey Simpson</t>
  </si>
  <si>
    <t>Richard Vasquez</t>
  </si>
  <si>
    <t>Travis Floyd</t>
  </si>
  <si>
    <t>Brandon Williams</t>
  </si>
  <si>
    <t>Mary Garcia</t>
  </si>
  <si>
    <t>Susan Donaldson</t>
  </si>
  <si>
    <t>Richard Johnson</t>
  </si>
  <si>
    <t>Jermaine Lowe</t>
  </si>
  <si>
    <t>Amanda Anderson</t>
  </si>
  <si>
    <t>Tammy Nguyen</t>
  </si>
  <si>
    <t>James Sanders</t>
  </si>
  <si>
    <t>Timothy Diaz</t>
  </si>
  <si>
    <t>Trevor Keith</t>
  </si>
  <si>
    <t>Charles Rice</t>
  </si>
  <si>
    <t>Melissa Ramos</t>
  </si>
  <si>
    <t>Christopher Stephenson</t>
  </si>
  <si>
    <t>Robert Hale</t>
  </si>
  <si>
    <t>Brian Raymond</t>
  </si>
  <si>
    <t>Monica Jones</t>
  </si>
  <si>
    <t>Nichole Orozco</t>
  </si>
  <si>
    <t>Paige Myers</t>
  </si>
  <si>
    <t>Steve Ford</t>
  </si>
  <si>
    <t>Patricia Wilson</t>
  </si>
  <si>
    <t>Jennifer Clark</t>
  </si>
  <si>
    <t>Andrew Lang</t>
  </si>
  <si>
    <t>Catherine Ochoa</t>
  </si>
  <si>
    <t>Kenneth Jones</t>
  </si>
  <si>
    <t>Nicole Warner</t>
  </si>
  <si>
    <t>Richard Benton</t>
  </si>
  <si>
    <t>Eric Williams</t>
  </si>
  <si>
    <t>Jacqueline Jones</t>
  </si>
  <si>
    <t>Kelly Wolf</t>
  </si>
  <si>
    <t>Colin Watson</t>
  </si>
  <si>
    <t>Melissa Fisher</t>
  </si>
  <si>
    <t>Andrea Reese</t>
  </si>
  <si>
    <t>Cory Mason</t>
  </si>
  <si>
    <t>Nathaniel Williams</t>
  </si>
  <si>
    <t>Kara Martin</t>
  </si>
  <si>
    <t>Mr. Todd Miller</t>
  </si>
  <si>
    <t>Paul Brown</t>
  </si>
  <si>
    <t>Megan Graves</t>
  </si>
  <si>
    <t>Tammy Ford</t>
  </si>
  <si>
    <t>Shannon Rodriguez</t>
  </si>
  <si>
    <t>Robert Gomez</t>
  </si>
  <si>
    <t>Joshua Owens</t>
  </si>
  <si>
    <t>Rebecca Armstrong</t>
  </si>
  <si>
    <t>Anthony Zimmerman</t>
  </si>
  <si>
    <t>Travis Norton</t>
  </si>
  <si>
    <t>Andrew Hernandez</t>
  </si>
  <si>
    <t>Lindsay Obrien</t>
  </si>
  <si>
    <t>Monica Ruiz MD</t>
  </si>
  <si>
    <t>Courtney Day</t>
  </si>
  <si>
    <t>Paul Gray</t>
  </si>
  <si>
    <t>Wayne Roy</t>
  </si>
  <si>
    <t>Dr. Alexis Cochran</t>
  </si>
  <si>
    <t>Crystal Goodman</t>
  </si>
  <si>
    <t>Kimberly Sutton</t>
  </si>
  <si>
    <t>Rhonda Williams</t>
  </si>
  <si>
    <t>Danielle Chen</t>
  </si>
  <si>
    <t>Patrick Miller</t>
  </si>
  <si>
    <t>Joyce Adams</t>
  </si>
  <si>
    <t>Ian Rangel</t>
  </si>
  <si>
    <t>Justin Montgomery</t>
  </si>
  <si>
    <t>Jimmy Cox</t>
  </si>
  <si>
    <t>Jade Collins</t>
  </si>
  <si>
    <t>Brittany Bradford</t>
  </si>
  <si>
    <t>David Oconnor</t>
  </si>
  <si>
    <t>Deanna Becker</t>
  </si>
  <si>
    <t>David Ryan</t>
  </si>
  <si>
    <t>Curtis Khan</t>
  </si>
  <si>
    <t>Dr. Mary Alexander</t>
  </si>
  <si>
    <t>Monique Cruz</t>
  </si>
  <si>
    <t>Victoria Powell</t>
  </si>
  <si>
    <t>Stephen Becker</t>
  </si>
  <si>
    <t>Kirsten Dillon</t>
  </si>
  <si>
    <t>Victoria Miller</t>
  </si>
  <si>
    <t>Jordan Guzman</t>
  </si>
  <si>
    <t>Julia Rivera MD</t>
  </si>
  <si>
    <t>Joseph Harris</t>
  </si>
  <si>
    <t>Michael Saunders</t>
  </si>
  <si>
    <t>Kimberly Rice</t>
  </si>
  <si>
    <t>Daniel Alexander</t>
  </si>
  <si>
    <t>Alicia Castillo</t>
  </si>
  <si>
    <t>Anna Odonnell</t>
  </si>
  <si>
    <t>Gabriel Lowe</t>
  </si>
  <si>
    <t>Brent Kemp</t>
  </si>
  <si>
    <t>Susan Owens</t>
  </si>
  <si>
    <t>Anthony Jenkins</t>
  </si>
  <si>
    <t>Robin Coleman</t>
  </si>
  <si>
    <t>Thomas Collins</t>
  </si>
  <si>
    <t>Brittany Williams</t>
  </si>
  <si>
    <t>Luis George</t>
  </si>
  <si>
    <t>James Edwards</t>
  </si>
  <si>
    <t>Mary Jones</t>
  </si>
  <si>
    <t>Jennifer Martinez</t>
  </si>
  <si>
    <t>James White</t>
  </si>
  <si>
    <t>Cindy White</t>
  </si>
  <si>
    <t>Paul Schmidt</t>
  </si>
  <si>
    <t>Sherry Higgins</t>
  </si>
  <si>
    <t>Shannon French</t>
  </si>
  <si>
    <t>Jennifer Gonzales</t>
  </si>
  <si>
    <t>Thomas Davis</t>
  </si>
  <si>
    <t>Joseph Moore</t>
  </si>
  <si>
    <t>Jerry Hanson</t>
  </si>
  <si>
    <t>Jennifer Tucker</t>
  </si>
  <si>
    <t>Amanda Garcia</t>
  </si>
  <si>
    <t>Jessica Kelly</t>
  </si>
  <si>
    <t>James Fuller</t>
  </si>
  <si>
    <t>Maria Proctor</t>
  </si>
  <si>
    <t>John Fowler</t>
  </si>
  <si>
    <t>Jason Nelson</t>
  </si>
  <si>
    <t>Marvin Wu</t>
  </si>
  <si>
    <t>Emily Singleton</t>
  </si>
  <si>
    <t>Colin Lee</t>
  </si>
  <si>
    <t>Mathew Johnson</t>
  </si>
  <si>
    <t>Christopher Ramirez</t>
  </si>
  <si>
    <t>Samuel Ortiz</t>
  </si>
  <si>
    <t>Megan Reese</t>
  </si>
  <si>
    <t>Rachel White</t>
  </si>
  <si>
    <t>Michael Mclaughlin</t>
  </si>
  <si>
    <t>Paul Gibson</t>
  </si>
  <si>
    <t>Timothy Sanchez</t>
  </si>
  <si>
    <t>Lori Smith</t>
  </si>
  <si>
    <t>Julie Carpenter</t>
  </si>
  <si>
    <t>Barbara Baldwin</t>
  </si>
  <si>
    <t>Jason Brooks</t>
  </si>
  <si>
    <t>Linda Brown</t>
  </si>
  <si>
    <t>Ernest Moyer</t>
  </si>
  <si>
    <t>Melissa Rodriguez</t>
  </si>
  <si>
    <t>Austin Bowen</t>
  </si>
  <si>
    <t>Nicholas French</t>
  </si>
  <si>
    <t>Lauren Jones</t>
  </si>
  <si>
    <t>Sean Butler</t>
  </si>
  <si>
    <t>Michael Wiley</t>
  </si>
  <si>
    <t>James Lara</t>
  </si>
  <si>
    <t>Jessica Miller</t>
  </si>
  <si>
    <t>Alvin Rios</t>
  </si>
  <si>
    <t>James Goodman</t>
  </si>
  <si>
    <t>Erica Adams</t>
  </si>
  <si>
    <t>Amy Cruz</t>
  </si>
  <si>
    <t>Michael Clark</t>
  </si>
  <si>
    <t>Joyce Lopez</t>
  </si>
  <si>
    <t>Keith Allen</t>
  </si>
  <si>
    <t>Paige Watkins</t>
  </si>
  <si>
    <t>Matthew Jones</t>
  </si>
  <si>
    <t>Taylor Williams</t>
  </si>
  <si>
    <t>Diane Beltran</t>
  </si>
  <si>
    <t>Paul Espinoza</t>
  </si>
  <si>
    <t>Laurie Price</t>
  </si>
  <si>
    <t>John Thompson</t>
  </si>
  <si>
    <t>Kara Dixon</t>
  </si>
  <si>
    <t>Jamie Jones</t>
  </si>
  <si>
    <t>Alisha Johnson</t>
  </si>
  <si>
    <t>Taylor Villa</t>
  </si>
  <si>
    <t>Wesley Rodriguez</t>
  </si>
  <si>
    <t>Lisa Cisneros</t>
  </si>
  <si>
    <t>Michael Lawson</t>
  </si>
  <si>
    <t>Christopher Huang</t>
  </si>
  <si>
    <t>Hector Silva</t>
  </si>
  <si>
    <t>Mindy Garcia</t>
  </si>
  <si>
    <t>Timothy Gray</t>
  </si>
  <si>
    <t>Paul Gilbert</t>
  </si>
  <si>
    <t>Raymond Diaz</t>
  </si>
  <si>
    <t>Kenneth Mack</t>
  </si>
  <si>
    <t>Michelle Ellis</t>
  </si>
  <si>
    <t>Steven Lewis</t>
  </si>
  <si>
    <t>Wendy Baker</t>
  </si>
  <si>
    <t>Elizabeth Weber</t>
  </si>
  <si>
    <t>Mark Gilbert</t>
  </si>
  <si>
    <t>Craig Reyes</t>
  </si>
  <si>
    <t>Linda Miller</t>
  </si>
  <si>
    <t>Michael Pena</t>
  </si>
  <si>
    <t>Dr. Guy Mcguire</t>
  </si>
  <si>
    <t>James Glenn</t>
  </si>
  <si>
    <t>Susan Holloway</t>
  </si>
  <si>
    <t>Isaac Moore</t>
  </si>
  <si>
    <t>Alison Santos DDS</t>
  </si>
  <si>
    <t>Natasha Murray</t>
  </si>
  <si>
    <t>David Lee</t>
  </si>
  <si>
    <t>Miss Debbie Willis</t>
  </si>
  <si>
    <t>Briana Henry</t>
  </si>
  <si>
    <t>Jennifer Marsh</t>
  </si>
  <si>
    <t>Rachel Weaver</t>
  </si>
  <si>
    <t>Michael Hodges</t>
  </si>
  <si>
    <t>James Taylor</t>
  </si>
  <si>
    <t>Ms. Jamie Nunez DVM</t>
  </si>
  <si>
    <t>Catherine Li</t>
  </si>
  <si>
    <t>Lauren Taylor</t>
  </si>
  <si>
    <t>Daniel Moore</t>
  </si>
  <si>
    <t>Joseph Blair</t>
  </si>
  <si>
    <t>William Foley</t>
  </si>
  <si>
    <t>Alexis Davis</t>
  </si>
  <si>
    <t>Nathan Contreras</t>
  </si>
  <si>
    <t>Wendy Finley</t>
  </si>
  <si>
    <t>Vanessa Wood</t>
  </si>
  <si>
    <t>Laurie Gonzalez</t>
  </si>
  <si>
    <t>Natalie Evans</t>
  </si>
  <si>
    <t>Marissa Adams</t>
  </si>
  <si>
    <t>Michael Mosley</t>
  </si>
  <si>
    <t>Michael Knight</t>
  </si>
  <si>
    <t>Ashley Johnson</t>
  </si>
  <si>
    <t>Christopher Clayton</t>
  </si>
  <si>
    <t>Tara Harris</t>
  </si>
  <si>
    <t>Roberto Bryant</t>
  </si>
  <si>
    <t>Janet Fritz</t>
  </si>
  <si>
    <t>Elizabeth Melendez</t>
  </si>
  <si>
    <t>William Baker</t>
  </si>
  <si>
    <t>Eugene Mccarthy MD</t>
  </si>
  <si>
    <t>Richard Day</t>
  </si>
  <si>
    <t>Michael Freeman</t>
  </si>
  <si>
    <t>Dale Wright</t>
  </si>
  <si>
    <t>Stephanie Gutierrez</t>
  </si>
  <si>
    <t>Vincent Espinoza</t>
  </si>
  <si>
    <t>Allen Cortez</t>
  </si>
  <si>
    <t>Thomas Camacho</t>
  </si>
  <si>
    <t>James Ryan</t>
  </si>
  <si>
    <t>Javier Gonzales DDS</t>
  </si>
  <si>
    <t>Jessica Turner</t>
  </si>
  <si>
    <t>James Sanchez</t>
  </si>
  <si>
    <t>Christy Morgan</t>
  </si>
  <si>
    <t>Lauren Gutierrez</t>
  </si>
  <si>
    <t>Jerry Fry</t>
  </si>
  <si>
    <t>Lisa Powell</t>
  </si>
  <si>
    <t>Gregory Wright</t>
  </si>
  <si>
    <t>Kenneth Torres</t>
  </si>
  <si>
    <t>Kathy Garza</t>
  </si>
  <si>
    <t>Ryan Taylor</t>
  </si>
  <si>
    <t>Brenda Martin</t>
  </si>
  <si>
    <t>Robert Petersen</t>
  </si>
  <si>
    <t>Gary Moon</t>
  </si>
  <si>
    <t>Patricia Cowan</t>
  </si>
  <si>
    <t>Tina Hernandez</t>
  </si>
  <si>
    <t>Nathaniel Weiss</t>
  </si>
  <si>
    <t>Timothy Frank</t>
  </si>
  <si>
    <t>William Allen</t>
  </si>
  <si>
    <t>Corey Walsh</t>
  </si>
  <si>
    <t>April Parker</t>
  </si>
  <si>
    <t>Sean Duncan</t>
  </si>
  <si>
    <t>Brenda Bauer</t>
  </si>
  <si>
    <t>Austin Wright</t>
  </si>
  <si>
    <t>Amy Mitchell</t>
  </si>
  <si>
    <t>Michael Sanchez</t>
  </si>
  <si>
    <t>Mrs. Hayley Hunter MD</t>
  </si>
  <si>
    <t>Sandra Davis</t>
  </si>
  <si>
    <t>Joyce Travis</t>
  </si>
  <si>
    <t>Susan Ali</t>
  </si>
  <si>
    <t>Lori Bass</t>
  </si>
  <si>
    <t>Michael Gray</t>
  </si>
  <si>
    <t>Dr. Abigail Jackson</t>
  </si>
  <si>
    <t>Rebecca Harrison</t>
  </si>
  <si>
    <t>Stacey Collins</t>
  </si>
  <si>
    <t>Mr. Jacob Stokes DDS</t>
  </si>
  <si>
    <t>Lindsay Hall</t>
  </si>
  <si>
    <t>Mary Steele</t>
  </si>
  <si>
    <t>Scott Bowers</t>
  </si>
  <si>
    <t>Gabriella West</t>
  </si>
  <si>
    <t>Allison Barker</t>
  </si>
  <si>
    <t>Jeffery Tran</t>
  </si>
  <si>
    <t>Christopher Jones</t>
  </si>
  <si>
    <t>Annette Snyder</t>
  </si>
  <si>
    <t>Erika Reed</t>
  </si>
  <si>
    <t>Daniel Lee</t>
  </si>
  <si>
    <t>Nicholas Carey</t>
  </si>
  <si>
    <t>Teresa Lewis</t>
  </si>
  <si>
    <t>Alyssa Craig</t>
  </si>
  <si>
    <t>Chris Wise</t>
  </si>
  <si>
    <t>Keith Burton</t>
  </si>
  <si>
    <t>Susan Ellison</t>
  </si>
  <si>
    <t>Margaret Duncan</t>
  </si>
  <si>
    <t>Jennifer Nelson</t>
  </si>
  <si>
    <t>Donna Peters</t>
  </si>
  <si>
    <t>Michael Palmer</t>
  </si>
  <si>
    <t>Daniel Collins</t>
  </si>
  <si>
    <t>Ms. Alexis Robertson</t>
  </si>
  <si>
    <t>Stephen Reed</t>
  </si>
  <si>
    <t>Joshua Hebert</t>
  </si>
  <si>
    <t>Anthony King</t>
  </si>
  <si>
    <t>Amy Bentley</t>
  </si>
  <si>
    <t>Lori Cole</t>
  </si>
  <si>
    <t>Jesse Choi</t>
  </si>
  <si>
    <t>Vanessa Watson</t>
  </si>
  <si>
    <t>Brian Cole</t>
  </si>
  <si>
    <t>Joshua Johnson</t>
  </si>
  <si>
    <t>Anne Coleman</t>
  </si>
  <si>
    <t>Melanie Mccoy DDS</t>
  </si>
  <si>
    <t>William Blackburn</t>
  </si>
  <si>
    <t>Alyssa Harvey</t>
  </si>
  <si>
    <t>Jack Carpenter</t>
  </si>
  <si>
    <t>Robert Gordon</t>
  </si>
  <si>
    <t>Dawn Bryant</t>
  </si>
  <si>
    <t>Darren Lowe</t>
  </si>
  <si>
    <t>Anna Page</t>
  </si>
  <si>
    <t>Eric Wolf</t>
  </si>
  <si>
    <t>Leslie Chapman</t>
  </si>
  <si>
    <t>Margaret Davies</t>
  </si>
  <si>
    <t>Nancy Woods</t>
  </si>
  <si>
    <t>Samuel Peterson</t>
  </si>
  <si>
    <t>Donald Kennedy</t>
  </si>
  <si>
    <t>Olivia Smith</t>
  </si>
  <si>
    <t>Gloria Curry</t>
  </si>
  <si>
    <t>Rachel Donaldson</t>
  </si>
  <si>
    <t>Mark Johnston</t>
  </si>
  <si>
    <t>Danny Porter</t>
  </si>
  <si>
    <t>Tracy Russell</t>
  </si>
  <si>
    <t>Matthew Medina</t>
  </si>
  <si>
    <t>Erin Molina</t>
  </si>
  <si>
    <t>Ronald Owens</t>
  </si>
  <si>
    <t>Lori Russo</t>
  </si>
  <si>
    <t>Katherine Doyle</t>
  </si>
  <si>
    <t>Matthew Thompson</t>
  </si>
  <si>
    <t>Travis Goodman</t>
  </si>
  <si>
    <t>Emily Alexander</t>
  </si>
  <si>
    <t>Susan Arroyo</t>
  </si>
  <si>
    <t>Douglas Holloway</t>
  </si>
  <si>
    <t>Christina Mata</t>
  </si>
  <si>
    <t>Christopher Miranda</t>
  </si>
  <si>
    <t>Ms. Olivia Murray</t>
  </si>
  <si>
    <t>Kimberly Miller</t>
  </si>
  <si>
    <t>Thomas Tran</t>
  </si>
  <si>
    <t>Holly Jones</t>
  </si>
  <si>
    <t>Joshua Jackson</t>
  </si>
  <si>
    <t>Sara Sullivan</t>
  </si>
  <si>
    <t>Jeffrey Bruce</t>
  </si>
  <si>
    <t>Mark Newman</t>
  </si>
  <si>
    <t>Michael Gonzalez</t>
  </si>
  <si>
    <t>John Sloan</t>
  </si>
  <si>
    <t>Mark Phillips</t>
  </si>
  <si>
    <t>Kristina Shepard</t>
  </si>
  <si>
    <t>Paul Garcia</t>
  </si>
  <si>
    <t>Colleen Proctor</t>
  </si>
  <si>
    <t>Frank Lara</t>
  </si>
  <si>
    <t>Richard Wilson</t>
  </si>
  <si>
    <t>Christopher Sutton</t>
  </si>
  <si>
    <t>Andrew Simpson</t>
  </si>
  <si>
    <t>Heather Butler</t>
  </si>
  <si>
    <t>Suzanne Hopkins DVM</t>
  </si>
  <si>
    <t>Spencer Bird</t>
  </si>
  <si>
    <t>John Weaver</t>
  </si>
  <si>
    <t>Anthony Mclean MD</t>
  </si>
  <si>
    <t>Wendy Shepherd</t>
  </si>
  <si>
    <t>Erica Patterson</t>
  </si>
  <si>
    <t>Justin Li</t>
  </si>
  <si>
    <t>George Reyes</t>
  </si>
  <si>
    <t>Stephen Day DDS</t>
  </si>
  <si>
    <t>James Roberson</t>
  </si>
  <si>
    <t>Tanya Thompson</t>
  </si>
  <si>
    <t>Allison Bennett</t>
  </si>
  <si>
    <t>Adam Jones</t>
  </si>
  <si>
    <t>Monique Morton</t>
  </si>
  <si>
    <t>Audrey Neal</t>
  </si>
  <si>
    <t>Scott Williams</t>
  </si>
  <si>
    <t>Darryl Rivera</t>
  </si>
  <si>
    <t>Molly Adams</t>
  </si>
  <si>
    <t>Michele Vance</t>
  </si>
  <si>
    <t>John Anthony</t>
  </si>
  <si>
    <t>Joseph Smith</t>
  </si>
  <si>
    <t>Mary Hanson</t>
  </si>
  <si>
    <t>Month</t>
  </si>
  <si>
    <t>Quarter</t>
  </si>
  <si>
    <t>Target Revenue</t>
  </si>
  <si>
    <t>Performance Status</t>
  </si>
  <si>
    <t>Revenue Category</t>
  </si>
  <si>
    <t>Target Multiplier</t>
  </si>
  <si>
    <t>Achievment %</t>
  </si>
  <si>
    <t>Grand Total</t>
  </si>
  <si>
    <t>Sum of Revenue</t>
  </si>
  <si>
    <t>Jan</t>
  </si>
  <si>
    <t>Feb</t>
  </si>
  <si>
    <t>Mar</t>
  </si>
  <si>
    <t>Apr</t>
  </si>
  <si>
    <t>May</t>
  </si>
  <si>
    <t>Jun</t>
  </si>
  <si>
    <t>Jul</t>
  </si>
  <si>
    <t>Aug</t>
  </si>
  <si>
    <t>Sep</t>
  </si>
  <si>
    <t>Oct</t>
  </si>
  <si>
    <t>Nov</t>
  </si>
  <si>
    <t>Dec</t>
  </si>
  <si>
    <t>Sum of Units Sold</t>
  </si>
  <si>
    <t>Below Target</t>
  </si>
  <si>
    <t>Regional Revenue Value</t>
  </si>
  <si>
    <t>Monthly Revenue Value</t>
  </si>
  <si>
    <t>Achieved</t>
  </si>
  <si>
    <t>Top Selling Drug</t>
  </si>
  <si>
    <t>Top Performing Region</t>
  </si>
  <si>
    <t>Average Achievement %</t>
  </si>
  <si>
    <r>
      <rPr>
        <b/>
        <sz val="18"/>
        <color theme="1"/>
        <rFont val="Cambria"/>
        <family val="1"/>
      </rPr>
      <t>Achievement Rate</t>
    </r>
    <r>
      <rPr>
        <sz val="18"/>
        <color theme="1"/>
        <rFont val="Cambria"/>
        <family val="1"/>
      </rPr>
      <t xml:space="preserve"> </t>
    </r>
  </si>
  <si>
    <t>Total Revenue💰</t>
  </si>
  <si>
    <t>Total Units Sold📦</t>
  </si>
  <si>
    <t xml:space="preserve">Pharmaceutical Sales &amp; Commercial Analytics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</si>
</sst>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u/>
      <sz val="11"/>
      <color theme="1"/>
      <name val="Calibri"/>
      <family val="2"/>
      <scheme val="minor"/>
    </font>
    <font>
      <b/>
      <sz val="18"/>
      <color theme="1"/>
      <name val="Cambria"/>
      <family val="1"/>
    </font>
    <font>
      <b/>
      <sz val="11"/>
      <color theme="1"/>
      <name val="Cambria"/>
      <family val="1"/>
    </font>
    <font>
      <sz val="11"/>
      <color theme="1"/>
      <name val="Cambria"/>
      <family val="1"/>
    </font>
    <font>
      <sz val="18"/>
      <color theme="1"/>
      <name val="Cambria"/>
      <family val="1"/>
    </font>
    <font>
      <b/>
      <sz val="36"/>
      <color theme="1"/>
      <name val="Calibri"/>
      <family val="2"/>
      <scheme val="minor"/>
    </font>
    <font>
      <b/>
      <sz val="48"/>
      <color theme="0"/>
      <name val="Times New Roman"/>
      <family val="1"/>
    </font>
    <font>
      <sz val="11"/>
      <color theme="0"/>
      <name val="Times New Roman"/>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59999389629810485"/>
        <bgColor indexed="64"/>
      </patternFill>
    </fill>
    <fill>
      <patternFill patternType="solid">
        <fgColor theme="3"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6" fontId="0" fillId="0" borderId="0" xfId="0" applyNumberFormat="1"/>
    <xf numFmtId="14" fontId="0" fillId="0" borderId="0" xfId="0" applyNumberFormat="1"/>
    <xf numFmtId="8" fontId="0" fillId="0" borderId="0" xfId="0" applyNumberFormat="1"/>
    <xf numFmtId="9" fontId="0" fillId="0" borderId="0" xfId="1" applyFont="1"/>
    <xf numFmtId="0" fontId="18" fillId="0" borderId="0" xfId="0" applyFont="1" applyAlignment="1">
      <alignment vertical="center"/>
    </xf>
    <xf numFmtId="0" fontId="0" fillId="0" borderId="0" xfId="0" pivotButton="1"/>
    <xf numFmtId="0" fontId="0" fillId="0" borderId="0" xfId="0" applyAlignment="1">
      <alignment horizontal="left"/>
    </xf>
    <xf numFmtId="0" fontId="0" fillId="0" borderId="0" xfId="0" applyAlignment="1">
      <alignment horizontal="center"/>
    </xf>
    <xf numFmtId="0" fontId="19" fillId="0" borderId="0" xfId="0" applyFont="1"/>
    <xf numFmtId="0" fontId="24" fillId="34" borderId="0" xfId="0" applyFont="1" applyFill="1" applyAlignment="1">
      <alignment horizontal="center"/>
    </xf>
    <xf numFmtId="0" fontId="20" fillId="33" borderId="0" xfId="0" applyFont="1" applyFill="1" applyAlignment="1">
      <alignment horizontal="center"/>
    </xf>
    <xf numFmtId="0" fontId="22" fillId="33" borderId="0" xfId="0" applyFont="1" applyFill="1" applyAlignment="1">
      <alignment horizontal="center"/>
    </xf>
    <xf numFmtId="0" fontId="23" fillId="33" borderId="0" xfId="0" applyFont="1" applyFill="1" applyAlignment="1">
      <alignment horizontal="center"/>
    </xf>
    <xf numFmtId="9" fontId="24" fillId="34" borderId="0" xfId="1" applyFont="1" applyFill="1" applyBorder="1" applyAlignment="1">
      <alignment horizontal="center"/>
    </xf>
    <xf numFmtId="9" fontId="24" fillId="34" borderId="0" xfId="0" applyNumberFormat="1" applyFont="1" applyFill="1" applyAlignment="1">
      <alignment horizontal="center"/>
    </xf>
    <xf numFmtId="0" fontId="0" fillId="33" borderId="0" xfId="0" applyFill="1" applyAlignment="1">
      <alignment horizontal="center"/>
    </xf>
    <xf numFmtId="0" fontId="21" fillId="33" borderId="0" xfId="0" applyFont="1" applyFill="1" applyAlignment="1">
      <alignment horizontal="center"/>
    </xf>
    <xf numFmtId="0" fontId="25" fillId="35" borderId="0" xfId="0" applyFont="1" applyFill="1" applyAlignment="1">
      <alignment horizontal="center"/>
    </xf>
    <xf numFmtId="0" fontId="26" fillId="35"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8">
    <dxf>
      <numFmt numFmtId="0" formatCode="General"/>
    </dxf>
    <dxf>
      <numFmt numFmtId="10" formatCode="&quot;$&quot;#,##0_);[Red]\(&quot;$&quot;#,##0\)"/>
    </dxf>
    <dxf>
      <numFmt numFmtId="0" formatCode="General"/>
    </dxf>
    <dxf>
      <numFmt numFmtId="0" formatCode="General"/>
    </dxf>
    <dxf>
      <numFmt numFmtId="0" formatCode="General"/>
    </dxf>
    <dxf>
      <numFmt numFmtId="0" formatCode="General"/>
    </dxf>
    <dxf>
      <numFmt numFmtId="19" formatCode="m/d/yyyy"/>
    </dxf>
    <dxf>
      <numFmt numFmtId="10"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[Pharmaceutical_Drug_Sales.xlsx]Pivot_Tables!PivotTable3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Pivot_Tables!$F$1</c:f>
              <c:strCache>
                <c:ptCount val="1"/>
                <c:pt idx="0">
                  <c:v>Total</c:v>
                </c:pt>
              </c:strCache>
            </c:strRef>
          </c:tx>
          <c:spPr>
            <a:ln w="28575" cap="rnd">
              <a:solidFill>
                <a:schemeClr val="accent1"/>
              </a:solidFill>
              <a:round/>
            </a:ln>
            <a:effectLst/>
          </c:spPr>
          <c:marker>
            <c:symbol val="none"/>
          </c:marker>
          <c:cat>
            <c:strRef>
              <c:f>Pivot_Tables!$E$2:$E$14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Pivot_Tables!$F$2:$F$14</c:f>
              <c:numCache>
                <c:formatCode>"$"#,##0_);[Red]\("$"#,##0\)</c:formatCode>
                <c:ptCount val="12"/>
                <c:pt idx="0">
                  <c:v>2230464</c:v>
                </c:pt>
                <c:pt idx="1">
                  <c:v>1858322</c:v>
                </c:pt>
                <c:pt idx="2">
                  <c:v>2069146</c:v>
                </c:pt>
                <c:pt idx="3">
                  <c:v>2176512</c:v>
                </c:pt>
                <c:pt idx="4">
                  <c:v>2348333</c:v>
                </c:pt>
                <c:pt idx="5">
                  <c:v>1860874</c:v>
                </c:pt>
                <c:pt idx="6">
                  <c:v>2192827</c:v>
                </c:pt>
                <c:pt idx="7">
                  <c:v>2534352</c:v>
                </c:pt>
                <c:pt idx="8">
                  <c:v>1821314</c:v>
                </c:pt>
                <c:pt idx="9">
                  <c:v>2288096</c:v>
                </c:pt>
                <c:pt idx="10">
                  <c:v>2449237</c:v>
                </c:pt>
                <c:pt idx="11">
                  <c:v>2249327</c:v>
                </c:pt>
              </c:numCache>
            </c:numRef>
          </c:val>
          <c:smooth val="0"/>
          <c:extLst>
            <c:ext xmlns:c16="http://schemas.microsoft.com/office/drawing/2014/chart" uri="{C3380CC4-5D6E-409C-BE32-E72D297353CC}">
              <c16:uniqueId val="{00000000-138B-4FEC-AF73-DCC98072C57D}"/>
            </c:ext>
          </c:extLst>
        </c:ser>
        <c:dLbls>
          <c:showLegendKey val="0"/>
          <c:showVal val="0"/>
          <c:showCatName val="0"/>
          <c:showSerName val="0"/>
          <c:showPercent val="0"/>
          <c:showBubbleSize val="0"/>
        </c:dLbls>
        <c:smooth val="0"/>
        <c:axId val="1310631535"/>
        <c:axId val="1310632015"/>
      </c:lineChart>
      <c:catAx>
        <c:axId val="131063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32015"/>
        <c:crosses val="autoZero"/>
        <c:auto val="1"/>
        <c:lblAlgn val="ctr"/>
        <c:lblOffset val="100"/>
        <c:noMultiLvlLbl val="0"/>
      </c:catAx>
      <c:valAx>
        <c:axId val="131063201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3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[Pharmaceutical_Drug_Sales.xlsx]Pivot_Tables!PivotTable2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Revenue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Pivot_Tables!$A$2:$A$7</c:f>
              <c:strCache>
                <c:ptCount val="5"/>
                <c:pt idx="0">
                  <c:v>Africa</c:v>
                </c:pt>
                <c:pt idx="1">
                  <c:v>Asia</c:v>
                </c:pt>
                <c:pt idx="2">
                  <c:v>Europe</c:v>
                </c:pt>
                <c:pt idx="3">
                  <c:v>North America</c:v>
                </c:pt>
                <c:pt idx="4">
                  <c:v>South America</c:v>
                </c:pt>
              </c:strCache>
            </c:strRef>
          </c:cat>
          <c:val>
            <c:numRef>
              <c:f>Pivot_Tables!$B$2:$B$7</c:f>
              <c:numCache>
                <c:formatCode>"$"#,##0_);[Red]\("$"#,##0\)</c:formatCode>
                <c:ptCount val="5"/>
                <c:pt idx="0">
                  <c:v>4627135</c:v>
                </c:pt>
                <c:pt idx="1">
                  <c:v>4809529</c:v>
                </c:pt>
                <c:pt idx="2">
                  <c:v>5027740</c:v>
                </c:pt>
                <c:pt idx="3">
                  <c:v>5367445</c:v>
                </c:pt>
                <c:pt idx="4">
                  <c:v>6246955</c:v>
                </c:pt>
              </c:numCache>
            </c:numRef>
          </c:val>
          <c:extLst>
            <c:ext xmlns:c16="http://schemas.microsoft.com/office/drawing/2014/chart" uri="{C3380CC4-5D6E-409C-BE32-E72D297353CC}">
              <c16:uniqueId val="{00000000-7BF9-45DB-AE9E-25334E50C428}"/>
            </c:ext>
          </c:extLst>
        </c:ser>
        <c:dLbls>
          <c:showLegendKey val="0"/>
          <c:showVal val="0"/>
          <c:showCatName val="0"/>
          <c:showSerName val="0"/>
          <c:showPercent val="0"/>
          <c:showBubbleSize val="0"/>
        </c:dLbls>
        <c:gapWidth val="219"/>
        <c:overlap val="-27"/>
        <c:axId val="1332167135"/>
        <c:axId val="1332167615"/>
      </c:barChart>
      <c:catAx>
        <c:axId val="133216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167615"/>
        <c:crosses val="autoZero"/>
        <c:auto val="1"/>
        <c:lblAlgn val="ctr"/>
        <c:lblOffset val="100"/>
        <c:noMultiLvlLbl val="0"/>
      </c:catAx>
      <c:valAx>
        <c:axId val="133216761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16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[Pharmaceutical_Drug_Sales.xlsx]Pivot_Tables!PivotTable4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Drugs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Pivot_Tables!$B$15</c:f>
              <c:strCache>
                <c:ptCount val="1"/>
                <c:pt idx="0">
                  <c:v>Total</c:v>
                </c:pt>
              </c:strCache>
            </c:strRef>
          </c:tx>
          <c:spPr>
            <a:solidFill>
              <a:schemeClr val="accent1"/>
            </a:solidFill>
            <a:ln>
              <a:noFill/>
            </a:ln>
            <a:effectLst/>
          </c:spPr>
          <c:invertIfNegative val="0"/>
          <c:cat>
            <c:strRef>
              <c:f>Pivot_Tables!$A$16:$A$21</c:f>
              <c:strCache>
                <c:ptCount val="5"/>
                <c:pt idx="0">
                  <c:v>Drug B</c:v>
                </c:pt>
                <c:pt idx="1">
                  <c:v>Drug C</c:v>
                </c:pt>
                <c:pt idx="2">
                  <c:v>Drug A</c:v>
                </c:pt>
                <c:pt idx="3">
                  <c:v>Drug D</c:v>
                </c:pt>
                <c:pt idx="4">
                  <c:v>Drug E</c:v>
                </c:pt>
              </c:strCache>
            </c:strRef>
          </c:cat>
          <c:val>
            <c:numRef>
              <c:f>Pivot_Tables!$B$16:$B$21</c:f>
              <c:numCache>
                <c:formatCode>"$"#,##0_);[Red]\("$"#,##0\)</c:formatCode>
                <c:ptCount val="5"/>
                <c:pt idx="0">
                  <c:v>5767109</c:v>
                </c:pt>
                <c:pt idx="1">
                  <c:v>5259455</c:v>
                </c:pt>
                <c:pt idx="2">
                  <c:v>5196471</c:v>
                </c:pt>
                <c:pt idx="3">
                  <c:v>5092952</c:v>
                </c:pt>
                <c:pt idx="4">
                  <c:v>4762817</c:v>
                </c:pt>
              </c:numCache>
            </c:numRef>
          </c:val>
          <c:extLst>
            <c:ext xmlns:c16="http://schemas.microsoft.com/office/drawing/2014/chart" uri="{C3380CC4-5D6E-409C-BE32-E72D297353CC}">
              <c16:uniqueId val="{00000000-D8CF-427E-9092-D4771433DBB2}"/>
            </c:ext>
          </c:extLst>
        </c:ser>
        <c:dLbls>
          <c:showLegendKey val="0"/>
          <c:showVal val="0"/>
          <c:showCatName val="0"/>
          <c:showSerName val="0"/>
          <c:showPercent val="0"/>
          <c:showBubbleSize val="0"/>
        </c:dLbls>
        <c:gapWidth val="182"/>
        <c:axId val="1646694527"/>
        <c:axId val="1646690207"/>
      </c:barChart>
      <c:catAx>
        <c:axId val="16466945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690207"/>
        <c:crosses val="autoZero"/>
        <c:auto val="1"/>
        <c:lblAlgn val="ctr"/>
        <c:lblOffset val="100"/>
        <c:noMultiLvlLbl val="0"/>
      </c:catAx>
      <c:valAx>
        <c:axId val="1646690207"/>
        <c:scaling>
          <c:orientation val="minMax"/>
        </c:scaling>
        <c:delete val="0"/>
        <c:axPos val="b"/>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69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[Pharmaceutical_Drug_Sales.xlsx]Pivot_Tables!PivotTable7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 Contribution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Pivot_Tables!$B$23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58-43FA-9A1D-A74DECFB80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58-43FA-9A1D-A74DECFB80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58-43FA-9A1D-A74DECFB80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58-43FA-9A1D-A74DECFB80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58-43FA-9A1D-A74DECFB80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Pivot_Tables!$A$24:$A$29</c:f>
              <c:strCache>
                <c:ptCount val="5"/>
                <c:pt idx="0">
                  <c:v>Clinics</c:v>
                </c:pt>
                <c:pt idx="1">
                  <c:v>Hospitals</c:v>
                </c:pt>
                <c:pt idx="2">
                  <c:v>Online Pharmacy</c:v>
                </c:pt>
                <c:pt idx="3">
                  <c:v>Pharmacy</c:v>
                </c:pt>
                <c:pt idx="4">
                  <c:v>Supermarkets</c:v>
                </c:pt>
              </c:strCache>
            </c:strRef>
          </c:cat>
          <c:val>
            <c:numRef>
              <c:f>Pivot_Tables!$B$24:$B$29</c:f>
              <c:numCache>
                <c:formatCode>"$"#,##0_);[Red]\("$"#,##0\)</c:formatCode>
                <c:ptCount val="5"/>
                <c:pt idx="0">
                  <c:v>5311106</c:v>
                </c:pt>
                <c:pt idx="1">
                  <c:v>4965590</c:v>
                </c:pt>
                <c:pt idx="2">
                  <c:v>5203717</c:v>
                </c:pt>
                <c:pt idx="3">
                  <c:v>6019543</c:v>
                </c:pt>
                <c:pt idx="4">
                  <c:v>4578848</c:v>
                </c:pt>
              </c:numCache>
            </c:numRef>
          </c:val>
          <c:extLst>
            <c:ext xmlns:c16="http://schemas.microsoft.com/office/drawing/2014/chart" uri="{C3380CC4-5D6E-409C-BE32-E72D297353CC}">
              <c16:uniqueId val="{0000000A-D158-43FA-9A1D-A74DECFB80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[Pharmaceutical_Drug_Sales.xlsx]Pivot_Tables!PivotTable8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Achievement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A8-42FF-89F1-F868C5D776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A8-42FF-89F1-F868C5D776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Pivot_Tables!$A$36:$A$38</c:f>
              <c:strCache>
                <c:ptCount val="2"/>
                <c:pt idx="0">
                  <c:v>Below Target</c:v>
                </c:pt>
                <c:pt idx="1">
                  <c:v>Achieved</c:v>
                </c:pt>
              </c:strCache>
            </c:strRef>
          </c:cat>
          <c:val>
            <c:numRef>
              <c:f>Pivot_Tables!$B$36:$B$38</c:f>
              <c:numCache>
                <c:formatCode>"$"#,##0_);[Red]\("$"#,##0\)</c:formatCode>
                <c:ptCount val="2"/>
                <c:pt idx="0">
                  <c:v>16642140</c:v>
                </c:pt>
                <c:pt idx="1">
                  <c:v>9436664</c:v>
                </c:pt>
              </c:numCache>
            </c:numRef>
          </c:val>
          <c:extLst>
            <c:ext xmlns:c16="http://schemas.microsoft.com/office/drawing/2014/chart" uri="{C3380CC4-5D6E-409C-BE32-E72D297353CC}">
              <c16:uniqueId val="{00000004-8CA8-42FF-89F1-F868C5D776A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356419</xdr:colOff>
      <xdr:row>49</xdr:row>
      <xdr:rowOff>49161</xdr:rowOff>
    </xdr:from>
    <xdr:to>
      <xdr:col>15</xdr:col>
      <xdr:colOff>122903</xdr:colOff>
      <xdr:row>76</xdr:row>
      <xdr:rowOff>49161</xdr:rowOff>
    </xdr:to>
    <xdr:sp macro="" textlink="">
      <xdr:nvSpPr>
        <xdr:cNvPr id="50" name="Rectangle: Rounded Corners 49">
          <a:extLst>
            <a:ext uri="{FF2B5EF4-FFF2-40B4-BE49-F238E27FC236}">
              <a16:creationId xmlns:a16="http://schemas.microsoft.com/office/drawing/2014/main" id="{840E5A7E-A7B2-38A8-DB2D-5BD337EB008B}"/>
            </a:ext>
          </a:extLst>
        </xdr:cNvPr>
        <xdr:cNvSpPr/>
      </xdr:nvSpPr>
      <xdr:spPr>
        <a:xfrm>
          <a:off x="356419" y="9193161"/>
          <a:ext cx="8984226" cy="497758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12</xdr:row>
      <xdr:rowOff>100641</xdr:rowOff>
    </xdr:from>
    <xdr:to>
      <xdr:col>8</xdr:col>
      <xdr:colOff>516193</xdr:colOff>
      <xdr:row>30</xdr:row>
      <xdr:rowOff>135193</xdr:rowOff>
    </xdr:to>
    <xdr:graphicFrame macro="">
      <xdr:nvGraphicFramePr>
        <xdr:cNvPr id="2" name="Chart 1">
          <a:extLst>
            <a:ext uri="{FF2B5EF4-FFF2-40B4-BE49-F238E27FC236}">
              <a16:creationId xmlns:a16="http://schemas.microsoft.com/office/drawing/2014/main" id="{1B172EEE-F1EA-4E17-A7DA-7C7E0F81F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13</xdr:row>
      <xdr:rowOff>0</xdr:rowOff>
    </xdr:from>
    <xdr:to>
      <xdr:col>18</xdr:col>
      <xdr:colOff>270387</xdr:colOff>
      <xdr:row>30</xdr:row>
      <xdr:rowOff>24581</xdr:rowOff>
    </xdr:to>
    <xdr:graphicFrame macro="">
      <xdr:nvGraphicFramePr>
        <xdr:cNvPr id="3" name="Chart 2">
          <a:extLst>
            <a:ext uri="{FF2B5EF4-FFF2-40B4-BE49-F238E27FC236}">
              <a16:creationId xmlns:a16="http://schemas.microsoft.com/office/drawing/2014/main" id="{0BCFF8FA-A732-4CF7-AD2E-3FDAC108E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13</xdr:row>
      <xdr:rowOff>0</xdr:rowOff>
    </xdr:from>
    <xdr:to>
      <xdr:col>26</xdr:col>
      <xdr:colOff>517585</xdr:colOff>
      <xdr:row>28</xdr:row>
      <xdr:rowOff>21771</xdr:rowOff>
    </xdr:to>
    <xdr:graphicFrame macro="">
      <xdr:nvGraphicFramePr>
        <xdr:cNvPr id="4" name="Chart 3">
          <a:extLst>
            <a:ext uri="{FF2B5EF4-FFF2-40B4-BE49-F238E27FC236}">
              <a16:creationId xmlns:a16="http://schemas.microsoft.com/office/drawing/2014/main" id="{0235024F-0E54-464D-8942-B097A1402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472591</xdr:colOff>
      <xdr:row>31</xdr:row>
      <xdr:rowOff>151656</xdr:rowOff>
    </xdr:from>
    <xdr:to>
      <xdr:col>11</xdr:col>
      <xdr:colOff>307258</xdr:colOff>
      <xdr:row>48</xdr:row>
      <xdr:rowOff>159773</xdr:rowOff>
    </xdr:to>
    <xdr:graphicFrame macro="">
      <xdr:nvGraphicFramePr>
        <xdr:cNvPr id="5" name="Chart 4">
          <a:extLst>
            <a:ext uri="{FF2B5EF4-FFF2-40B4-BE49-F238E27FC236}">
              <a16:creationId xmlns:a16="http://schemas.microsoft.com/office/drawing/2014/main" id="{59B25588-BA72-45F8-AF2C-FEEC186BE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147484</xdr:colOff>
      <xdr:row>32</xdr:row>
      <xdr:rowOff>98322</xdr:rowOff>
    </xdr:from>
    <xdr:to>
      <xdr:col>22</xdr:col>
      <xdr:colOff>36871</xdr:colOff>
      <xdr:row>49</xdr:row>
      <xdr:rowOff>159774</xdr:rowOff>
    </xdr:to>
    <xdr:graphicFrame macro="">
      <xdr:nvGraphicFramePr>
        <xdr:cNvPr id="6" name="Chart 5">
          <a:extLst>
            <a:ext uri="{FF2B5EF4-FFF2-40B4-BE49-F238E27FC236}">
              <a16:creationId xmlns:a16="http://schemas.microsoft.com/office/drawing/2014/main" id="{ED6F20BB-AA2A-4461-800B-7DE33967E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1</xdr:colOff>
      <xdr:row>13</xdr:row>
      <xdr:rowOff>37477</xdr:rowOff>
    </xdr:from>
    <xdr:to>
      <xdr:col>29</xdr:col>
      <xdr:colOff>155918</xdr:colOff>
      <xdr:row>22</xdr:row>
      <xdr:rowOff>99936</xdr:rowOff>
    </xdr:to>
    <mc:AlternateContent xmlns:mc="http://schemas.openxmlformats.org/markup-compatibility/2006" xmlns:a14="http://schemas.microsoft.com/office/drawing/2010/main">
      <mc:Choice Requires="a14">
        <xdr:graphicFrame macro="">
          <xdr:nvGraphicFramePr>
            <xdr:cNvPr id="7" name="Quarter">
              <a:extLst>
                <a:ext uri="{FF2B5EF4-FFF2-40B4-BE49-F238E27FC236}">
                  <a16:creationId xmlns:a16="http://schemas.microsoft.com/office/drawing/2014/main" id="{7E6A45D1-D3C2-4998-923B-C5F11DB01C0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6287751" y="2609227"/>
              <a:ext cx="1362417" cy="1776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110254</xdr:colOff>
      <xdr:row>49</xdr:row>
      <xdr:rowOff>87172</xdr:rowOff>
    </xdr:from>
    <xdr:to>
      <xdr:col>29</xdr:col>
      <xdr:colOff>160221</xdr:colOff>
      <xdr:row>59</xdr:row>
      <xdr:rowOff>4889</xdr:rowOff>
    </xdr:to>
    <mc:AlternateContent xmlns:mc="http://schemas.openxmlformats.org/markup-compatibility/2006" xmlns:a14="http://schemas.microsoft.com/office/drawing/2010/main">
      <mc:Choice Requires="a14">
        <xdr:graphicFrame macro="">
          <xdr:nvGraphicFramePr>
            <xdr:cNvPr id="8" name="Customer Type">
              <a:extLst>
                <a:ext uri="{FF2B5EF4-FFF2-40B4-BE49-F238E27FC236}">
                  <a16:creationId xmlns:a16="http://schemas.microsoft.com/office/drawing/2014/main" id="{395DC3CE-4B34-4710-A29A-40795EF2523F}"/>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6398004" y="9516922"/>
              <a:ext cx="1256467" cy="1822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12492</xdr:colOff>
      <xdr:row>24</xdr:row>
      <xdr:rowOff>99936</xdr:rowOff>
    </xdr:from>
    <xdr:to>
      <xdr:col>29</xdr:col>
      <xdr:colOff>137410</xdr:colOff>
      <xdr:row>35</xdr:row>
      <xdr:rowOff>37476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43D277F-C288-4898-A419-60FB33D0F8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300242" y="4767186"/>
              <a:ext cx="1331418" cy="203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81197</xdr:colOff>
      <xdr:row>37</xdr:row>
      <xdr:rowOff>12764</xdr:rowOff>
    </xdr:from>
    <xdr:to>
      <xdr:col>29</xdr:col>
      <xdr:colOff>118672</xdr:colOff>
      <xdr:row>47</xdr:row>
      <xdr:rowOff>145013</xdr:rowOff>
    </xdr:to>
    <mc:AlternateContent xmlns:mc="http://schemas.openxmlformats.org/markup-compatibility/2006" xmlns:a14="http://schemas.microsoft.com/office/drawing/2010/main">
      <mc:Choice Requires="a14">
        <xdr:graphicFrame macro="">
          <xdr:nvGraphicFramePr>
            <xdr:cNvPr id="10" name="Drug Name">
              <a:extLst>
                <a:ext uri="{FF2B5EF4-FFF2-40B4-BE49-F238E27FC236}">
                  <a16:creationId xmlns:a16="http://schemas.microsoft.com/office/drawing/2014/main" id="{EFF7B5A3-EFA8-4F9F-8A94-1DE98A58A3B5}"/>
                </a:ext>
              </a:extLst>
            </xdr:cNvPr>
            <xdr:cNvGraphicFramePr/>
          </xdr:nvGraphicFramePr>
          <xdr:xfrm>
            <a:off x="0" y="0"/>
            <a:ext cx="0" cy="0"/>
          </xdr:xfrm>
          <a:graphic>
            <a:graphicData uri="http://schemas.microsoft.com/office/drawing/2010/slicer">
              <sle:slicer xmlns:sle="http://schemas.microsoft.com/office/drawing/2010/slicer" name="Drug Name"/>
            </a:graphicData>
          </a:graphic>
        </xdr:graphicFrame>
      </mc:Choice>
      <mc:Fallback xmlns="">
        <xdr:sp macro="" textlink="">
          <xdr:nvSpPr>
            <xdr:cNvPr id="0" name=""/>
            <xdr:cNvSpPr>
              <a:spLocks noTextEdit="1"/>
            </xdr:cNvSpPr>
          </xdr:nvSpPr>
          <xdr:spPr>
            <a:xfrm>
              <a:off x="16368947" y="7156514"/>
              <a:ext cx="1243975" cy="2037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553065</xdr:colOff>
      <xdr:row>49</xdr:row>
      <xdr:rowOff>12290</xdr:rowOff>
    </xdr:from>
    <xdr:ext cx="3352200" cy="623184"/>
    <xdr:sp macro="" textlink="">
      <xdr:nvSpPr>
        <xdr:cNvPr id="27" name="TextBox 26">
          <a:extLst>
            <a:ext uri="{FF2B5EF4-FFF2-40B4-BE49-F238E27FC236}">
              <a16:creationId xmlns:a16="http://schemas.microsoft.com/office/drawing/2014/main" id="{66EF98F8-54E1-70A2-6DC2-7A3AB4C3653A}"/>
            </a:ext>
          </a:extLst>
        </xdr:cNvPr>
        <xdr:cNvSpPr txBox="1"/>
      </xdr:nvSpPr>
      <xdr:spPr>
        <a:xfrm>
          <a:off x="2396613" y="9156290"/>
          <a:ext cx="3352200" cy="623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a:latin typeface="Times New Roman" panose="02020603050405020304" pitchFamily="18" charset="0"/>
              <a:cs typeface="Times New Roman" panose="02020603050405020304" pitchFamily="18" charset="0"/>
            </a:rPr>
            <a:t>KEY</a:t>
          </a:r>
          <a:r>
            <a:rPr lang="en-US" sz="3600" baseline="0">
              <a:latin typeface="Times New Roman" panose="02020603050405020304" pitchFamily="18" charset="0"/>
              <a:cs typeface="Times New Roman" panose="02020603050405020304" pitchFamily="18" charset="0"/>
            </a:rPr>
            <a:t> INSIGHTS</a:t>
          </a:r>
          <a:endParaRPr lang="en-US" sz="3600">
            <a:latin typeface="Times New Roman" panose="02020603050405020304" pitchFamily="18" charset="0"/>
            <a:cs typeface="Times New Roman" panose="02020603050405020304" pitchFamily="18" charset="0"/>
          </a:endParaRPr>
        </a:p>
      </xdr:txBody>
    </xdr:sp>
    <xdr:clientData/>
  </xdr:oneCellAnchor>
  <xdr:oneCellAnchor>
    <xdr:from>
      <xdr:col>3</xdr:col>
      <xdr:colOff>73742</xdr:colOff>
      <xdr:row>53</xdr:row>
      <xdr:rowOff>61451</xdr:rowOff>
    </xdr:from>
    <xdr:ext cx="5051323" cy="405432"/>
    <xdr:sp macro="" textlink="">
      <xdr:nvSpPr>
        <xdr:cNvPr id="28" name="TextBox 27">
          <a:extLst>
            <a:ext uri="{FF2B5EF4-FFF2-40B4-BE49-F238E27FC236}">
              <a16:creationId xmlns:a16="http://schemas.microsoft.com/office/drawing/2014/main" id="{5FDBA91E-C28B-7A1B-1D75-67FF207F59DE}"/>
            </a:ext>
          </a:extLst>
        </xdr:cNvPr>
        <xdr:cNvSpPr txBox="1"/>
      </xdr:nvSpPr>
      <xdr:spPr>
        <a:xfrm>
          <a:off x="1917290" y="9942870"/>
          <a:ext cx="505132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 </a:t>
          </a:r>
          <a:r>
            <a:rPr lang="en-US" sz="2000"/>
            <a:t>South America leads with $</a:t>
          </a:r>
          <a:r>
            <a:rPr lang="en-US" sz="2000" baseline="0"/>
            <a:t> 6.08M revenue</a:t>
          </a:r>
          <a:endParaRPr lang="en-US" sz="2000"/>
        </a:p>
      </xdr:txBody>
    </xdr:sp>
    <xdr:clientData/>
  </xdr:oneCellAnchor>
  <xdr:twoCellAnchor editAs="oneCell">
    <xdr:from>
      <xdr:col>2</xdr:col>
      <xdr:colOff>122903</xdr:colOff>
      <xdr:row>52</xdr:row>
      <xdr:rowOff>159774</xdr:rowOff>
    </xdr:from>
    <xdr:to>
      <xdr:col>3</xdr:col>
      <xdr:colOff>135194</xdr:colOff>
      <xdr:row>56</xdr:row>
      <xdr:rowOff>49162</xdr:rowOff>
    </xdr:to>
    <xdr:pic>
      <xdr:nvPicPr>
        <xdr:cNvPr id="30" name="Graphic 29" descr="Earth globe: Americas with solid fill">
          <a:extLst>
            <a:ext uri="{FF2B5EF4-FFF2-40B4-BE49-F238E27FC236}">
              <a16:creationId xmlns:a16="http://schemas.microsoft.com/office/drawing/2014/main" id="{79A0941B-AB67-D01A-C9AA-6F0DC0556C2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51935" y="9856839"/>
          <a:ext cx="626807" cy="626807"/>
        </a:xfrm>
        <a:prstGeom prst="rect">
          <a:avLst/>
        </a:prstGeom>
      </xdr:spPr>
    </xdr:pic>
    <xdr:clientData/>
  </xdr:twoCellAnchor>
  <xdr:twoCellAnchor>
    <xdr:from>
      <xdr:col>1</xdr:col>
      <xdr:colOff>479323</xdr:colOff>
      <xdr:row>56</xdr:row>
      <xdr:rowOff>135193</xdr:rowOff>
    </xdr:from>
    <xdr:to>
      <xdr:col>11</xdr:col>
      <xdr:colOff>479323</xdr:colOff>
      <xdr:row>56</xdr:row>
      <xdr:rowOff>159774</xdr:rowOff>
    </xdr:to>
    <xdr:cxnSp macro="">
      <xdr:nvCxnSpPr>
        <xdr:cNvPr id="32" name="Straight Connector 31">
          <a:extLst>
            <a:ext uri="{FF2B5EF4-FFF2-40B4-BE49-F238E27FC236}">
              <a16:creationId xmlns:a16="http://schemas.microsoft.com/office/drawing/2014/main" id="{A17A859F-1603-D954-2FDA-C9C60CBC89DA}"/>
            </a:ext>
          </a:extLst>
        </xdr:cNvPr>
        <xdr:cNvCxnSpPr/>
      </xdr:nvCxnSpPr>
      <xdr:spPr>
        <a:xfrm flipV="1">
          <a:off x="1093839" y="10569677"/>
          <a:ext cx="6145161" cy="2458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135193</xdr:colOff>
      <xdr:row>58</xdr:row>
      <xdr:rowOff>-1</xdr:rowOff>
    </xdr:from>
    <xdr:to>
      <xdr:col>3</xdr:col>
      <xdr:colOff>86033</xdr:colOff>
      <xdr:row>61</xdr:row>
      <xdr:rowOff>73742</xdr:rowOff>
    </xdr:to>
    <xdr:pic>
      <xdr:nvPicPr>
        <xdr:cNvPr id="34" name="Graphic 33" descr="Medicine with solid fill">
          <a:extLst>
            <a:ext uri="{FF2B5EF4-FFF2-40B4-BE49-F238E27FC236}">
              <a16:creationId xmlns:a16="http://schemas.microsoft.com/office/drawing/2014/main" id="{AAE4BD67-C134-A1FD-25A4-AE5A972D84F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64225" y="10803193"/>
          <a:ext cx="565356" cy="626807"/>
        </a:xfrm>
        <a:prstGeom prst="rect">
          <a:avLst/>
        </a:prstGeom>
      </xdr:spPr>
    </xdr:pic>
    <xdr:clientData/>
  </xdr:twoCellAnchor>
  <xdr:oneCellAnchor>
    <xdr:from>
      <xdr:col>2</xdr:col>
      <xdr:colOff>602226</xdr:colOff>
      <xdr:row>58</xdr:row>
      <xdr:rowOff>147483</xdr:rowOff>
    </xdr:from>
    <xdr:ext cx="7048416" cy="405432"/>
    <xdr:sp macro="" textlink="">
      <xdr:nvSpPr>
        <xdr:cNvPr id="35" name="TextBox 34">
          <a:extLst>
            <a:ext uri="{FF2B5EF4-FFF2-40B4-BE49-F238E27FC236}">
              <a16:creationId xmlns:a16="http://schemas.microsoft.com/office/drawing/2014/main" id="{3EBDF302-E361-A73D-8CC0-7D09F820CEA1}"/>
            </a:ext>
          </a:extLst>
        </xdr:cNvPr>
        <xdr:cNvSpPr txBox="1"/>
      </xdr:nvSpPr>
      <xdr:spPr>
        <a:xfrm>
          <a:off x="1831258" y="10950677"/>
          <a:ext cx="704841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t>Drug</a:t>
          </a:r>
          <a:r>
            <a:rPr lang="en-US" sz="2000" baseline="0"/>
            <a:t> B is the top performer contributing 28.1% of total revenue</a:t>
          </a:r>
          <a:endParaRPr lang="en-US" sz="2000"/>
        </a:p>
      </xdr:txBody>
    </xdr:sp>
    <xdr:clientData/>
  </xdr:oneCellAnchor>
  <xdr:twoCellAnchor>
    <xdr:from>
      <xdr:col>1</xdr:col>
      <xdr:colOff>467032</xdr:colOff>
      <xdr:row>63</xdr:row>
      <xdr:rowOff>36871</xdr:rowOff>
    </xdr:from>
    <xdr:to>
      <xdr:col>14</xdr:col>
      <xdr:colOff>73742</xdr:colOff>
      <xdr:row>63</xdr:row>
      <xdr:rowOff>49161</xdr:rowOff>
    </xdr:to>
    <xdr:cxnSp macro="">
      <xdr:nvCxnSpPr>
        <xdr:cNvPr id="39" name="Straight Connector 38">
          <a:extLst>
            <a:ext uri="{FF2B5EF4-FFF2-40B4-BE49-F238E27FC236}">
              <a16:creationId xmlns:a16="http://schemas.microsoft.com/office/drawing/2014/main" id="{A0EA1618-7AE3-7E2D-B0AD-9E8B1A6B1AAD}"/>
            </a:ext>
          </a:extLst>
        </xdr:cNvPr>
        <xdr:cNvCxnSpPr/>
      </xdr:nvCxnSpPr>
      <xdr:spPr>
        <a:xfrm flipV="1">
          <a:off x="1081548" y="11761839"/>
          <a:ext cx="7595420" cy="1229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98322</xdr:colOff>
      <xdr:row>63</xdr:row>
      <xdr:rowOff>172064</xdr:rowOff>
    </xdr:from>
    <xdr:to>
      <xdr:col>3</xdr:col>
      <xdr:colOff>135193</xdr:colOff>
      <xdr:row>67</xdr:row>
      <xdr:rowOff>86032</xdr:rowOff>
    </xdr:to>
    <xdr:pic>
      <xdr:nvPicPr>
        <xdr:cNvPr id="41" name="Graphic 40" descr="Medical with solid fill">
          <a:extLst>
            <a:ext uri="{FF2B5EF4-FFF2-40B4-BE49-F238E27FC236}">
              <a16:creationId xmlns:a16="http://schemas.microsoft.com/office/drawing/2014/main" id="{B000FA16-A73E-B310-0506-6E11CE19EF0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27354" y="11897032"/>
          <a:ext cx="651387" cy="651387"/>
        </a:xfrm>
        <a:prstGeom prst="rect">
          <a:avLst/>
        </a:prstGeom>
      </xdr:spPr>
    </xdr:pic>
    <xdr:clientData/>
  </xdr:twoCellAnchor>
  <xdr:oneCellAnchor>
    <xdr:from>
      <xdr:col>3</xdr:col>
      <xdr:colOff>245807</xdr:colOff>
      <xdr:row>64</xdr:row>
      <xdr:rowOff>147483</xdr:rowOff>
    </xdr:from>
    <xdr:ext cx="5655459" cy="374141"/>
    <xdr:sp macro="" textlink="">
      <xdr:nvSpPr>
        <xdr:cNvPr id="42" name="TextBox 41">
          <a:extLst>
            <a:ext uri="{FF2B5EF4-FFF2-40B4-BE49-F238E27FC236}">
              <a16:creationId xmlns:a16="http://schemas.microsoft.com/office/drawing/2014/main" id="{9673057A-3EFC-3991-04C8-6A55D758F414}"/>
            </a:ext>
          </a:extLst>
        </xdr:cNvPr>
        <xdr:cNvSpPr txBox="1"/>
      </xdr:nvSpPr>
      <xdr:spPr>
        <a:xfrm>
          <a:off x="2089355" y="12056806"/>
          <a:ext cx="565545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t>Clinics are the largest customer segment</a:t>
          </a:r>
          <a:r>
            <a:rPr lang="en-US" sz="1800" baseline="0"/>
            <a:t> with 34.7% share</a:t>
          </a:r>
          <a:endParaRPr lang="en-US" sz="1800"/>
        </a:p>
      </xdr:txBody>
    </xdr:sp>
    <xdr:clientData/>
  </xdr:oneCellAnchor>
  <xdr:twoCellAnchor>
    <xdr:from>
      <xdr:col>1</xdr:col>
      <xdr:colOff>430161</xdr:colOff>
      <xdr:row>69</xdr:row>
      <xdr:rowOff>0</xdr:rowOff>
    </xdr:from>
    <xdr:to>
      <xdr:col>14</xdr:col>
      <xdr:colOff>307258</xdr:colOff>
      <xdr:row>69</xdr:row>
      <xdr:rowOff>73742</xdr:rowOff>
    </xdr:to>
    <xdr:cxnSp macro="">
      <xdr:nvCxnSpPr>
        <xdr:cNvPr id="44" name="Straight Connector 43">
          <a:extLst>
            <a:ext uri="{FF2B5EF4-FFF2-40B4-BE49-F238E27FC236}">
              <a16:creationId xmlns:a16="http://schemas.microsoft.com/office/drawing/2014/main" id="{870F7019-FEB8-4073-1144-D8DD63AAA325}"/>
            </a:ext>
          </a:extLst>
        </xdr:cNvPr>
        <xdr:cNvCxnSpPr/>
      </xdr:nvCxnSpPr>
      <xdr:spPr>
        <a:xfrm flipV="1">
          <a:off x="1044677" y="12831097"/>
          <a:ext cx="7865807" cy="7374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61452</xdr:colOff>
      <xdr:row>70</xdr:row>
      <xdr:rowOff>12289</xdr:rowOff>
    </xdr:from>
    <xdr:to>
      <xdr:col>3</xdr:col>
      <xdr:colOff>122904</xdr:colOff>
      <xdr:row>73</xdr:row>
      <xdr:rowOff>135193</xdr:rowOff>
    </xdr:to>
    <xdr:pic>
      <xdr:nvPicPr>
        <xdr:cNvPr id="48" name="Graphic 47" descr="Bullseye with solid fill">
          <a:extLst>
            <a:ext uri="{FF2B5EF4-FFF2-40B4-BE49-F238E27FC236}">
              <a16:creationId xmlns:a16="http://schemas.microsoft.com/office/drawing/2014/main" id="{5EC2E173-7DCE-96B9-778F-A8C958B5A9B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90484" y="13027741"/>
          <a:ext cx="675968" cy="675968"/>
        </a:xfrm>
        <a:prstGeom prst="rect">
          <a:avLst/>
        </a:prstGeom>
      </xdr:spPr>
    </xdr:pic>
    <xdr:clientData/>
  </xdr:twoCellAnchor>
  <xdr:oneCellAnchor>
    <xdr:from>
      <xdr:col>3</xdr:col>
      <xdr:colOff>282677</xdr:colOff>
      <xdr:row>70</xdr:row>
      <xdr:rowOff>147483</xdr:rowOff>
    </xdr:from>
    <xdr:ext cx="6034549" cy="374141"/>
    <xdr:sp macro="" textlink="">
      <xdr:nvSpPr>
        <xdr:cNvPr id="49" name="TextBox 48">
          <a:extLst>
            <a:ext uri="{FF2B5EF4-FFF2-40B4-BE49-F238E27FC236}">
              <a16:creationId xmlns:a16="http://schemas.microsoft.com/office/drawing/2014/main" id="{68C96952-FD9A-A740-764E-176F352F538F}"/>
            </a:ext>
          </a:extLst>
        </xdr:cNvPr>
        <xdr:cNvSpPr txBox="1"/>
      </xdr:nvSpPr>
      <xdr:spPr>
        <a:xfrm>
          <a:off x="2126225" y="13162935"/>
          <a:ext cx="603454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t>Overall achievement</a:t>
          </a:r>
          <a:r>
            <a:rPr lang="en-US" sz="1800" baseline="0"/>
            <a:t> rate is 96% , showing strong performance</a:t>
          </a:r>
          <a:endParaRPr lang="en-US" sz="18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NATH" refreshedDate="46170.568705439815" createdVersion="8" refreshedVersion="8" minRefreshableVersion="3" recordCount="1000" xr:uid="{C35A8188-944F-4F77-89F2-67697C973DA0}">
  <cacheSource type="worksheet">
    <worksheetSource name="Table1"/>
  </cacheSource>
  <cacheFields count="18">
    <cacheField name="Drug Name" numFmtId="0">
      <sharedItems count="5">
        <s v="Drug B"/>
        <s v="Drug E"/>
        <s v="Drug C"/>
        <s v="Drug A"/>
        <s v="Drug D"/>
      </sharedItems>
    </cacheField>
    <cacheField name="Manufacturer" numFmtId="0">
      <sharedItems/>
    </cacheField>
    <cacheField name="Dosage Form" numFmtId="0">
      <sharedItems/>
    </cacheField>
    <cacheField name="Strength" numFmtId="0">
      <sharedItems/>
    </cacheField>
    <cacheField name="Package Size" numFmtId="0">
      <sharedItems containsMixedTypes="1" containsNumber="1" containsInteger="1" minValue="30" maxValue="60"/>
    </cacheField>
    <cacheField name="Units Sold" numFmtId="0">
      <sharedItems containsSemiMixedTypes="0" containsString="0" containsNumber="1" containsInteger="1" minValue="100" maxValue="1999"/>
    </cacheField>
    <cacheField name="Revenue" numFmtId="6">
      <sharedItems containsSemiMixedTypes="0" containsString="0" containsNumber="1" containsInteger="1" minValue="1053" maxValue="49986"/>
    </cacheField>
    <cacheField name="Sale Date" numFmtId="14">
      <sharedItems containsSemiMixedTypes="0" containsNonDate="0" containsDate="1" containsString="0" minDate="2023-07-29T00:00:00" maxDate="2024-07-29T00:00:00"/>
    </cacheField>
    <cacheField name="Region" numFmtId="0">
      <sharedItems count="5">
        <s v="South America"/>
        <s v="Africa"/>
        <s v="Asia"/>
        <s v="Europe"/>
        <s v="North America"/>
      </sharedItems>
    </cacheField>
    <cacheField name="Sales Representative" numFmtId="0">
      <sharedItems count="994">
        <s v="Susan Hernandez"/>
        <s v="Jackie Wagner"/>
        <s v="Mariah Mccoy"/>
        <s v="Courtney Doyle"/>
        <s v="Dawn Torres"/>
        <s v="Jessica Faulkner"/>
        <s v="Alicia Howard"/>
        <s v="David Hill"/>
        <s v="Matthew Johnson"/>
        <s v="Kimberly Murphy"/>
        <s v="Tyler Brown"/>
        <s v="Sheila Coleman"/>
        <s v="Douglas Rodriguez"/>
        <s v="Brandi King"/>
        <s v="Susan Brewer"/>
        <s v="Latoya Wright"/>
        <s v="Richard Edwards"/>
        <s v="Mr. Michael Taylor"/>
        <s v="Angela Castro"/>
        <s v="Christie Brown"/>
        <s v="Annette Fisher"/>
        <s v="Katelyn Smith"/>
        <s v="Crystal Lawrence"/>
        <s v="Katherine Sexton"/>
        <s v="Felicia Jones"/>
        <s v="Lisa Johnson"/>
        <s v="Amber Hill"/>
        <s v="Rebecca Lawrence"/>
        <s v="John Smith"/>
        <s v="Scott Jones"/>
        <s v="Cynthia Cook"/>
        <s v="Randy Dunn"/>
        <s v="Michael Cisneros"/>
        <s v="Crystal Keller"/>
        <s v="Christina Lopez"/>
        <s v="Christopher Taylor"/>
        <s v="Lisa Alvarado"/>
        <s v="Kerry Oneill"/>
        <s v="Stephanie Collins"/>
        <s v="Brian Williams"/>
        <s v="Laura Vance"/>
        <s v="Sierra Edwards"/>
        <s v="Lisa Hunter"/>
        <s v="Jeffrey Lane"/>
        <s v="Terri Floyd"/>
        <s v="Patrick Valenzuela"/>
        <s v="Todd Roberts"/>
        <s v="Jessica Donovan"/>
        <s v="Sean Smith"/>
        <s v="Laura Brown"/>
        <s v="Dr. Michael Ortiz"/>
        <s v="Paul Valdez"/>
        <s v="Cassandra Diaz"/>
        <s v="Matthew Richards"/>
        <s v="Travis Gonzalez"/>
        <s v="Sandra Murray"/>
        <s v="Tammy Harper"/>
        <s v="Dwayne Johnson"/>
        <s v="Mary Dorsey"/>
        <s v="Brian Beasley"/>
        <s v="Russell Wong"/>
        <s v="Jason Levy"/>
        <s v="Lindsey Shepherd"/>
        <s v="Matthew Nolan"/>
        <s v="Stephen Schroeder"/>
        <s v="Jennifer Taylor"/>
        <s v="John Ewing"/>
        <s v="Kimberly Blackburn"/>
        <s v="Michael Jones"/>
        <s v="Jacob Salinas"/>
        <s v="Brianna Alexander"/>
        <s v="Patricia Gonzales"/>
        <s v="Caitlyn Juarez"/>
        <s v="Willie Horn"/>
        <s v="Tracy Bond"/>
        <s v="Mark Martin"/>
        <s v="William Wolf MD"/>
        <s v="Kelsey Phillips"/>
        <s v="Corey Weaver"/>
        <s v="Brendan Garza"/>
        <s v="Jeanette Vasquez"/>
        <s v="Jeffrey Rivera"/>
        <s v="Brandy Henderson"/>
        <s v="Robert Jones"/>
        <s v="Jason Caldwell"/>
        <s v="Cynthia Thomas"/>
        <s v="Alicia Lambert"/>
        <s v="Michelle Abbott"/>
        <s v="Robin Roth"/>
        <s v="Emily Mills"/>
        <s v="Michael Roberson"/>
        <s v="Heather Adams"/>
        <s v="Anna Ford"/>
        <s v="Brian Greer"/>
        <s v="Joshua Gomez"/>
        <s v="Michael Orr"/>
        <s v="Elizabeth Powell"/>
        <s v="Steven Decker"/>
        <s v="Lisa Friedman"/>
        <s v="Jeremy Brandt"/>
        <s v="Cheryl Campbell"/>
        <s v="Emily Turner"/>
        <s v="Cheryl Morris"/>
        <s v="Richard Mendoza"/>
        <s v="Isabel Whitaker"/>
        <s v="Darryl Nicholson"/>
        <s v="Patricia Mclean"/>
        <s v="Raymond Scott"/>
        <s v="Cindy Diaz"/>
        <s v="Timothy Bradley"/>
        <s v="Chad Lewis"/>
        <s v="Ashley White"/>
        <s v="Emily Scott"/>
        <s v="Kelly Berry"/>
        <s v="Michael Miller"/>
        <s v="Brian Coleman"/>
        <s v="James Sexton"/>
        <s v="Mitchell Butler"/>
        <s v="Jeremy Mcdaniel"/>
        <s v="Heidi Joseph"/>
        <s v="Caitlyn Smith"/>
        <s v="Robert Brown"/>
        <s v="Catherine Porter"/>
        <s v="Angela Pierce"/>
        <s v="Jason Taylor"/>
        <s v="Stephen Rodriguez"/>
        <s v="Lisa Gross"/>
        <s v="Wyatt Norris"/>
        <s v="Victoria Maldonado"/>
        <s v="Stacey Jordan"/>
        <s v="Isabella Alvarado"/>
        <s v="Anna Griffin"/>
        <s v="Jason Sanders"/>
        <s v="Kevin Sanford"/>
        <s v="Corey Miller"/>
        <s v="Ronald Caldwell"/>
        <s v="Andre Castillo"/>
        <s v="Jessica Nelson"/>
        <s v="Darin Smith"/>
        <s v="Carmen Bailey"/>
        <s v="Kristopher Martinez"/>
        <s v="Joseph Brewer"/>
        <s v="Michael Guzman"/>
        <s v="Theresa Hansen"/>
        <s v="Daniel Murillo"/>
        <s v="Jake Cook"/>
        <s v="Gary Grant"/>
        <s v="Don Brown"/>
        <s v="Shelby Johnson"/>
        <s v="Virginia Phillips"/>
        <s v="Melissa Kennedy"/>
        <s v="Patricia Norris"/>
        <s v="Taylor Barnes"/>
        <s v="Christina Montoya"/>
        <s v="Brittney Gonzales"/>
        <s v="Stephanie Williams"/>
        <s v="Hayden Rodriguez"/>
        <s v="Susan Mccoy"/>
        <s v="Keith Payne"/>
        <s v="John Lindsey"/>
        <s v="Hannah Long"/>
        <s v="Kevin Gates"/>
        <s v="Ricky Garner"/>
        <s v="Elizabeth Lopez"/>
        <s v="Gary Valencia"/>
        <s v="Emily Brown"/>
        <s v="Richard Stewart"/>
        <s v="Aaron Cline"/>
        <s v="Joshua Phillips"/>
        <s v="Tammy Wolfe"/>
        <s v="Catherine Henry"/>
        <s v="Tiffany Lane"/>
        <s v="Jodi Lowe"/>
        <s v="James Elliott"/>
        <s v="Cody Williams"/>
        <s v="Brian Sanchez"/>
        <s v="Teresa Taylor"/>
        <s v="Dana Sharp"/>
        <s v="Kevin Boyle"/>
        <s v="Dennis Wilson"/>
        <s v="Darrell Parsons"/>
        <s v="Charles Roberson"/>
        <s v="Jodi Reed"/>
        <s v="Lisa Williams"/>
        <s v="Meagan Braun"/>
        <s v="Michael Gibson"/>
        <s v="Mark Rivas"/>
        <s v="Paul Sullivan"/>
        <s v="Mr. Kevin Larson"/>
        <s v="George White"/>
        <s v="John Davis"/>
        <s v="Kevin Clark"/>
        <s v="John Orozco"/>
        <s v="Danielle Thomas"/>
        <s v="Yolanda Sims"/>
        <s v="John Allen"/>
        <s v="Larry Dunn"/>
        <s v="Robert Clark"/>
        <s v="Pamela Benson"/>
        <s v="Emily Wright"/>
        <s v="Robert Johnson"/>
        <s v="Phillip Turner"/>
        <s v="Antonio Murphy"/>
        <s v="Erin Cline"/>
        <s v="Jessica Morris"/>
        <s v="Stephen Smith"/>
        <s v="Kayla Meyer"/>
        <s v="Cynthia Phillips"/>
        <s v="James Smith"/>
        <s v="Jacob Spencer"/>
        <s v="Joseph Marks"/>
        <s v="James Campbell"/>
        <s v="Kristina Simpson"/>
        <s v="Cody Robbins"/>
        <s v="Karen Buchanan"/>
        <s v="James Haley"/>
        <s v="Sarah Hammond"/>
        <s v="Rebecca Jackson"/>
        <s v="Angela Nunez"/>
        <s v="Richard Gutierrez"/>
        <s v="Barbara Kim"/>
        <s v="Elizabeth Mcdaniel"/>
        <s v="Jamie Fischer"/>
        <s v="Andre Bauer"/>
        <s v="Robert Graham"/>
        <s v="Elizabeth Adams"/>
        <s v="Richard Lawson"/>
        <s v="Christopher Fischer"/>
        <s v="Jasmine Day"/>
        <s v="Lisa Cordova"/>
        <s v="Alejandro Bishop"/>
        <s v="David Anderson"/>
        <s v="Sara Chapman"/>
        <s v="Kevin Wilson"/>
        <s v="Edward Silva"/>
        <s v="Erika Robinson"/>
        <s v="Lauren Baker"/>
        <s v="Christopher Wilson"/>
        <s v="Steven Bray"/>
        <s v="Sharon Carter"/>
        <s v="Gregg Yu"/>
        <s v="Bradley Pennington"/>
        <s v="Angelica Hensley"/>
        <s v="Benjamin Holloway"/>
        <s v="Michael Williams"/>
        <s v="William Ford"/>
        <s v="Miss Elizabeth Evans"/>
        <s v="James Mccarty"/>
        <s v="Adam Cox"/>
        <s v="Brandon Cooper"/>
        <s v="Cathy Gonzalez"/>
        <s v="Mrs. Hailey Johnson DDS"/>
        <s v="Austin Martinez"/>
        <s v="Stephanie Davis"/>
        <s v="Erica Bass"/>
        <s v="Jonathan Brown"/>
        <s v="Zachary Miller"/>
        <s v="Dr. Laura Shaffer"/>
        <s v="Paul Smith"/>
        <s v="Stacey Hart"/>
        <s v="Dr. Sara Wilson"/>
        <s v="Gary Lucas"/>
        <s v="Jacqueline Greene"/>
        <s v="Joseph Ross"/>
        <s v="John Davila"/>
        <s v="Jerry Michael"/>
        <s v="Christina Blankenship"/>
        <s v="Daniel Bryant"/>
        <s v="Maria Moore"/>
        <s v="Danny Pennington"/>
        <s v="Geoffrey Elliott"/>
        <s v="Heather Simmons"/>
        <s v="Mark Mckinney"/>
        <s v="Amy Dickson"/>
        <s v="Bradley Dean"/>
        <s v="Dylan Warren"/>
        <s v="Ryan Thompson"/>
        <s v="Alicia Flynn"/>
        <s v="Felicia Wallace"/>
        <s v="Jeffrey Molina"/>
        <s v="Dustin Stephenson"/>
        <s v="Autumn Francis"/>
        <s v="Audrey Pennington"/>
        <s v="Thomas Chapman"/>
        <s v="David Johnson"/>
        <s v="Donna Lucas"/>
        <s v="Michael Robinson"/>
        <s v="Austin Martin"/>
        <s v="Julie Ferguson"/>
        <s v="Justin Coffey"/>
        <s v="Daniel Kelly"/>
        <s v="Leah Miller"/>
        <s v="Amy Jackson"/>
        <s v="Brian Dennis"/>
        <s v="Elizabeth Branch"/>
        <s v="Rebecca Baker"/>
        <s v="Ryan Beck"/>
        <s v="Annette Bartlett"/>
        <s v="Cameron Garcia"/>
        <s v="Carlos Sawyer"/>
        <s v="Anthony Bell"/>
        <s v="Adam Brown"/>
        <s v="Phyllis Robertson"/>
        <s v="Justin Hamilton"/>
        <s v="Lucas Dunn"/>
        <s v="Aaron Douglas"/>
        <s v="Gregory Ross"/>
        <s v="Corey Wong"/>
        <s v="Bobby Price"/>
        <s v="Nicole Jones"/>
        <s v="Bonnie Thompson"/>
        <s v="Dawn Rogers"/>
        <s v="Robert Kelley"/>
        <s v="Anna Jordan"/>
        <s v="Seth Jenkins"/>
        <s v="Tiffany Brown"/>
        <s v="Michael Ortiz"/>
        <s v="Lauren Brown"/>
        <s v="Barbara Richard"/>
        <s v="Haley Maldonado"/>
        <s v="Timothy Crosby"/>
        <s v="Robin Benton"/>
        <s v="Mr. David Bennett"/>
        <s v="Alexander Maynard"/>
        <s v="Julia Stevens"/>
        <s v="Kimberly Stewart"/>
        <s v="Rachel Allen"/>
        <s v="Tracy Erickson"/>
        <s v="William Parks"/>
        <s v="Paul Morgan"/>
        <s v="Jessica Vincent"/>
        <s v="Elizabeth Ray"/>
        <s v="James Graham"/>
        <s v="Darrell Kelly"/>
        <s v="Richard Thomas"/>
        <s v="Laura Gregory"/>
        <s v="David Castro"/>
        <s v="Jessica Webster"/>
        <s v="Cristina Stevens"/>
        <s v="Lauren Bryant"/>
        <s v="Adam Shelton"/>
        <s v="Ashley Pittman"/>
        <s v="Miss Amy Perry"/>
        <s v="Johnny Kim"/>
        <s v="Yvonne Rogers"/>
        <s v="Mr. Kevin Duffy"/>
        <s v="Angela Brown"/>
        <s v="Lauren Gilbert"/>
        <s v="Michael Solis"/>
        <s v="Andre Skinner"/>
        <s v="Jamie Martin"/>
        <s v="Allison Alvarado"/>
        <s v="Amy Anderson"/>
        <s v="Ariel Brown"/>
        <s v="John Newman"/>
        <s v="Jon Richardson"/>
        <s v="Sarah Burnett"/>
        <s v="Jason Bradley"/>
        <s v="Brendan Harrington"/>
        <s v="Danny Bernard"/>
        <s v="Timothy Villanueva"/>
        <s v="Amy Adams"/>
        <s v="Casey Coleman"/>
        <s v="Samuel Lopez"/>
        <s v="Joseph Johnson"/>
        <s v="Mark Reed"/>
        <s v="Maurice Mcintosh"/>
        <s v="Ryan Cardenas"/>
        <s v="Rachel Robinson"/>
        <s v="Charles Wagner"/>
        <s v="Donna White"/>
        <s v="Shane Burke"/>
        <s v="Daniel Newton"/>
        <s v="Anita Morgan"/>
        <s v="Sheryl Ramos"/>
        <s v="Robert Cline"/>
        <s v="Katherine Smith"/>
        <s v="Sarah Martin"/>
        <s v="Maria Sullivan"/>
        <s v="Janet Bates"/>
        <s v="Jorge Garcia"/>
        <s v="Jacob Bennett"/>
        <s v="Sarah Davila"/>
        <s v="Carolyn Rhodes"/>
        <s v="Erik Silva"/>
        <s v="Eric Lee"/>
        <s v="David Bell"/>
        <s v="Raymond Aguirre"/>
        <s v="Juan Webb"/>
        <s v="Daniel Poole"/>
        <s v="Joseph Howard"/>
        <s v="Madison Butler"/>
        <s v="Cameron Hunter"/>
        <s v="Brian Dodson"/>
        <s v="Savannah Brown"/>
        <s v="John Gates"/>
        <s v="Christine Willis"/>
        <s v="Rebecca Taylor"/>
        <s v="Lauren Johnson"/>
        <s v="Candace Bowen"/>
        <s v="Chase Melendez"/>
        <s v="Mr. Austin Park"/>
        <s v="Wendy Cowan"/>
        <s v="Shelly Ball"/>
        <s v="Nancy Evans"/>
        <s v="Cathy Hooper"/>
        <s v="Amy Garcia"/>
        <s v="Deborah Lopez"/>
        <s v="Tiffany Lucas"/>
        <s v="Karen Garcia"/>
        <s v="Tracy Wagner"/>
        <s v="Kimberly Hudson"/>
        <s v="Walter Maldonado"/>
        <s v="Tyrone Doyle"/>
        <s v="Sherry Adams"/>
        <s v="Brooke Russell"/>
        <s v="Stephanie Boyd"/>
        <s v="Thomas Vega"/>
        <s v="Maria Lewis"/>
        <s v="Alexis Luna"/>
        <s v="Hannah Lynch"/>
        <s v="Todd Ortiz"/>
        <s v="Wanda Salazar"/>
        <s v="Margaret Patel"/>
        <s v="Kevin Morrow"/>
        <s v="Todd Lewis"/>
        <s v="Michael Hernandez"/>
        <s v="Allison Duran"/>
        <s v="Angela Freeman"/>
        <s v="Jessica Andrews"/>
        <s v="Jay Tate"/>
        <s v="Keith Davis"/>
        <s v="Dennis Simmons"/>
        <s v="Joshua Spencer"/>
        <s v="Ronnie Becker"/>
        <s v="Brittany Knight"/>
        <s v="Mrs. Tammy Ferguson"/>
        <s v="Daniel Flores"/>
        <s v="Jocelyn Adams"/>
        <s v="Ronald Lopez"/>
        <s v="Sarah Anderson"/>
        <s v="Bryan Gonzalez"/>
        <s v="Steven Knox"/>
        <s v="Anna Shepherd"/>
        <s v="Shawn Delgado DVM"/>
        <s v="Debra Nichols"/>
        <s v="Leslie Cruz"/>
        <s v="Tamara Ryan"/>
        <s v="Lisa Wallace"/>
        <s v="Judy Alvarado"/>
        <s v="William Jones"/>
        <s v="Timothy Lewis"/>
        <s v="Kristin Stewart"/>
        <s v="Michael Gaines"/>
        <s v="Rebecca Turner"/>
        <s v="Kevin Johnson"/>
        <s v="Michelle Bowman"/>
        <s v="Michael Burch"/>
        <s v="Angel Gonzalez"/>
        <s v="Tammy Dunlap"/>
        <s v="John Ramirez"/>
        <s v="Peter Barron"/>
        <s v="Paige Davis"/>
        <s v="Thomas Miller"/>
        <s v="Miss Sara Hamilton"/>
        <s v="Brian Little"/>
        <s v="Charles White"/>
        <s v="Elizabeth Carrillo"/>
        <s v="Amber Garcia"/>
        <s v="Katherine Velazquez"/>
        <s v="Brian Barnes"/>
        <s v="Susan Osborne"/>
        <s v="Robin Owens"/>
        <s v="Mr. Erik Bennett"/>
        <s v="Sarah Whitney"/>
        <s v="Thomas Mitchell"/>
        <s v="Thomas Houston"/>
        <s v="Kathleen Jenkins DVM"/>
        <s v="Sara Gillespie"/>
        <s v="Jennifer Jones"/>
        <s v="James Gonzalez"/>
        <s v="Katherine George"/>
        <s v="Melissa Spence"/>
        <s v="Renee Thompson"/>
        <s v="David Hall"/>
        <s v="Patricia Herrera"/>
        <s v="Alan Sloan"/>
        <s v="Tami Robles"/>
        <s v="Edgar Hughes"/>
        <s v="Melissa Gonzalez"/>
        <s v="Joseph Gregory"/>
        <s v="Daniel Bray"/>
        <s v="Angela Gibson"/>
        <s v="Luke Moore"/>
        <s v="Darren Allen"/>
        <s v="Sarah Gallagher"/>
        <s v="Scott Chandler"/>
        <s v="Kathy Ward"/>
        <s v="Anthony Gutierrez"/>
        <s v="Sharon Weiss"/>
        <s v="Monica Brown"/>
        <s v="Stephanie Savage"/>
        <s v="Miguel Harrell"/>
        <s v="Carol Sullivan"/>
        <s v="Amanda Adams"/>
        <s v="Heather Shah"/>
        <s v="Michael Wright"/>
        <s v="Rachel Chavez"/>
        <s v="Alexander Moore"/>
        <s v="Michael Scott"/>
        <s v="Miranda Price"/>
        <s v="Harold Sullivan"/>
        <s v="Renee Barton"/>
        <s v="Kevin Patterson"/>
        <s v="Philip Bennett"/>
        <s v="David Walker"/>
        <s v="Sara Hill"/>
        <s v="Ethan Lewis"/>
        <s v="Cassandra Marshall"/>
        <s v="Brenda Rice"/>
        <s v="Megan Ingram"/>
        <s v="Kevin Campbell"/>
        <s v="Kelly Green"/>
        <s v="Terri Hernandez"/>
        <s v="Morgan Kelly"/>
        <s v="Brenda Stewart"/>
        <s v="Patrick Hunt"/>
        <s v="Natalie Parks"/>
        <s v="Shirley Hawkins"/>
        <s v="John Serrano"/>
        <s v="Brian Young"/>
        <s v="Elizabeth Collins"/>
        <s v="Sabrina Campbell"/>
        <s v="Katrina Horn"/>
        <s v="Jennifer Oconnell"/>
        <s v="Jenny Cook"/>
        <s v="Hannah Wright"/>
        <s v="Michael Perkins"/>
        <s v="Scott Fowler"/>
        <s v="Julie Fisher"/>
        <s v="Troy Kennedy"/>
        <s v="Jill Howard"/>
        <s v="Miranda Jones"/>
        <s v="Jasmine Frank"/>
        <s v="Ashlee Macdonald"/>
        <s v="Lori Maldonado"/>
        <s v="Kristy Taylor"/>
        <s v="Hunter Nguyen"/>
        <s v="Zachary Dyer"/>
        <s v="James Lee"/>
        <s v="Phillip Adkins"/>
        <s v="Roger Larsen"/>
        <s v="Rebecca Vargas"/>
        <s v="Karen Kent"/>
        <s v="Heather Dawson"/>
        <s v="Carrie Reese"/>
        <s v="Kevin Parker"/>
        <s v="Christina Miller"/>
        <s v="John Cruz"/>
        <s v="Tommy Wise"/>
        <s v="James Gutierrez"/>
        <s v="Jill Mitchell"/>
        <s v="Katherine Glover"/>
        <s v="Christopher Adams"/>
        <s v="Katrina Reid"/>
        <s v="Luis Wood"/>
        <s v="Robert Greer"/>
        <s v="Michele Nguyen"/>
        <s v="Tiffany Lewis"/>
        <s v="Charles Ellis"/>
        <s v="Alexander Underwood"/>
        <s v="Arthur Henry"/>
        <s v="Dawn Le"/>
        <s v="Nicholas Caldwell"/>
        <s v="Kelly Parker"/>
        <s v="Noah Davis"/>
        <s v="Joshua Villa"/>
        <s v="Bonnie Mason"/>
        <s v="Lorraine Gibson"/>
        <s v="Kimberly Lopez"/>
        <s v="Lisa Burgess"/>
        <s v="Teresa Waters"/>
        <s v="Gary Foster"/>
        <s v="Cassandra Allen"/>
        <s v="Bryan Erickson"/>
        <s v="Claire Henry"/>
        <s v="Courtney Shelton"/>
        <s v="Danny Acevedo"/>
        <s v="Brian Henry"/>
        <s v="Patricia Robertson"/>
        <s v="Jason Hernandez"/>
        <s v="Sabrina Villa"/>
        <s v="Robert Scott"/>
        <s v="Jeffrey Moore"/>
        <s v="Gregory Krause"/>
        <s v="Daniel Adkins"/>
        <s v="Donna Gardner"/>
        <s v="Eric Boyd"/>
        <s v="Sabrina Barnett MD"/>
        <s v="Richard Matthews"/>
        <s v="Christine Garcia"/>
        <s v="Robert Becker"/>
        <s v="Kimberly Hill"/>
        <s v="Samuel Mullen"/>
        <s v="Michael Romero"/>
        <s v="Travis Mason"/>
        <s v="Aaron Miles"/>
        <s v="Bryan Porter"/>
        <s v="Cynthia Ross"/>
        <s v="Cynthia Aguirre"/>
        <s v="Daniel Phillips"/>
        <s v="Patrick Martinez"/>
        <s v="Suzanne Hernandez"/>
        <s v="Matthew Glover"/>
        <s v="Timothy Ruiz"/>
        <s v="Savannah Howard"/>
        <s v="Gregory Henry"/>
        <s v="Amanda Underwood"/>
        <s v="Yvette Miller"/>
        <s v="Robert Valencia"/>
        <s v="Robert Lucas"/>
        <s v="Joshua Ferguson"/>
        <s v="Amy Davis"/>
        <s v="Miguel Shah"/>
        <s v="Matthew Thomas"/>
        <s v="Jeffrey Woods"/>
        <s v="Lori Jones MD"/>
        <s v="Nicole Russell"/>
        <s v="Raymond Perez"/>
        <s v="Timothy Porter"/>
        <s v="Jose Dunn"/>
        <s v="Katelyn Fields"/>
        <s v="Joshua Black"/>
        <s v="Travis Carrillo"/>
        <s v="Lisa Cobb"/>
        <s v="Lisa Berry"/>
        <s v="Ernest Mcgrath"/>
        <s v="Jeffrey Simpson"/>
        <s v="Richard Vasquez"/>
        <s v="Travis Floyd"/>
        <s v="Brandon Williams"/>
        <s v="Mary Garcia"/>
        <s v="Susan Donaldson"/>
        <s v="Richard Johnson"/>
        <s v="Jermaine Lowe"/>
        <s v="Amanda Anderson"/>
        <s v="Tammy Nguyen"/>
        <s v="James Sanders"/>
        <s v="Timothy Diaz"/>
        <s v="Trevor Keith"/>
        <s v="Charles Rice"/>
        <s v="Melissa Ramos"/>
        <s v="Christopher Stephenson"/>
        <s v="Robert Hale"/>
        <s v="Brian Raymond"/>
        <s v="Monica Jones"/>
        <s v="Nichole Orozco"/>
        <s v="Paige Myers"/>
        <s v="Steve Ford"/>
        <s v="Patricia Wilson"/>
        <s v="Jennifer Clark"/>
        <s v="Andrew Lang"/>
        <s v="Catherine Ochoa"/>
        <s v="Kenneth Jones"/>
        <s v="Nicole Warner"/>
        <s v="Richard Benton"/>
        <s v="Eric Williams"/>
        <s v="Jacqueline Jones"/>
        <s v="Kelly Wolf"/>
        <s v="Colin Watson"/>
        <s v="Melissa Fisher"/>
        <s v="Andrea Reese"/>
        <s v="Cory Mason"/>
        <s v="Nathaniel Williams"/>
        <s v="Kara Martin"/>
        <s v="Mr. Todd Miller"/>
        <s v="Paul Brown"/>
        <s v="Megan Graves"/>
        <s v="Tammy Ford"/>
        <s v="Shannon Rodriguez"/>
        <s v="Robert Gomez"/>
        <s v="Joshua Owens"/>
        <s v="Rebecca Armstrong"/>
        <s v="Anthony Zimmerman"/>
        <s v="Travis Norton"/>
        <s v="Andrew Hernandez"/>
        <s v="Lindsay Obrien"/>
        <s v="Monica Ruiz MD"/>
        <s v="Courtney Day"/>
        <s v="Paul Gray"/>
        <s v="Wayne Roy"/>
        <s v="Dr. Alexis Cochran"/>
        <s v="Crystal Goodman"/>
        <s v="Kimberly Sutton"/>
        <s v="Rhonda Williams"/>
        <s v="Danielle Chen"/>
        <s v="Patrick Miller"/>
        <s v="Joyce Adams"/>
        <s v="Ian Rangel"/>
        <s v="Justin Montgomery"/>
        <s v="Jimmy Cox"/>
        <s v="Jade Collins"/>
        <s v="Brittany Bradford"/>
        <s v="David Oconnor"/>
        <s v="Deanna Becker"/>
        <s v="David Ryan"/>
        <s v="Curtis Khan"/>
        <s v="Dr. Mary Alexander"/>
        <s v="Monique Cruz"/>
        <s v="Victoria Powell"/>
        <s v="Stephen Becker"/>
        <s v="Kirsten Dillon"/>
        <s v="Victoria Miller"/>
        <s v="Jordan Guzman"/>
        <s v="Julia Rivera MD"/>
        <s v="Joseph Harris"/>
        <s v="Michael Saunders"/>
        <s v="Kimberly Rice"/>
        <s v="Daniel Alexander"/>
        <s v="Alicia Castillo"/>
        <s v="Anna Odonnell"/>
        <s v="Gabriel Lowe"/>
        <s v="Brent Kemp"/>
        <s v="Susan Owens"/>
        <s v="Anthony Jenkins"/>
        <s v="Robin Coleman"/>
        <s v="Thomas Collins"/>
        <s v="Brittany Williams"/>
        <s v="Luis George"/>
        <s v="James Edwards"/>
        <s v="Mary Jones"/>
        <s v="Jennifer Martinez"/>
        <s v="James White"/>
        <s v="Cindy White"/>
        <s v="Paul Schmidt"/>
        <s v="Sherry Higgins"/>
        <s v="Shannon French"/>
        <s v="Jennifer Gonzales"/>
        <s v="Thomas Davis"/>
        <s v="Joseph Moore"/>
        <s v="Jerry Hanson"/>
        <s v="Jennifer Tucker"/>
        <s v="Amanda Garcia"/>
        <s v="Jessica Kelly"/>
        <s v="James Fuller"/>
        <s v="Maria Proctor"/>
        <s v="John Fowler"/>
        <s v="Jason Nelson"/>
        <s v="Marvin Wu"/>
        <s v="Emily Singleton"/>
        <s v="Colin Lee"/>
        <s v="Mathew Johnson"/>
        <s v="Christopher Ramirez"/>
        <s v="Samuel Ortiz"/>
        <s v="Megan Reese"/>
        <s v="Rachel White"/>
        <s v="Michael Mclaughlin"/>
        <s v="Paul Gibson"/>
        <s v="Timothy Sanchez"/>
        <s v="Lori Smith"/>
        <s v="Julie Carpenter"/>
        <s v="Barbara Baldwin"/>
        <s v="Jason Brooks"/>
        <s v="Linda Brown"/>
        <s v="Ernest Moyer"/>
        <s v="Melissa Rodriguez"/>
        <s v="Austin Bowen"/>
        <s v="Nicholas French"/>
        <s v="Lauren Jones"/>
        <s v="Sean Butler"/>
        <s v="Michael Wiley"/>
        <s v="James Lara"/>
        <s v="Jessica Miller"/>
        <s v="Alvin Rios"/>
        <s v="James Goodman"/>
        <s v="Erica Adams"/>
        <s v="Amy Cruz"/>
        <s v="Michael Clark"/>
        <s v="Joyce Lopez"/>
        <s v="Keith Allen"/>
        <s v="Paige Watkins"/>
        <s v="Matthew Jones"/>
        <s v="Taylor Williams"/>
        <s v="Diane Beltran"/>
        <s v="Paul Espinoza"/>
        <s v="Laurie Price"/>
        <s v="John Thompson"/>
        <s v="Kara Dixon"/>
        <s v="Jamie Jones"/>
        <s v="Alisha Johnson"/>
        <s v="Taylor Villa"/>
        <s v="Wesley Rodriguez"/>
        <s v="Lisa Cisneros"/>
        <s v="Michael Lawson"/>
        <s v="Christopher Huang"/>
        <s v="Hector Silva"/>
        <s v="Mindy Garcia"/>
        <s v="Timothy Gray"/>
        <s v="Paul Gilbert"/>
        <s v="Raymond Diaz"/>
        <s v="Kenneth Mack"/>
        <s v="Michelle Ellis"/>
        <s v="Steven Lewis"/>
        <s v="Wendy Baker"/>
        <s v="Elizabeth Weber"/>
        <s v="Mark Gilbert"/>
        <s v="Craig Reyes"/>
        <s v="Linda Miller"/>
        <s v="Michael Pena"/>
        <s v="Dr. Guy Mcguire"/>
        <s v="James Glenn"/>
        <s v="Susan Holloway"/>
        <s v="Isaac Moore"/>
        <s v="Alison Santos DDS"/>
        <s v="Natasha Murray"/>
        <s v="David Lee"/>
        <s v="Miss Debbie Willis"/>
        <s v="Briana Henry"/>
        <s v="Jennifer Marsh"/>
        <s v="Rachel Weaver"/>
        <s v="Michael Hodges"/>
        <s v="James Taylor"/>
        <s v="Ms. Jamie Nunez DVM"/>
        <s v="Catherine Li"/>
        <s v="Lauren Taylor"/>
        <s v="Daniel Moore"/>
        <s v="Joseph Blair"/>
        <s v="William Foley"/>
        <s v="Alexis Davis"/>
        <s v="Nathan Contreras"/>
        <s v="Wendy Finley"/>
        <s v="Vanessa Wood"/>
        <s v="Laurie Gonzalez"/>
        <s v="Natalie Evans"/>
        <s v="Marissa Adams"/>
        <s v="Michael Mosley"/>
        <s v="Michael Knight"/>
        <s v="Ashley Johnson"/>
        <s v="Christopher Clayton"/>
        <s v="Tara Harris"/>
        <s v="Roberto Bryant"/>
        <s v="Janet Fritz"/>
        <s v="Elizabeth Melendez"/>
        <s v="William Baker"/>
        <s v="Eugene Mccarthy MD"/>
        <s v="Richard Day"/>
        <s v="Michael Freeman"/>
        <s v="Dale Wright"/>
        <s v="Stephanie Gutierrez"/>
        <s v="Vincent Espinoza"/>
        <s v="Allen Cortez"/>
        <s v="Thomas Camacho"/>
        <s v="James Ryan"/>
        <s v="Javier Gonzales DDS"/>
        <s v="Jessica Turner"/>
        <s v="James Sanchez"/>
        <s v="Christy Morgan"/>
        <s v="Lauren Gutierrez"/>
        <s v="Jerry Fry"/>
        <s v="Lisa Powell"/>
        <s v="Gregory Wright"/>
        <s v="Kenneth Torres"/>
        <s v="Kathy Garza"/>
        <s v="Ryan Taylor"/>
        <s v="Brenda Martin"/>
        <s v="Robert Petersen"/>
        <s v="Gary Moon"/>
        <s v="Patricia Cowan"/>
        <s v="Tina Hernandez"/>
        <s v="Nathaniel Weiss"/>
        <s v="Timothy Frank"/>
        <s v="William Allen"/>
        <s v="Corey Walsh"/>
        <s v="April Parker"/>
        <s v="Sean Duncan"/>
        <s v="Brenda Bauer"/>
        <s v="Austin Wright"/>
        <s v="Amy Mitchell"/>
        <s v="Michael Sanchez"/>
        <s v="Mrs. Hayley Hunter MD"/>
        <s v="Sandra Davis"/>
        <s v="Joyce Travis"/>
        <s v="Susan Ali"/>
        <s v="Lori Bass"/>
        <s v="Michael Gray"/>
        <s v="Dr. Abigail Jackson"/>
        <s v="Rebecca Harrison"/>
        <s v="Stacey Collins"/>
        <s v="Mr. Jacob Stokes DDS"/>
        <s v="Lindsay Hall"/>
        <s v="Mary Steele"/>
        <s v="Scott Bowers"/>
        <s v="Gabriella West"/>
        <s v="Allison Barker"/>
        <s v="Jeffery Tran"/>
        <s v="Christopher Jones"/>
        <s v="Annette Snyder"/>
        <s v="Erika Reed"/>
        <s v="Daniel Lee"/>
        <s v="Nicholas Carey"/>
        <s v="Teresa Lewis"/>
        <s v="Alyssa Craig"/>
        <s v="Chris Wise"/>
        <s v="Keith Burton"/>
        <s v="Susan Ellison"/>
        <s v="Margaret Duncan"/>
        <s v="Jennifer Nelson"/>
        <s v="Donna Peters"/>
        <s v="Michael Palmer"/>
        <s v="Daniel Collins"/>
        <s v="Ms. Alexis Robertson"/>
        <s v="Stephen Reed"/>
        <s v="Joshua Hebert"/>
        <s v="Anthony King"/>
        <s v="Amy Bentley"/>
        <s v="Lori Cole"/>
        <s v="Jesse Choi"/>
        <s v="Vanessa Watson"/>
        <s v="Brian Cole"/>
        <s v="Joshua Johnson"/>
        <s v="Anne Coleman"/>
        <s v="Melanie Mccoy DDS"/>
        <s v="William Blackburn"/>
        <s v="Alyssa Harvey"/>
        <s v="Jack Carpenter"/>
        <s v="Robert Gordon"/>
        <s v="Dawn Bryant"/>
        <s v="Darren Lowe"/>
        <s v="Anna Page"/>
        <s v="Eric Wolf"/>
        <s v="Leslie Chapman"/>
        <s v="Margaret Davies"/>
        <s v="Nancy Woods"/>
        <s v="Samuel Peterson"/>
        <s v="Donald Kennedy"/>
        <s v="Olivia Smith"/>
        <s v="Gloria Curry"/>
        <s v="Rachel Donaldson"/>
        <s v="Mark Johnston"/>
        <s v="Danny Porter"/>
        <s v="Tracy Russell"/>
        <s v="Matthew Medina"/>
        <s v="Erin Molina"/>
        <s v="Ronald Owens"/>
        <s v="Lori Russo"/>
        <s v="Katherine Doyle"/>
        <s v="Matthew Thompson"/>
        <s v="Travis Goodman"/>
        <s v="Emily Alexander"/>
        <s v="Susan Arroyo"/>
        <s v="Douglas Holloway"/>
        <s v="Christina Mata"/>
        <s v="Christopher Miranda"/>
        <s v="Ms. Olivia Murray"/>
        <s v="Kimberly Miller"/>
        <s v="Thomas Tran"/>
        <s v="Holly Jones"/>
        <s v="Joshua Jackson"/>
        <s v="Sara Sullivan"/>
        <s v="Jeffrey Bruce"/>
        <s v="Mark Newman"/>
        <s v="Michael Gonzalez"/>
        <s v="John Sloan"/>
        <s v="Mark Phillips"/>
        <s v="Kristina Shepard"/>
        <s v="Paul Garcia"/>
        <s v="Colleen Proctor"/>
        <s v="Frank Lara"/>
        <s v="Richard Wilson"/>
        <s v="Christopher Sutton"/>
        <s v="Andrew Simpson"/>
        <s v="Heather Butler"/>
        <s v="Suzanne Hopkins DVM"/>
        <s v="Spencer Bird"/>
        <s v="John Weaver"/>
        <s v="Anthony Mclean MD"/>
        <s v="Wendy Shepherd"/>
        <s v="Erica Patterson"/>
        <s v="Justin Li"/>
        <s v="George Reyes"/>
        <s v="Stephen Day DDS"/>
        <s v="James Roberson"/>
        <s v="Tanya Thompson"/>
        <s v="Allison Bennett"/>
        <s v="Adam Jones"/>
        <s v="Monique Morton"/>
        <s v="Audrey Neal"/>
        <s v="Scott Williams"/>
        <s v="Darryl Rivera"/>
        <s v="Molly Adams"/>
        <s v="Michele Vance"/>
        <s v="John Anthony"/>
        <s v="Joseph Smith"/>
        <s v="Mary Hanson"/>
      </sharedItems>
    </cacheField>
    <cacheField name="Customer Type" numFmtId="0">
      <sharedItems count="5">
        <s v="Clinics"/>
        <s v="Hospitals"/>
        <s v="Pharmacy"/>
        <s v="Online Pharmacy"/>
        <s v="Supermarkets"/>
      </sharedItems>
    </cacheField>
    <cacheField name="Month" numFmtId="0">
      <sharedItems count="12">
        <s v="Feb"/>
        <s v="Aug"/>
        <s v="Jun"/>
        <s v="Jul"/>
        <s v="Dec"/>
        <s v="Nov"/>
        <s v="May"/>
        <s v="Jan"/>
        <s v="Mar"/>
        <s v="Sep"/>
        <s v="Oct"/>
        <s v="Apr"/>
      </sharedItems>
    </cacheField>
    <cacheField name="Quarter" numFmtId="0">
      <sharedItems count="4">
        <s v="Q1"/>
        <s v="Q3"/>
        <s v="Q2"/>
        <s v="Q4"/>
      </sharedItems>
    </cacheField>
    <cacheField name="Revenue Category" numFmtId="0">
      <sharedItems/>
    </cacheField>
    <cacheField name="Target Multiplier" numFmtId="0">
      <sharedItems containsSemiMixedTypes="0" containsString="0" containsNumber="1" minValue="0.9" maxValue="1.2"/>
    </cacheField>
    <cacheField name="Target Revenue" numFmtId="0">
      <sharedItems containsSemiMixedTypes="0" containsString="0" containsNumber="1" minValue="1005.3000000000001" maxValue="59983.199999999997"/>
    </cacheField>
    <cacheField name="Achievment %" numFmtId="9">
      <sharedItems containsSemiMixedTypes="0" containsString="0" containsNumber="1" minValue="0.83333333333333326" maxValue="1.1111111111111112"/>
    </cacheField>
    <cacheField name="Performance Status" numFmtId="0">
      <sharedItems count="2">
        <s v="Below Target"/>
        <s v="Achieved"/>
      </sharedItems>
    </cacheField>
  </cacheFields>
  <extLst>
    <ext xmlns:x14="http://schemas.microsoft.com/office/spreadsheetml/2009/9/main" uri="{725AE2AE-9491-48be-B2B4-4EB974FC3084}">
      <x14:pivotCacheDefinition pivotCacheId="59394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ompany W"/>
    <s v="Tablet"/>
    <s v="100 mg/ml"/>
    <s v="50 g"/>
    <n v="1500"/>
    <n v="43833"/>
    <d v="2024-02-07T00:00:00"/>
    <x v="0"/>
    <x v="0"/>
    <x v="0"/>
    <x v="0"/>
    <x v="0"/>
    <s v="High"/>
    <n v="1.1000000000000001"/>
    <n v="48216.3"/>
    <n v="0.90909090909090906"/>
    <x v="0"/>
  </r>
  <r>
    <x v="0"/>
    <s v="Company X"/>
    <s v="Cream"/>
    <s v="500 mg"/>
    <s v="100 ml"/>
    <n v="1194"/>
    <n v="48717"/>
    <d v="2023-08-08T00:00:00"/>
    <x v="0"/>
    <x v="1"/>
    <x v="0"/>
    <x v="1"/>
    <x v="1"/>
    <s v="High"/>
    <n v="1.1000000000000001"/>
    <n v="53588.700000000004"/>
    <n v="0.90909090909090906"/>
    <x v="0"/>
  </r>
  <r>
    <x v="1"/>
    <s v="Company X"/>
    <s v="Capsule"/>
    <s v="50 mg"/>
    <n v="60"/>
    <n v="618"/>
    <n v="8744"/>
    <d v="2024-06-15T00:00:00"/>
    <x v="1"/>
    <x v="2"/>
    <x v="1"/>
    <x v="2"/>
    <x v="2"/>
    <s v="Low"/>
    <n v="0.9"/>
    <n v="7869.6"/>
    <n v="1.1111111111111112"/>
    <x v="1"/>
  </r>
  <r>
    <x v="1"/>
    <s v="Company X"/>
    <s v="Injection"/>
    <s v="10 mg"/>
    <s v="100 ml"/>
    <n v="1455"/>
    <n v="25321"/>
    <d v="2024-07-15T00:00:00"/>
    <x v="2"/>
    <x v="3"/>
    <x v="2"/>
    <x v="3"/>
    <x v="1"/>
    <s v="Medium"/>
    <n v="0.95"/>
    <n v="24054.949999999997"/>
    <n v="1.0526315789473686"/>
    <x v="1"/>
  </r>
  <r>
    <x v="2"/>
    <s v="Company V"/>
    <s v="Tablet"/>
    <s v="100 mg/ml"/>
    <s v="50 g"/>
    <n v="130"/>
    <n v="13669"/>
    <d v="2023-08-13T00:00:00"/>
    <x v="0"/>
    <x v="4"/>
    <x v="0"/>
    <x v="1"/>
    <x v="1"/>
    <s v="Low"/>
    <n v="1.1000000000000001"/>
    <n v="15035.900000000001"/>
    <n v="0.90909090909090895"/>
    <x v="0"/>
  </r>
  <r>
    <x v="0"/>
    <s v="Company V"/>
    <s v="Capsule"/>
    <s v="100 mg/ml"/>
    <s v="10 ml"/>
    <n v="619"/>
    <n v="7552"/>
    <d v="2023-12-05T00:00:00"/>
    <x v="3"/>
    <x v="5"/>
    <x v="1"/>
    <x v="4"/>
    <x v="3"/>
    <s v="Low"/>
    <n v="1.1000000000000001"/>
    <n v="8307.2000000000007"/>
    <n v="0.90909090909090906"/>
    <x v="0"/>
  </r>
  <r>
    <x v="2"/>
    <s v="Company X"/>
    <s v="Cream"/>
    <s v="500 mg"/>
    <n v="30"/>
    <n v="1779"/>
    <n v="48563"/>
    <d v="2023-08-08T00:00:00"/>
    <x v="4"/>
    <x v="6"/>
    <x v="1"/>
    <x v="1"/>
    <x v="1"/>
    <s v="High"/>
    <n v="1.2"/>
    <n v="58275.6"/>
    <n v="0.83333333333333337"/>
    <x v="0"/>
  </r>
  <r>
    <x v="0"/>
    <s v="Company X"/>
    <s v="Tablet"/>
    <s v="500 mg"/>
    <s v="10 ml"/>
    <n v="1727"/>
    <n v="13672"/>
    <d v="2023-12-30T00:00:00"/>
    <x v="2"/>
    <x v="7"/>
    <x v="3"/>
    <x v="4"/>
    <x v="3"/>
    <s v="Low"/>
    <n v="0.95"/>
    <n v="12988.4"/>
    <n v="1.0526315789473684"/>
    <x v="1"/>
  </r>
  <r>
    <x v="3"/>
    <s v="Company V"/>
    <s v="Capsule"/>
    <s v="500 mg"/>
    <s v="50 g"/>
    <n v="451"/>
    <n v="45835"/>
    <d v="2023-11-14T00:00:00"/>
    <x v="2"/>
    <x v="8"/>
    <x v="4"/>
    <x v="5"/>
    <x v="3"/>
    <s v="High"/>
    <n v="0.95"/>
    <n v="43543.25"/>
    <n v="1.0526315789473684"/>
    <x v="1"/>
  </r>
  <r>
    <x v="2"/>
    <s v="Company X"/>
    <s v="Cream"/>
    <s v="10 mg"/>
    <s v="10 ml"/>
    <n v="1006"/>
    <n v="31716"/>
    <d v="2024-05-23T00:00:00"/>
    <x v="2"/>
    <x v="9"/>
    <x v="4"/>
    <x v="6"/>
    <x v="2"/>
    <s v="Medium"/>
    <n v="0.95"/>
    <n v="30130.199999999997"/>
    <n v="1.0526315789473686"/>
    <x v="1"/>
  </r>
  <r>
    <x v="2"/>
    <s v="Company Y"/>
    <s v="Capsule"/>
    <s v="50 mg"/>
    <s v="100 ml"/>
    <n v="1633"/>
    <n v="33931"/>
    <d v="2024-05-18T00:00:00"/>
    <x v="3"/>
    <x v="10"/>
    <x v="2"/>
    <x v="6"/>
    <x v="2"/>
    <s v="Medium"/>
    <n v="1.1000000000000001"/>
    <n v="37324.100000000006"/>
    <n v="0.90909090909090895"/>
    <x v="0"/>
  </r>
  <r>
    <x v="3"/>
    <s v="Company Z"/>
    <s v="Cream"/>
    <s v="50 mg"/>
    <n v="30"/>
    <n v="128"/>
    <n v="35258"/>
    <d v="2023-11-08T00:00:00"/>
    <x v="4"/>
    <x v="11"/>
    <x v="3"/>
    <x v="5"/>
    <x v="3"/>
    <s v="Medium"/>
    <n v="1.2"/>
    <n v="42309.599999999999"/>
    <n v="0.83333333333333337"/>
    <x v="0"/>
  </r>
  <r>
    <x v="2"/>
    <s v="Company V"/>
    <s v="Injection"/>
    <s v="500 mg"/>
    <s v="10 ml"/>
    <n v="504"/>
    <n v="36459"/>
    <d v="2023-08-19T00:00:00"/>
    <x v="3"/>
    <x v="12"/>
    <x v="2"/>
    <x v="1"/>
    <x v="1"/>
    <s v="Medium"/>
    <n v="1.1000000000000001"/>
    <n v="40104.9"/>
    <n v="0.90909090909090906"/>
    <x v="0"/>
  </r>
  <r>
    <x v="1"/>
    <s v="Company V"/>
    <s v="Cream"/>
    <s v="500 mg"/>
    <s v="100 ml"/>
    <n v="216"/>
    <n v="32152"/>
    <d v="2024-07-08T00:00:00"/>
    <x v="3"/>
    <x v="13"/>
    <x v="2"/>
    <x v="3"/>
    <x v="1"/>
    <s v="Medium"/>
    <n v="1.1000000000000001"/>
    <n v="35367.200000000004"/>
    <n v="0.90909090909090895"/>
    <x v="0"/>
  </r>
  <r>
    <x v="1"/>
    <s v="Company V"/>
    <s v="Injection"/>
    <s v="10 mg"/>
    <s v="10 ml"/>
    <n v="1986"/>
    <n v="13538"/>
    <d v="2023-12-03T00:00:00"/>
    <x v="3"/>
    <x v="14"/>
    <x v="2"/>
    <x v="4"/>
    <x v="3"/>
    <s v="Low"/>
    <n v="1.1000000000000001"/>
    <n v="14891.800000000001"/>
    <n v="0.90909090909090906"/>
    <x v="0"/>
  </r>
  <r>
    <x v="3"/>
    <s v="Company W"/>
    <s v="Cream"/>
    <s v="50 mg"/>
    <n v="30"/>
    <n v="1977"/>
    <n v="9566"/>
    <d v="2024-07-13T00:00:00"/>
    <x v="1"/>
    <x v="15"/>
    <x v="3"/>
    <x v="3"/>
    <x v="1"/>
    <s v="Low"/>
    <n v="0.9"/>
    <n v="8609.4"/>
    <n v="1.1111111111111112"/>
    <x v="1"/>
  </r>
  <r>
    <x v="3"/>
    <s v="Company V"/>
    <s v="Tablet"/>
    <s v="100 mg/ml"/>
    <s v="50 g"/>
    <n v="1320"/>
    <n v="29932"/>
    <d v="2023-08-22T00:00:00"/>
    <x v="4"/>
    <x v="16"/>
    <x v="0"/>
    <x v="1"/>
    <x v="1"/>
    <s v="Medium"/>
    <n v="1.2"/>
    <n v="35918.400000000001"/>
    <n v="0.83333333333333326"/>
    <x v="0"/>
  </r>
  <r>
    <x v="1"/>
    <s v="Company W"/>
    <s v="Cream"/>
    <s v="10 mg"/>
    <n v="30"/>
    <n v="1766"/>
    <n v="45608"/>
    <d v="2024-02-27T00:00:00"/>
    <x v="0"/>
    <x v="17"/>
    <x v="2"/>
    <x v="0"/>
    <x v="0"/>
    <s v="High"/>
    <n v="1.1000000000000001"/>
    <n v="50168.800000000003"/>
    <n v="0.90909090909090906"/>
    <x v="0"/>
  </r>
  <r>
    <x v="0"/>
    <s v="Company X"/>
    <s v="Syrup"/>
    <s v="100 mg/ml"/>
    <n v="60"/>
    <n v="1078"/>
    <n v="42394"/>
    <d v="2024-01-12T00:00:00"/>
    <x v="0"/>
    <x v="18"/>
    <x v="3"/>
    <x v="7"/>
    <x v="0"/>
    <s v="High"/>
    <n v="1.1000000000000001"/>
    <n v="46633.4"/>
    <n v="0.90909090909090906"/>
    <x v="0"/>
  </r>
  <r>
    <x v="2"/>
    <s v="Company X"/>
    <s v="Injection"/>
    <s v="500 mg"/>
    <n v="60"/>
    <n v="783"/>
    <n v="48016"/>
    <d v="2024-01-24T00:00:00"/>
    <x v="2"/>
    <x v="19"/>
    <x v="0"/>
    <x v="7"/>
    <x v="0"/>
    <s v="High"/>
    <n v="0.95"/>
    <n v="45615.199999999997"/>
    <n v="1.0526315789473686"/>
    <x v="1"/>
  </r>
  <r>
    <x v="1"/>
    <s v="Company X"/>
    <s v="Capsule"/>
    <s v="100 mg/ml"/>
    <n v="60"/>
    <n v="1161"/>
    <n v="11048"/>
    <d v="2024-01-08T00:00:00"/>
    <x v="3"/>
    <x v="20"/>
    <x v="0"/>
    <x v="7"/>
    <x v="0"/>
    <s v="Low"/>
    <n v="1.1000000000000001"/>
    <n v="12152.800000000001"/>
    <n v="0.90909090909090906"/>
    <x v="0"/>
  </r>
  <r>
    <x v="3"/>
    <s v="Company X"/>
    <s v="Capsule"/>
    <s v="50 mg"/>
    <s v="50 g"/>
    <n v="1820"/>
    <n v="16952"/>
    <d v="2024-03-15T00:00:00"/>
    <x v="1"/>
    <x v="21"/>
    <x v="1"/>
    <x v="8"/>
    <x v="0"/>
    <s v="Low"/>
    <n v="0.9"/>
    <n v="15256.800000000001"/>
    <n v="1.1111111111111109"/>
    <x v="1"/>
  </r>
  <r>
    <x v="4"/>
    <s v="Company V"/>
    <s v="Tablet"/>
    <s v="50 mg"/>
    <n v="60"/>
    <n v="147"/>
    <n v="28543"/>
    <d v="2024-05-25T00:00:00"/>
    <x v="1"/>
    <x v="22"/>
    <x v="1"/>
    <x v="6"/>
    <x v="2"/>
    <s v="Medium"/>
    <n v="0.9"/>
    <n v="25688.7"/>
    <n v="1.1111111111111112"/>
    <x v="1"/>
  </r>
  <r>
    <x v="0"/>
    <s v="Company Z"/>
    <s v="Capsule"/>
    <s v="250 mg"/>
    <n v="60"/>
    <n v="990"/>
    <n v="5766"/>
    <d v="2023-09-03T00:00:00"/>
    <x v="4"/>
    <x v="23"/>
    <x v="3"/>
    <x v="9"/>
    <x v="1"/>
    <s v="Low"/>
    <n v="1.2"/>
    <n v="6919.2"/>
    <n v="0.83333333333333337"/>
    <x v="0"/>
  </r>
  <r>
    <x v="0"/>
    <s v="Company Z"/>
    <s v="Injection"/>
    <s v="500 mg"/>
    <n v="60"/>
    <n v="223"/>
    <n v="23153"/>
    <d v="2024-03-20T00:00:00"/>
    <x v="2"/>
    <x v="24"/>
    <x v="3"/>
    <x v="8"/>
    <x v="0"/>
    <s v="Medium"/>
    <n v="0.95"/>
    <n v="21995.35"/>
    <n v="1.0526315789473686"/>
    <x v="1"/>
  </r>
  <r>
    <x v="4"/>
    <s v="Company Z"/>
    <s v="Syrup"/>
    <s v="250 mg"/>
    <s v="50 g"/>
    <n v="855"/>
    <n v="22920"/>
    <d v="2024-01-22T00:00:00"/>
    <x v="0"/>
    <x v="25"/>
    <x v="4"/>
    <x v="7"/>
    <x v="0"/>
    <s v="Medium"/>
    <n v="1.1000000000000001"/>
    <n v="25212.000000000004"/>
    <n v="0.90909090909090895"/>
    <x v="0"/>
  </r>
  <r>
    <x v="2"/>
    <s v="Company X"/>
    <s v="Cream"/>
    <s v="50 mg"/>
    <s v="100 ml"/>
    <n v="968"/>
    <n v="6595"/>
    <d v="2023-12-04T00:00:00"/>
    <x v="1"/>
    <x v="26"/>
    <x v="1"/>
    <x v="4"/>
    <x v="3"/>
    <s v="Low"/>
    <n v="0.9"/>
    <n v="5935.5"/>
    <n v="1.1111111111111112"/>
    <x v="1"/>
  </r>
  <r>
    <x v="0"/>
    <s v="Company W"/>
    <s v="Cream"/>
    <s v="10 mg"/>
    <s v="10 ml"/>
    <n v="1378"/>
    <n v="37523"/>
    <d v="2023-12-11T00:00:00"/>
    <x v="0"/>
    <x v="27"/>
    <x v="3"/>
    <x v="4"/>
    <x v="3"/>
    <s v="Medium"/>
    <n v="1.1000000000000001"/>
    <n v="41275.300000000003"/>
    <n v="0.90909090909090906"/>
    <x v="0"/>
  </r>
  <r>
    <x v="0"/>
    <s v="Company Z"/>
    <s v="Tablet"/>
    <s v="500 mg"/>
    <s v="100 ml"/>
    <n v="1473"/>
    <n v="23815"/>
    <d v="2024-07-22T00:00:00"/>
    <x v="0"/>
    <x v="28"/>
    <x v="4"/>
    <x v="3"/>
    <x v="1"/>
    <s v="Medium"/>
    <n v="1.1000000000000001"/>
    <n v="26196.500000000004"/>
    <n v="0.90909090909090895"/>
    <x v="0"/>
  </r>
  <r>
    <x v="2"/>
    <s v="Company X"/>
    <s v="Capsule"/>
    <s v="250 mg"/>
    <s v="100 ml"/>
    <n v="791"/>
    <n v="40754"/>
    <d v="2024-05-05T00:00:00"/>
    <x v="1"/>
    <x v="29"/>
    <x v="1"/>
    <x v="6"/>
    <x v="2"/>
    <s v="High"/>
    <n v="0.9"/>
    <n v="36678.6"/>
    <n v="1.1111111111111112"/>
    <x v="1"/>
  </r>
  <r>
    <x v="2"/>
    <s v="Company V"/>
    <s v="Tablet"/>
    <s v="10 mg"/>
    <s v="50 g"/>
    <n v="1523"/>
    <n v="35645"/>
    <d v="2023-10-12T00:00:00"/>
    <x v="0"/>
    <x v="30"/>
    <x v="0"/>
    <x v="10"/>
    <x v="3"/>
    <s v="Medium"/>
    <n v="1.1000000000000001"/>
    <n v="39209.5"/>
    <n v="0.90909090909090906"/>
    <x v="0"/>
  </r>
  <r>
    <x v="1"/>
    <s v="Company W"/>
    <s v="Cream"/>
    <s v="250 mg"/>
    <s v="50 g"/>
    <n v="1214"/>
    <n v="1820"/>
    <d v="2024-03-08T00:00:00"/>
    <x v="0"/>
    <x v="31"/>
    <x v="3"/>
    <x v="8"/>
    <x v="0"/>
    <s v="Low"/>
    <n v="1.1000000000000001"/>
    <n v="2002.0000000000002"/>
    <n v="0.90909090909090895"/>
    <x v="0"/>
  </r>
  <r>
    <x v="2"/>
    <s v="Company V"/>
    <s v="Injection"/>
    <s v="250 mg"/>
    <n v="60"/>
    <n v="440"/>
    <n v="13578"/>
    <d v="2024-06-27T00:00:00"/>
    <x v="2"/>
    <x v="32"/>
    <x v="1"/>
    <x v="2"/>
    <x v="2"/>
    <s v="Low"/>
    <n v="0.95"/>
    <n v="12899.099999999999"/>
    <n v="1.0526315789473686"/>
    <x v="1"/>
  </r>
  <r>
    <x v="4"/>
    <s v="Company Y"/>
    <s v="Syrup"/>
    <s v="10 mg"/>
    <n v="60"/>
    <n v="1574"/>
    <n v="47682"/>
    <d v="2024-04-14T00:00:00"/>
    <x v="1"/>
    <x v="33"/>
    <x v="4"/>
    <x v="11"/>
    <x v="2"/>
    <s v="High"/>
    <n v="0.9"/>
    <n v="42913.8"/>
    <n v="1.1111111111111109"/>
    <x v="1"/>
  </r>
  <r>
    <x v="3"/>
    <s v="Company W"/>
    <s v="Cream"/>
    <s v="250 mg"/>
    <s v="50 g"/>
    <n v="1880"/>
    <n v="41604"/>
    <d v="2024-01-04T00:00:00"/>
    <x v="4"/>
    <x v="34"/>
    <x v="2"/>
    <x v="7"/>
    <x v="0"/>
    <s v="High"/>
    <n v="1.2"/>
    <n v="49924.799999999996"/>
    <n v="0.83333333333333337"/>
    <x v="0"/>
  </r>
  <r>
    <x v="1"/>
    <s v="Company Z"/>
    <s v="Tablet"/>
    <s v="100 mg/ml"/>
    <s v="10 ml"/>
    <n v="383"/>
    <n v="21024"/>
    <d v="2024-01-07T00:00:00"/>
    <x v="0"/>
    <x v="35"/>
    <x v="1"/>
    <x v="7"/>
    <x v="0"/>
    <s v="Medium"/>
    <n v="1.1000000000000001"/>
    <n v="23126.400000000001"/>
    <n v="0.90909090909090906"/>
    <x v="0"/>
  </r>
  <r>
    <x v="1"/>
    <s v="Company Y"/>
    <s v="Injection"/>
    <s v="10 mg"/>
    <s v="10 ml"/>
    <n v="253"/>
    <n v="18363"/>
    <d v="2024-06-16T00:00:00"/>
    <x v="0"/>
    <x v="36"/>
    <x v="3"/>
    <x v="2"/>
    <x v="2"/>
    <s v="Low"/>
    <n v="1.1000000000000001"/>
    <n v="20199.300000000003"/>
    <n v="0.90909090909090895"/>
    <x v="0"/>
  </r>
  <r>
    <x v="2"/>
    <s v="Company Y"/>
    <s v="Syrup"/>
    <s v="100 mg/ml"/>
    <n v="30"/>
    <n v="1818"/>
    <n v="2347"/>
    <d v="2024-01-29T00:00:00"/>
    <x v="1"/>
    <x v="37"/>
    <x v="3"/>
    <x v="7"/>
    <x v="0"/>
    <s v="Low"/>
    <n v="0.9"/>
    <n v="2112.3000000000002"/>
    <n v="1.1111111111111109"/>
    <x v="1"/>
  </r>
  <r>
    <x v="1"/>
    <s v="Company Z"/>
    <s v="Tablet"/>
    <s v="250 mg"/>
    <s v="50 g"/>
    <n v="1351"/>
    <n v="41781"/>
    <d v="2023-10-02T00:00:00"/>
    <x v="2"/>
    <x v="38"/>
    <x v="0"/>
    <x v="10"/>
    <x v="3"/>
    <s v="High"/>
    <n v="0.95"/>
    <n v="39691.949999999997"/>
    <n v="1.0526315789473686"/>
    <x v="1"/>
  </r>
  <r>
    <x v="0"/>
    <s v="Company Y"/>
    <s v="Syrup"/>
    <s v="50 mg"/>
    <s v="10 ml"/>
    <n v="1904"/>
    <n v="34028"/>
    <d v="2023-09-06T00:00:00"/>
    <x v="1"/>
    <x v="39"/>
    <x v="1"/>
    <x v="9"/>
    <x v="1"/>
    <s v="Medium"/>
    <n v="0.9"/>
    <n v="30625.200000000001"/>
    <n v="1.1111111111111112"/>
    <x v="1"/>
  </r>
  <r>
    <x v="0"/>
    <s v="Company W"/>
    <s v="Injection"/>
    <s v="100 mg/ml"/>
    <s v="10 ml"/>
    <n v="1954"/>
    <n v="6369"/>
    <d v="2023-09-12T00:00:00"/>
    <x v="1"/>
    <x v="40"/>
    <x v="4"/>
    <x v="9"/>
    <x v="1"/>
    <s v="Low"/>
    <n v="0.9"/>
    <n v="5732.1"/>
    <n v="1.1111111111111109"/>
    <x v="1"/>
  </r>
  <r>
    <x v="3"/>
    <s v="Company V"/>
    <s v="Capsule"/>
    <s v="100 mg/ml"/>
    <n v="60"/>
    <n v="1042"/>
    <n v="18788"/>
    <d v="2023-10-30T00:00:00"/>
    <x v="3"/>
    <x v="41"/>
    <x v="0"/>
    <x v="10"/>
    <x v="3"/>
    <s v="Low"/>
    <n v="1.1000000000000001"/>
    <n v="20666.800000000003"/>
    <n v="0.90909090909090895"/>
    <x v="0"/>
  </r>
  <r>
    <x v="4"/>
    <s v="Company V"/>
    <s v="Cream"/>
    <s v="250 mg"/>
    <s v="10 ml"/>
    <n v="1564"/>
    <n v="22868"/>
    <d v="2023-09-21T00:00:00"/>
    <x v="0"/>
    <x v="42"/>
    <x v="4"/>
    <x v="9"/>
    <x v="1"/>
    <s v="Medium"/>
    <n v="1.1000000000000001"/>
    <n v="25154.800000000003"/>
    <n v="0.90909090909090895"/>
    <x v="0"/>
  </r>
  <r>
    <x v="2"/>
    <s v="Company Y"/>
    <s v="Syrup"/>
    <s v="100 mg/ml"/>
    <s v="100 ml"/>
    <n v="1741"/>
    <n v="16211"/>
    <d v="2024-04-08T00:00:00"/>
    <x v="1"/>
    <x v="43"/>
    <x v="0"/>
    <x v="11"/>
    <x v="2"/>
    <s v="Low"/>
    <n v="0.9"/>
    <n v="14589.9"/>
    <n v="1.1111111111111112"/>
    <x v="1"/>
  </r>
  <r>
    <x v="2"/>
    <s v="Company V"/>
    <s v="Syrup"/>
    <s v="250 mg"/>
    <s v="50 g"/>
    <n v="565"/>
    <n v="32496"/>
    <d v="2023-11-07T00:00:00"/>
    <x v="0"/>
    <x v="44"/>
    <x v="4"/>
    <x v="5"/>
    <x v="3"/>
    <s v="Medium"/>
    <n v="1.1000000000000001"/>
    <n v="35745.600000000006"/>
    <n v="0.90909090909090895"/>
    <x v="0"/>
  </r>
  <r>
    <x v="2"/>
    <s v="Company V"/>
    <s v="Capsule"/>
    <s v="500 mg"/>
    <s v="50 g"/>
    <n v="293"/>
    <n v="40588"/>
    <d v="2024-05-21T00:00:00"/>
    <x v="4"/>
    <x v="45"/>
    <x v="4"/>
    <x v="6"/>
    <x v="2"/>
    <s v="High"/>
    <n v="1.2"/>
    <n v="48705.599999999999"/>
    <n v="0.83333333333333337"/>
    <x v="0"/>
  </r>
  <r>
    <x v="1"/>
    <s v="Company Y"/>
    <s v="Capsule"/>
    <s v="500 mg"/>
    <s v="10 ml"/>
    <n v="1032"/>
    <n v="23173"/>
    <d v="2024-02-04T00:00:00"/>
    <x v="1"/>
    <x v="46"/>
    <x v="4"/>
    <x v="0"/>
    <x v="0"/>
    <s v="Medium"/>
    <n v="0.9"/>
    <n v="20855.7"/>
    <n v="1.1111111111111112"/>
    <x v="1"/>
  </r>
  <r>
    <x v="3"/>
    <s v="Company Z"/>
    <s v="Capsule"/>
    <s v="250 mg"/>
    <s v="10 ml"/>
    <n v="1315"/>
    <n v="3801"/>
    <d v="2023-12-27T00:00:00"/>
    <x v="0"/>
    <x v="47"/>
    <x v="0"/>
    <x v="4"/>
    <x v="3"/>
    <s v="Low"/>
    <n v="1.1000000000000001"/>
    <n v="4181.1000000000004"/>
    <n v="0.90909090909090906"/>
    <x v="0"/>
  </r>
  <r>
    <x v="0"/>
    <s v="Company X"/>
    <s v="Syrup"/>
    <s v="100 mg/ml"/>
    <n v="60"/>
    <n v="1499"/>
    <n v="18175"/>
    <d v="2023-08-21T00:00:00"/>
    <x v="3"/>
    <x v="48"/>
    <x v="2"/>
    <x v="1"/>
    <x v="1"/>
    <s v="Low"/>
    <n v="1.1000000000000001"/>
    <n v="19992.5"/>
    <n v="0.90909090909090906"/>
    <x v="0"/>
  </r>
  <r>
    <x v="0"/>
    <s v="Company Z"/>
    <s v="Capsule"/>
    <s v="250 mg"/>
    <s v="50 g"/>
    <n v="1427"/>
    <n v="1053"/>
    <d v="2024-07-25T00:00:00"/>
    <x v="3"/>
    <x v="49"/>
    <x v="0"/>
    <x v="3"/>
    <x v="1"/>
    <s v="Low"/>
    <n v="1.1000000000000001"/>
    <n v="1158.3000000000002"/>
    <n v="0.90909090909090895"/>
    <x v="0"/>
  </r>
  <r>
    <x v="3"/>
    <s v="Company V"/>
    <s v="Syrup"/>
    <s v="500 mg"/>
    <n v="60"/>
    <n v="1044"/>
    <n v="29042"/>
    <d v="2023-11-12T00:00:00"/>
    <x v="4"/>
    <x v="50"/>
    <x v="1"/>
    <x v="5"/>
    <x v="3"/>
    <s v="Medium"/>
    <n v="1.2"/>
    <n v="34850.400000000001"/>
    <n v="0.83333333333333326"/>
    <x v="0"/>
  </r>
  <r>
    <x v="0"/>
    <s v="Company W"/>
    <s v="Cream"/>
    <s v="10 mg"/>
    <n v="60"/>
    <n v="257"/>
    <n v="28677"/>
    <d v="2023-12-08T00:00:00"/>
    <x v="1"/>
    <x v="51"/>
    <x v="3"/>
    <x v="4"/>
    <x v="3"/>
    <s v="Medium"/>
    <n v="0.9"/>
    <n v="25809.3"/>
    <n v="1.1111111111111112"/>
    <x v="1"/>
  </r>
  <r>
    <x v="3"/>
    <s v="Company V"/>
    <s v="Capsule"/>
    <s v="50 mg"/>
    <n v="30"/>
    <n v="1768"/>
    <n v="40547"/>
    <d v="2023-12-03T00:00:00"/>
    <x v="1"/>
    <x v="52"/>
    <x v="1"/>
    <x v="4"/>
    <x v="3"/>
    <s v="High"/>
    <n v="0.9"/>
    <n v="36492.300000000003"/>
    <n v="1.1111111111111109"/>
    <x v="1"/>
  </r>
  <r>
    <x v="0"/>
    <s v="Company X"/>
    <s v="Syrup"/>
    <s v="250 mg"/>
    <s v="50 g"/>
    <n v="654"/>
    <n v="16542"/>
    <d v="2023-11-13T00:00:00"/>
    <x v="2"/>
    <x v="53"/>
    <x v="1"/>
    <x v="5"/>
    <x v="3"/>
    <s v="Low"/>
    <n v="0.95"/>
    <n v="15714.9"/>
    <n v="1.0526315789473684"/>
    <x v="1"/>
  </r>
  <r>
    <x v="2"/>
    <s v="Company Z"/>
    <s v="Tablet"/>
    <s v="100 mg/ml"/>
    <n v="60"/>
    <n v="1137"/>
    <n v="33706"/>
    <d v="2024-07-17T00:00:00"/>
    <x v="4"/>
    <x v="54"/>
    <x v="1"/>
    <x v="3"/>
    <x v="1"/>
    <s v="Medium"/>
    <n v="1.2"/>
    <n v="40447.199999999997"/>
    <n v="0.83333333333333337"/>
    <x v="0"/>
  </r>
  <r>
    <x v="1"/>
    <s v="Company X"/>
    <s v="Capsule"/>
    <s v="10 mg"/>
    <n v="30"/>
    <n v="739"/>
    <n v="38821"/>
    <d v="2023-12-08T00:00:00"/>
    <x v="0"/>
    <x v="55"/>
    <x v="2"/>
    <x v="4"/>
    <x v="3"/>
    <s v="Medium"/>
    <n v="1.1000000000000001"/>
    <n v="42703.100000000006"/>
    <n v="0.90909090909090895"/>
    <x v="0"/>
  </r>
  <r>
    <x v="3"/>
    <s v="Company X"/>
    <s v="Capsule"/>
    <s v="10 mg"/>
    <s v="100 ml"/>
    <n v="1610"/>
    <n v="5779"/>
    <d v="2023-09-29T00:00:00"/>
    <x v="4"/>
    <x v="56"/>
    <x v="2"/>
    <x v="9"/>
    <x v="1"/>
    <s v="Low"/>
    <n v="1.2"/>
    <n v="6934.8"/>
    <n v="0.83333333333333326"/>
    <x v="0"/>
  </r>
  <r>
    <x v="4"/>
    <s v="Company V"/>
    <s v="Syrup"/>
    <s v="500 mg"/>
    <n v="60"/>
    <n v="1703"/>
    <n v="7678"/>
    <d v="2024-02-02T00:00:00"/>
    <x v="1"/>
    <x v="57"/>
    <x v="1"/>
    <x v="0"/>
    <x v="0"/>
    <s v="Low"/>
    <n v="0.9"/>
    <n v="6910.2"/>
    <n v="1.1111111111111112"/>
    <x v="1"/>
  </r>
  <r>
    <x v="0"/>
    <s v="Company Y"/>
    <s v="Cream"/>
    <s v="250 mg"/>
    <n v="60"/>
    <n v="1639"/>
    <n v="15878"/>
    <d v="2023-09-15T00:00:00"/>
    <x v="3"/>
    <x v="58"/>
    <x v="2"/>
    <x v="9"/>
    <x v="1"/>
    <s v="Low"/>
    <n v="1.1000000000000001"/>
    <n v="17465.800000000003"/>
    <n v="0.90909090909090895"/>
    <x v="0"/>
  </r>
  <r>
    <x v="0"/>
    <s v="Company W"/>
    <s v="Capsule"/>
    <s v="10 mg"/>
    <s v="100 ml"/>
    <n v="1219"/>
    <n v="48415"/>
    <d v="2024-03-28T00:00:00"/>
    <x v="0"/>
    <x v="59"/>
    <x v="4"/>
    <x v="8"/>
    <x v="0"/>
    <s v="High"/>
    <n v="1.1000000000000001"/>
    <n v="53256.500000000007"/>
    <n v="0.90909090909090895"/>
    <x v="0"/>
  </r>
  <r>
    <x v="3"/>
    <s v="Company X"/>
    <s v="Syrup"/>
    <s v="50 mg"/>
    <s v="100 ml"/>
    <n v="871"/>
    <n v="41051"/>
    <d v="2024-01-01T00:00:00"/>
    <x v="2"/>
    <x v="60"/>
    <x v="1"/>
    <x v="7"/>
    <x v="0"/>
    <s v="High"/>
    <n v="0.95"/>
    <n v="38998.449999999997"/>
    <n v="1.0526315789473686"/>
    <x v="1"/>
  </r>
  <r>
    <x v="2"/>
    <s v="Company W"/>
    <s v="Cream"/>
    <s v="250 mg"/>
    <s v="50 g"/>
    <n v="995"/>
    <n v="17900"/>
    <d v="2024-02-08T00:00:00"/>
    <x v="0"/>
    <x v="61"/>
    <x v="3"/>
    <x v="0"/>
    <x v="0"/>
    <s v="Low"/>
    <n v="1.1000000000000001"/>
    <n v="19690"/>
    <n v="0.90909090909090906"/>
    <x v="0"/>
  </r>
  <r>
    <x v="0"/>
    <s v="Company X"/>
    <s v="Injection"/>
    <s v="250 mg"/>
    <n v="30"/>
    <n v="1446"/>
    <n v="37654"/>
    <d v="2023-11-30T00:00:00"/>
    <x v="1"/>
    <x v="62"/>
    <x v="1"/>
    <x v="5"/>
    <x v="3"/>
    <s v="Medium"/>
    <n v="0.9"/>
    <n v="33888.6"/>
    <n v="1.1111111111111112"/>
    <x v="1"/>
  </r>
  <r>
    <x v="0"/>
    <s v="Company X"/>
    <s v="Tablet"/>
    <s v="10 mg"/>
    <n v="60"/>
    <n v="1269"/>
    <n v="22319"/>
    <d v="2023-11-20T00:00:00"/>
    <x v="4"/>
    <x v="63"/>
    <x v="3"/>
    <x v="5"/>
    <x v="3"/>
    <s v="Medium"/>
    <n v="1.2"/>
    <n v="26782.799999999999"/>
    <n v="0.83333333333333337"/>
    <x v="0"/>
  </r>
  <r>
    <x v="3"/>
    <s v="Company W"/>
    <s v="Syrup"/>
    <s v="50 mg"/>
    <s v="10 ml"/>
    <n v="1232"/>
    <n v="19247"/>
    <d v="2024-03-26T00:00:00"/>
    <x v="3"/>
    <x v="64"/>
    <x v="1"/>
    <x v="8"/>
    <x v="0"/>
    <s v="Low"/>
    <n v="1.1000000000000001"/>
    <n v="21171.7"/>
    <n v="0.90909090909090906"/>
    <x v="0"/>
  </r>
  <r>
    <x v="3"/>
    <s v="Company X"/>
    <s v="Tablet"/>
    <s v="50 mg"/>
    <n v="30"/>
    <n v="814"/>
    <n v="25411"/>
    <d v="2023-12-23T00:00:00"/>
    <x v="0"/>
    <x v="65"/>
    <x v="3"/>
    <x v="4"/>
    <x v="3"/>
    <s v="Medium"/>
    <n v="1.1000000000000001"/>
    <n v="27952.100000000002"/>
    <n v="0.90909090909090906"/>
    <x v="0"/>
  </r>
  <r>
    <x v="0"/>
    <s v="Company V"/>
    <s v="Syrup"/>
    <s v="10 mg"/>
    <s v="100 ml"/>
    <n v="157"/>
    <n v="3809"/>
    <d v="2024-04-23T00:00:00"/>
    <x v="0"/>
    <x v="66"/>
    <x v="4"/>
    <x v="11"/>
    <x v="2"/>
    <s v="Low"/>
    <n v="1.1000000000000001"/>
    <n v="4189.9000000000005"/>
    <n v="0.90909090909090895"/>
    <x v="0"/>
  </r>
  <r>
    <x v="3"/>
    <s v="Company Y"/>
    <s v="Syrup"/>
    <s v="10 mg"/>
    <n v="30"/>
    <n v="272"/>
    <n v="39524"/>
    <d v="2024-07-09T00:00:00"/>
    <x v="0"/>
    <x v="67"/>
    <x v="2"/>
    <x v="3"/>
    <x v="1"/>
    <s v="Medium"/>
    <n v="1.1000000000000001"/>
    <n v="43476.4"/>
    <n v="0.90909090909090906"/>
    <x v="0"/>
  </r>
  <r>
    <x v="0"/>
    <s v="Company W"/>
    <s v="Cream"/>
    <s v="500 mg"/>
    <s v="50 g"/>
    <n v="1222"/>
    <n v="19740"/>
    <d v="2023-11-18T00:00:00"/>
    <x v="0"/>
    <x v="68"/>
    <x v="2"/>
    <x v="5"/>
    <x v="3"/>
    <s v="Low"/>
    <n v="1.1000000000000001"/>
    <n v="21714"/>
    <n v="0.90909090909090906"/>
    <x v="0"/>
  </r>
  <r>
    <x v="4"/>
    <s v="Company X"/>
    <s v="Capsule"/>
    <s v="250 mg"/>
    <s v="10 ml"/>
    <n v="151"/>
    <n v="18797"/>
    <d v="2024-02-10T00:00:00"/>
    <x v="3"/>
    <x v="69"/>
    <x v="1"/>
    <x v="0"/>
    <x v="0"/>
    <s v="Low"/>
    <n v="1.1000000000000001"/>
    <n v="20676.7"/>
    <n v="0.90909090909090906"/>
    <x v="0"/>
  </r>
  <r>
    <x v="4"/>
    <s v="Company V"/>
    <s v="Capsule"/>
    <s v="500 mg"/>
    <s v="10 ml"/>
    <n v="798"/>
    <n v="23785"/>
    <d v="2024-07-03T00:00:00"/>
    <x v="0"/>
    <x v="70"/>
    <x v="3"/>
    <x v="3"/>
    <x v="1"/>
    <s v="Medium"/>
    <n v="1.1000000000000001"/>
    <n v="26163.500000000004"/>
    <n v="0.90909090909090895"/>
    <x v="0"/>
  </r>
  <r>
    <x v="3"/>
    <s v="Company W"/>
    <s v="Injection"/>
    <s v="50 mg"/>
    <s v="10 ml"/>
    <n v="310"/>
    <n v="31204"/>
    <d v="2023-08-19T00:00:00"/>
    <x v="0"/>
    <x v="71"/>
    <x v="3"/>
    <x v="1"/>
    <x v="1"/>
    <s v="Medium"/>
    <n v="1.1000000000000001"/>
    <n v="34324.400000000001"/>
    <n v="0.90909090909090906"/>
    <x v="0"/>
  </r>
  <r>
    <x v="0"/>
    <s v="Company X"/>
    <s v="Tablet"/>
    <s v="50 mg"/>
    <s v="10 ml"/>
    <n v="1280"/>
    <n v="45096"/>
    <d v="2024-06-19T00:00:00"/>
    <x v="3"/>
    <x v="72"/>
    <x v="3"/>
    <x v="2"/>
    <x v="2"/>
    <s v="High"/>
    <n v="1.1000000000000001"/>
    <n v="49605.600000000006"/>
    <n v="0.90909090909090895"/>
    <x v="0"/>
  </r>
  <r>
    <x v="2"/>
    <s v="Company V"/>
    <s v="Syrup"/>
    <s v="100 mg/ml"/>
    <s v="50 g"/>
    <n v="1776"/>
    <n v="30640"/>
    <d v="2024-06-14T00:00:00"/>
    <x v="3"/>
    <x v="73"/>
    <x v="2"/>
    <x v="2"/>
    <x v="2"/>
    <s v="Medium"/>
    <n v="1.1000000000000001"/>
    <n v="33704"/>
    <n v="0.90909090909090906"/>
    <x v="0"/>
  </r>
  <r>
    <x v="1"/>
    <s v="Company Y"/>
    <s v="Cream"/>
    <s v="500 mg"/>
    <n v="30"/>
    <n v="784"/>
    <n v="25665"/>
    <d v="2024-05-05T00:00:00"/>
    <x v="0"/>
    <x v="74"/>
    <x v="1"/>
    <x v="6"/>
    <x v="2"/>
    <s v="Medium"/>
    <n v="1.1000000000000001"/>
    <n v="28231.500000000004"/>
    <n v="0.90909090909090895"/>
    <x v="0"/>
  </r>
  <r>
    <x v="3"/>
    <s v="Company Y"/>
    <s v="Injection"/>
    <s v="250 mg"/>
    <n v="60"/>
    <n v="1936"/>
    <n v="40605"/>
    <d v="2023-11-29T00:00:00"/>
    <x v="1"/>
    <x v="75"/>
    <x v="3"/>
    <x v="5"/>
    <x v="3"/>
    <s v="High"/>
    <n v="0.9"/>
    <n v="36544.5"/>
    <n v="1.1111111111111112"/>
    <x v="1"/>
  </r>
  <r>
    <x v="4"/>
    <s v="Company V"/>
    <s v="Cream"/>
    <s v="10 mg"/>
    <s v="50 g"/>
    <n v="1675"/>
    <n v="29315"/>
    <d v="2023-11-07T00:00:00"/>
    <x v="1"/>
    <x v="76"/>
    <x v="2"/>
    <x v="5"/>
    <x v="3"/>
    <s v="Medium"/>
    <n v="0.9"/>
    <n v="26383.5"/>
    <n v="1.1111111111111112"/>
    <x v="1"/>
  </r>
  <r>
    <x v="1"/>
    <s v="Company X"/>
    <s v="Capsule"/>
    <s v="500 mg"/>
    <s v="100 ml"/>
    <n v="906"/>
    <n v="10256"/>
    <d v="2023-08-21T00:00:00"/>
    <x v="0"/>
    <x v="77"/>
    <x v="3"/>
    <x v="1"/>
    <x v="1"/>
    <s v="Low"/>
    <n v="1.1000000000000001"/>
    <n v="11281.6"/>
    <n v="0.90909090909090906"/>
    <x v="0"/>
  </r>
  <r>
    <x v="2"/>
    <s v="Company X"/>
    <s v="Cream"/>
    <s v="10 mg"/>
    <n v="60"/>
    <n v="873"/>
    <n v="44797"/>
    <d v="2023-09-23T00:00:00"/>
    <x v="4"/>
    <x v="78"/>
    <x v="1"/>
    <x v="9"/>
    <x v="1"/>
    <s v="High"/>
    <n v="1.2"/>
    <n v="53756.4"/>
    <n v="0.83333333333333326"/>
    <x v="0"/>
  </r>
  <r>
    <x v="2"/>
    <s v="Company V"/>
    <s v="Cream"/>
    <s v="250 mg"/>
    <n v="30"/>
    <n v="1227"/>
    <n v="37132"/>
    <d v="2024-05-09T00:00:00"/>
    <x v="0"/>
    <x v="79"/>
    <x v="2"/>
    <x v="6"/>
    <x v="2"/>
    <s v="Medium"/>
    <n v="1.1000000000000001"/>
    <n v="40845.200000000004"/>
    <n v="0.90909090909090895"/>
    <x v="0"/>
  </r>
  <r>
    <x v="2"/>
    <s v="Company Y"/>
    <s v="Capsule"/>
    <s v="500 mg"/>
    <n v="30"/>
    <n v="1921"/>
    <n v="8234"/>
    <d v="2023-07-29T00:00:00"/>
    <x v="0"/>
    <x v="80"/>
    <x v="2"/>
    <x v="3"/>
    <x v="1"/>
    <s v="Low"/>
    <n v="1.1000000000000001"/>
    <n v="9057.4000000000015"/>
    <n v="0.90909090909090895"/>
    <x v="0"/>
  </r>
  <r>
    <x v="3"/>
    <s v="Company Z"/>
    <s v="Syrup"/>
    <s v="500 mg"/>
    <s v="10 ml"/>
    <n v="1907"/>
    <n v="11906"/>
    <d v="2024-04-05T00:00:00"/>
    <x v="2"/>
    <x v="81"/>
    <x v="3"/>
    <x v="11"/>
    <x v="2"/>
    <s v="Low"/>
    <n v="0.95"/>
    <n v="11310.699999999999"/>
    <n v="1.0526315789473686"/>
    <x v="1"/>
  </r>
  <r>
    <x v="4"/>
    <s v="Company Y"/>
    <s v="Cream"/>
    <s v="10 mg"/>
    <n v="60"/>
    <n v="1766"/>
    <n v="36835"/>
    <d v="2024-03-17T00:00:00"/>
    <x v="1"/>
    <x v="82"/>
    <x v="2"/>
    <x v="8"/>
    <x v="0"/>
    <s v="Medium"/>
    <n v="0.9"/>
    <n v="33151.5"/>
    <n v="1.1111111111111112"/>
    <x v="1"/>
  </r>
  <r>
    <x v="3"/>
    <s v="Company X"/>
    <s v="Syrup"/>
    <s v="250 mg"/>
    <n v="60"/>
    <n v="793"/>
    <n v="45468"/>
    <d v="2023-11-26T00:00:00"/>
    <x v="1"/>
    <x v="83"/>
    <x v="1"/>
    <x v="5"/>
    <x v="3"/>
    <s v="High"/>
    <n v="0.9"/>
    <n v="40921.200000000004"/>
    <n v="1.1111111111111109"/>
    <x v="1"/>
  </r>
  <r>
    <x v="3"/>
    <s v="Company W"/>
    <s v="Cream"/>
    <s v="50 mg"/>
    <s v="100 ml"/>
    <n v="1738"/>
    <n v="22945"/>
    <d v="2024-02-21T00:00:00"/>
    <x v="0"/>
    <x v="84"/>
    <x v="4"/>
    <x v="0"/>
    <x v="0"/>
    <s v="Medium"/>
    <n v="1.1000000000000001"/>
    <n v="25239.500000000004"/>
    <n v="0.90909090909090895"/>
    <x v="0"/>
  </r>
  <r>
    <x v="2"/>
    <s v="Company Z"/>
    <s v="Tablet"/>
    <s v="250 mg"/>
    <s v="100 ml"/>
    <n v="1088"/>
    <n v="46398"/>
    <d v="2024-07-08T00:00:00"/>
    <x v="0"/>
    <x v="85"/>
    <x v="3"/>
    <x v="3"/>
    <x v="1"/>
    <s v="High"/>
    <n v="1.1000000000000001"/>
    <n v="51037.8"/>
    <n v="0.90909090909090906"/>
    <x v="0"/>
  </r>
  <r>
    <x v="2"/>
    <s v="Company W"/>
    <s v="Injection"/>
    <s v="250 mg"/>
    <s v="100 ml"/>
    <n v="643"/>
    <n v="1303"/>
    <d v="2024-06-09T00:00:00"/>
    <x v="1"/>
    <x v="86"/>
    <x v="1"/>
    <x v="2"/>
    <x v="2"/>
    <s v="Low"/>
    <n v="0.9"/>
    <n v="1172.7"/>
    <n v="1.1111111111111112"/>
    <x v="1"/>
  </r>
  <r>
    <x v="4"/>
    <s v="Company X"/>
    <s v="Syrup"/>
    <s v="250 mg"/>
    <s v="10 ml"/>
    <n v="1498"/>
    <n v="33259"/>
    <d v="2024-07-27T00:00:00"/>
    <x v="0"/>
    <x v="87"/>
    <x v="1"/>
    <x v="3"/>
    <x v="1"/>
    <s v="Medium"/>
    <n v="1.1000000000000001"/>
    <n v="36584.9"/>
    <n v="0.90909090909090906"/>
    <x v="0"/>
  </r>
  <r>
    <x v="1"/>
    <s v="Company V"/>
    <s v="Injection"/>
    <s v="250 mg"/>
    <n v="30"/>
    <n v="1558"/>
    <n v="8553"/>
    <d v="2023-12-15T00:00:00"/>
    <x v="2"/>
    <x v="88"/>
    <x v="1"/>
    <x v="4"/>
    <x v="3"/>
    <s v="Low"/>
    <n v="0.95"/>
    <n v="8125.3499999999995"/>
    <n v="1.0526315789473686"/>
    <x v="1"/>
  </r>
  <r>
    <x v="4"/>
    <s v="Company Y"/>
    <s v="Capsule"/>
    <s v="50 mg"/>
    <n v="30"/>
    <n v="1423"/>
    <n v="28304"/>
    <d v="2023-12-27T00:00:00"/>
    <x v="2"/>
    <x v="89"/>
    <x v="3"/>
    <x v="4"/>
    <x v="3"/>
    <s v="Medium"/>
    <n v="0.95"/>
    <n v="26888.799999999999"/>
    <n v="1.0526315789473684"/>
    <x v="1"/>
  </r>
  <r>
    <x v="4"/>
    <s v="Company V"/>
    <s v="Capsule"/>
    <s v="100 mg/ml"/>
    <s v="10 ml"/>
    <n v="1777"/>
    <n v="33795"/>
    <d v="2024-02-11T00:00:00"/>
    <x v="0"/>
    <x v="90"/>
    <x v="2"/>
    <x v="0"/>
    <x v="0"/>
    <s v="Medium"/>
    <n v="1.1000000000000001"/>
    <n v="37174.5"/>
    <n v="0.90909090909090906"/>
    <x v="0"/>
  </r>
  <r>
    <x v="1"/>
    <s v="Company V"/>
    <s v="Tablet"/>
    <s v="250 mg"/>
    <s v="100 ml"/>
    <n v="1908"/>
    <n v="34115"/>
    <d v="2023-11-03T00:00:00"/>
    <x v="2"/>
    <x v="91"/>
    <x v="0"/>
    <x v="5"/>
    <x v="3"/>
    <s v="Medium"/>
    <n v="0.95"/>
    <n v="32409.25"/>
    <n v="1.0526315789473684"/>
    <x v="1"/>
  </r>
  <r>
    <x v="2"/>
    <s v="Company X"/>
    <s v="Capsule"/>
    <s v="10 mg"/>
    <s v="100 ml"/>
    <n v="1291"/>
    <n v="30051"/>
    <d v="2024-01-07T00:00:00"/>
    <x v="3"/>
    <x v="92"/>
    <x v="2"/>
    <x v="7"/>
    <x v="0"/>
    <s v="Medium"/>
    <n v="1.1000000000000001"/>
    <n v="33056.100000000006"/>
    <n v="0.90909090909090895"/>
    <x v="0"/>
  </r>
  <r>
    <x v="3"/>
    <s v="Company V"/>
    <s v="Tablet"/>
    <s v="50 mg"/>
    <s v="10 ml"/>
    <n v="1702"/>
    <n v="29950"/>
    <d v="2023-08-13T00:00:00"/>
    <x v="0"/>
    <x v="93"/>
    <x v="2"/>
    <x v="1"/>
    <x v="1"/>
    <s v="Medium"/>
    <n v="1.1000000000000001"/>
    <n v="32945"/>
    <n v="0.90909090909090906"/>
    <x v="0"/>
  </r>
  <r>
    <x v="1"/>
    <s v="Company Z"/>
    <s v="Injection"/>
    <s v="500 mg"/>
    <n v="60"/>
    <n v="1367"/>
    <n v="30714"/>
    <d v="2024-04-13T00:00:00"/>
    <x v="1"/>
    <x v="94"/>
    <x v="2"/>
    <x v="11"/>
    <x v="2"/>
    <s v="Medium"/>
    <n v="0.9"/>
    <n v="27642.600000000002"/>
    <n v="1.1111111111111109"/>
    <x v="1"/>
  </r>
  <r>
    <x v="4"/>
    <s v="Company V"/>
    <s v="Tablet"/>
    <s v="100 mg/ml"/>
    <n v="30"/>
    <n v="1583"/>
    <n v="45689"/>
    <d v="2023-08-27T00:00:00"/>
    <x v="2"/>
    <x v="95"/>
    <x v="4"/>
    <x v="1"/>
    <x v="1"/>
    <s v="High"/>
    <n v="0.95"/>
    <n v="43404.549999999996"/>
    <n v="1.0526315789473686"/>
    <x v="1"/>
  </r>
  <r>
    <x v="1"/>
    <s v="Company V"/>
    <s v="Capsule"/>
    <s v="500 mg"/>
    <s v="100 ml"/>
    <n v="848"/>
    <n v="35016"/>
    <d v="2024-03-15T00:00:00"/>
    <x v="0"/>
    <x v="96"/>
    <x v="4"/>
    <x v="8"/>
    <x v="0"/>
    <s v="Medium"/>
    <n v="1.1000000000000001"/>
    <n v="38517.600000000006"/>
    <n v="0.90909090909090895"/>
    <x v="0"/>
  </r>
  <r>
    <x v="0"/>
    <s v="Company Y"/>
    <s v="Syrup"/>
    <s v="10 mg"/>
    <s v="100 ml"/>
    <n v="1886"/>
    <n v="11515"/>
    <d v="2024-06-10T00:00:00"/>
    <x v="4"/>
    <x v="97"/>
    <x v="4"/>
    <x v="2"/>
    <x v="2"/>
    <s v="Low"/>
    <n v="1.2"/>
    <n v="13818"/>
    <n v="0.83333333333333337"/>
    <x v="0"/>
  </r>
  <r>
    <x v="4"/>
    <s v="Company V"/>
    <s v="Tablet"/>
    <s v="250 mg"/>
    <s v="50 g"/>
    <n v="1391"/>
    <n v="49897"/>
    <d v="2023-09-17T00:00:00"/>
    <x v="0"/>
    <x v="98"/>
    <x v="4"/>
    <x v="9"/>
    <x v="1"/>
    <s v="High"/>
    <n v="1.1000000000000001"/>
    <n v="54886.700000000004"/>
    <n v="0.90909090909090906"/>
    <x v="0"/>
  </r>
  <r>
    <x v="2"/>
    <s v="Company Z"/>
    <s v="Injection"/>
    <s v="250 mg"/>
    <n v="60"/>
    <n v="536"/>
    <n v="12572"/>
    <d v="2023-10-07T00:00:00"/>
    <x v="1"/>
    <x v="99"/>
    <x v="3"/>
    <x v="10"/>
    <x v="3"/>
    <s v="Low"/>
    <n v="0.9"/>
    <n v="11314.800000000001"/>
    <n v="1.1111111111111109"/>
    <x v="1"/>
  </r>
  <r>
    <x v="0"/>
    <s v="Company Z"/>
    <s v="Injection"/>
    <s v="500 mg"/>
    <n v="60"/>
    <n v="1999"/>
    <n v="40809"/>
    <d v="2024-03-16T00:00:00"/>
    <x v="0"/>
    <x v="100"/>
    <x v="2"/>
    <x v="8"/>
    <x v="0"/>
    <s v="High"/>
    <n v="1.1000000000000001"/>
    <n v="44889.9"/>
    <n v="0.90909090909090906"/>
    <x v="0"/>
  </r>
  <r>
    <x v="4"/>
    <s v="Company Z"/>
    <s v="Tablet"/>
    <s v="250 mg"/>
    <s v="10 ml"/>
    <n v="1192"/>
    <n v="39757"/>
    <d v="2024-07-20T00:00:00"/>
    <x v="1"/>
    <x v="101"/>
    <x v="0"/>
    <x v="3"/>
    <x v="1"/>
    <s v="Medium"/>
    <n v="0.9"/>
    <n v="35781.300000000003"/>
    <n v="1.1111111111111109"/>
    <x v="1"/>
  </r>
  <r>
    <x v="4"/>
    <s v="Company W"/>
    <s v="Cream"/>
    <s v="250 mg"/>
    <s v="50 g"/>
    <n v="846"/>
    <n v="2237"/>
    <d v="2023-10-06T00:00:00"/>
    <x v="4"/>
    <x v="102"/>
    <x v="2"/>
    <x v="10"/>
    <x v="3"/>
    <s v="Low"/>
    <n v="1.2"/>
    <n v="2684.4"/>
    <n v="0.83333333333333326"/>
    <x v="0"/>
  </r>
  <r>
    <x v="3"/>
    <s v="Company X"/>
    <s v="Injection"/>
    <s v="500 mg"/>
    <s v="10 ml"/>
    <n v="731"/>
    <n v="35093"/>
    <d v="2023-10-23T00:00:00"/>
    <x v="1"/>
    <x v="103"/>
    <x v="2"/>
    <x v="10"/>
    <x v="3"/>
    <s v="Medium"/>
    <n v="0.9"/>
    <n v="31583.7"/>
    <n v="1.1111111111111112"/>
    <x v="1"/>
  </r>
  <r>
    <x v="3"/>
    <s v="Company W"/>
    <s v="Tablet"/>
    <s v="100 mg/ml"/>
    <n v="30"/>
    <n v="1943"/>
    <n v="44592"/>
    <d v="2024-05-19T00:00:00"/>
    <x v="2"/>
    <x v="104"/>
    <x v="2"/>
    <x v="6"/>
    <x v="2"/>
    <s v="High"/>
    <n v="0.95"/>
    <n v="42362.400000000001"/>
    <n v="1.0526315789473684"/>
    <x v="1"/>
  </r>
  <r>
    <x v="3"/>
    <s v="Company Y"/>
    <s v="Capsule"/>
    <s v="100 mg/ml"/>
    <n v="60"/>
    <n v="1017"/>
    <n v="29700"/>
    <d v="2023-10-18T00:00:00"/>
    <x v="2"/>
    <x v="105"/>
    <x v="1"/>
    <x v="10"/>
    <x v="3"/>
    <s v="Medium"/>
    <n v="0.95"/>
    <n v="28215"/>
    <n v="1.0526315789473684"/>
    <x v="1"/>
  </r>
  <r>
    <x v="3"/>
    <s v="Company X"/>
    <s v="Cream"/>
    <s v="500 mg"/>
    <s v="10 ml"/>
    <n v="929"/>
    <n v="37018"/>
    <d v="2024-07-23T00:00:00"/>
    <x v="4"/>
    <x v="106"/>
    <x v="0"/>
    <x v="3"/>
    <x v="1"/>
    <s v="Medium"/>
    <n v="1.2"/>
    <n v="44421.599999999999"/>
    <n v="0.83333333333333337"/>
    <x v="0"/>
  </r>
  <r>
    <x v="4"/>
    <s v="Company Z"/>
    <s v="Capsule"/>
    <s v="10 mg"/>
    <n v="60"/>
    <n v="811"/>
    <n v="44885"/>
    <d v="2023-11-20T00:00:00"/>
    <x v="0"/>
    <x v="107"/>
    <x v="3"/>
    <x v="5"/>
    <x v="3"/>
    <s v="High"/>
    <n v="1.1000000000000001"/>
    <n v="49373.500000000007"/>
    <n v="0.90909090909090895"/>
    <x v="0"/>
  </r>
  <r>
    <x v="1"/>
    <s v="Company Y"/>
    <s v="Syrup"/>
    <s v="500 mg"/>
    <n v="60"/>
    <n v="820"/>
    <n v="14086"/>
    <d v="2024-01-31T00:00:00"/>
    <x v="1"/>
    <x v="108"/>
    <x v="3"/>
    <x v="7"/>
    <x v="0"/>
    <s v="Low"/>
    <n v="0.9"/>
    <n v="12677.4"/>
    <n v="1.1111111111111112"/>
    <x v="1"/>
  </r>
  <r>
    <x v="3"/>
    <s v="Company X"/>
    <s v="Syrup"/>
    <s v="100 mg/ml"/>
    <n v="60"/>
    <n v="698"/>
    <n v="27380"/>
    <d v="2024-07-26T00:00:00"/>
    <x v="1"/>
    <x v="109"/>
    <x v="3"/>
    <x v="3"/>
    <x v="1"/>
    <s v="Medium"/>
    <n v="0.9"/>
    <n v="24642"/>
    <n v="1.1111111111111112"/>
    <x v="1"/>
  </r>
  <r>
    <x v="2"/>
    <s v="Company Y"/>
    <s v="Capsule"/>
    <s v="250 mg"/>
    <s v="10 ml"/>
    <n v="679"/>
    <n v="35477"/>
    <d v="2024-07-02T00:00:00"/>
    <x v="0"/>
    <x v="110"/>
    <x v="4"/>
    <x v="3"/>
    <x v="1"/>
    <s v="Medium"/>
    <n v="1.1000000000000001"/>
    <n v="39024.700000000004"/>
    <n v="0.90909090909090895"/>
    <x v="0"/>
  </r>
  <r>
    <x v="2"/>
    <s v="Company V"/>
    <s v="Capsule"/>
    <s v="10 mg"/>
    <s v="50 g"/>
    <n v="1225"/>
    <n v="47265"/>
    <d v="2023-12-24T00:00:00"/>
    <x v="0"/>
    <x v="111"/>
    <x v="2"/>
    <x v="4"/>
    <x v="3"/>
    <s v="High"/>
    <n v="1.1000000000000001"/>
    <n v="51991.500000000007"/>
    <n v="0.90909090909090895"/>
    <x v="0"/>
  </r>
  <r>
    <x v="0"/>
    <s v="Company W"/>
    <s v="Syrup"/>
    <s v="250 mg"/>
    <n v="60"/>
    <n v="1913"/>
    <n v="37244"/>
    <d v="2023-12-06T00:00:00"/>
    <x v="1"/>
    <x v="112"/>
    <x v="1"/>
    <x v="4"/>
    <x v="3"/>
    <s v="Medium"/>
    <n v="0.9"/>
    <n v="33519.599999999999"/>
    <n v="1.1111111111111112"/>
    <x v="1"/>
  </r>
  <r>
    <x v="0"/>
    <s v="Company W"/>
    <s v="Tablet"/>
    <s v="100 mg/ml"/>
    <s v="10 ml"/>
    <n v="1381"/>
    <n v="43046"/>
    <d v="2024-07-28T00:00:00"/>
    <x v="3"/>
    <x v="113"/>
    <x v="3"/>
    <x v="3"/>
    <x v="1"/>
    <s v="High"/>
    <n v="1.1000000000000001"/>
    <n v="47350.600000000006"/>
    <n v="0.90909090909090895"/>
    <x v="0"/>
  </r>
  <r>
    <x v="3"/>
    <s v="Company W"/>
    <s v="Injection"/>
    <s v="100 mg/ml"/>
    <s v="50 g"/>
    <n v="939"/>
    <n v="37589"/>
    <d v="2023-12-02T00:00:00"/>
    <x v="2"/>
    <x v="114"/>
    <x v="4"/>
    <x v="4"/>
    <x v="3"/>
    <s v="Medium"/>
    <n v="0.95"/>
    <n v="35709.549999999996"/>
    <n v="1.0526315789473686"/>
    <x v="1"/>
  </r>
  <r>
    <x v="0"/>
    <s v="Company Z"/>
    <s v="Injection"/>
    <s v="10 mg"/>
    <s v="10 ml"/>
    <n v="472"/>
    <n v="7516"/>
    <d v="2024-02-06T00:00:00"/>
    <x v="0"/>
    <x v="115"/>
    <x v="3"/>
    <x v="0"/>
    <x v="0"/>
    <s v="Low"/>
    <n v="1.1000000000000001"/>
    <n v="8267.6"/>
    <n v="0.90909090909090906"/>
    <x v="0"/>
  </r>
  <r>
    <x v="2"/>
    <s v="Company Y"/>
    <s v="Syrup"/>
    <s v="100 mg/ml"/>
    <s v="100 ml"/>
    <n v="405"/>
    <n v="19413"/>
    <d v="2024-03-05T00:00:00"/>
    <x v="2"/>
    <x v="116"/>
    <x v="3"/>
    <x v="8"/>
    <x v="0"/>
    <s v="Low"/>
    <n v="0.95"/>
    <n v="18442.349999999999"/>
    <n v="1.0526315789473686"/>
    <x v="1"/>
  </r>
  <r>
    <x v="1"/>
    <s v="Company Z"/>
    <s v="Cream"/>
    <s v="50 mg"/>
    <s v="10 ml"/>
    <n v="383"/>
    <n v="9225"/>
    <d v="2023-10-21T00:00:00"/>
    <x v="4"/>
    <x v="117"/>
    <x v="3"/>
    <x v="10"/>
    <x v="3"/>
    <s v="Low"/>
    <n v="1.2"/>
    <n v="11070"/>
    <n v="0.83333333333333337"/>
    <x v="0"/>
  </r>
  <r>
    <x v="2"/>
    <s v="Company Z"/>
    <s v="Syrup"/>
    <s v="100 mg/ml"/>
    <s v="10 ml"/>
    <n v="1863"/>
    <n v="35677"/>
    <d v="2024-03-11T00:00:00"/>
    <x v="0"/>
    <x v="118"/>
    <x v="1"/>
    <x v="8"/>
    <x v="0"/>
    <s v="Medium"/>
    <n v="1.1000000000000001"/>
    <n v="39244.700000000004"/>
    <n v="0.90909090909090895"/>
    <x v="0"/>
  </r>
  <r>
    <x v="1"/>
    <s v="Company V"/>
    <s v="Syrup"/>
    <s v="10 mg"/>
    <s v="100 ml"/>
    <n v="469"/>
    <n v="9657"/>
    <d v="2024-07-15T00:00:00"/>
    <x v="0"/>
    <x v="119"/>
    <x v="0"/>
    <x v="3"/>
    <x v="1"/>
    <s v="Low"/>
    <n v="1.1000000000000001"/>
    <n v="10622.7"/>
    <n v="0.90909090909090906"/>
    <x v="0"/>
  </r>
  <r>
    <x v="3"/>
    <s v="Company Y"/>
    <s v="Injection"/>
    <s v="50 mg"/>
    <s v="50 g"/>
    <n v="1296"/>
    <n v="14169"/>
    <d v="2024-02-22T00:00:00"/>
    <x v="3"/>
    <x v="120"/>
    <x v="1"/>
    <x v="0"/>
    <x v="0"/>
    <s v="Low"/>
    <n v="1.1000000000000001"/>
    <n v="15585.900000000001"/>
    <n v="0.90909090909090906"/>
    <x v="0"/>
  </r>
  <r>
    <x v="4"/>
    <s v="Company V"/>
    <s v="Tablet"/>
    <s v="250 mg"/>
    <n v="60"/>
    <n v="1350"/>
    <n v="24407"/>
    <d v="2024-05-13T00:00:00"/>
    <x v="0"/>
    <x v="121"/>
    <x v="1"/>
    <x v="6"/>
    <x v="2"/>
    <s v="Medium"/>
    <n v="1.1000000000000001"/>
    <n v="26847.7"/>
    <n v="0.90909090909090906"/>
    <x v="0"/>
  </r>
  <r>
    <x v="0"/>
    <s v="Company V"/>
    <s v="Tablet"/>
    <s v="10 mg"/>
    <s v="50 g"/>
    <n v="930"/>
    <n v="3721"/>
    <d v="2024-02-11T00:00:00"/>
    <x v="3"/>
    <x v="122"/>
    <x v="3"/>
    <x v="0"/>
    <x v="0"/>
    <s v="Low"/>
    <n v="1.1000000000000001"/>
    <n v="4093.1000000000004"/>
    <n v="0.90909090909090906"/>
    <x v="0"/>
  </r>
  <r>
    <x v="2"/>
    <s v="Company V"/>
    <s v="Capsule"/>
    <s v="10 mg"/>
    <s v="10 ml"/>
    <n v="1185"/>
    <n v="43131"/>
    <d v="2024-03-03T00:00:00"/>
    <x v="2"/>
    <x v="123"/>
    <x v="0"/>
    <x v="8"/>
    <x v="0"/>
    <s v="High"/>
    <n v="0.95"/>
    <n v="40974.449999999997"/>
    <n v="1.0526315789473686"/>
    <x v="1"/>
  </r>
  <r>
    <x v="1"/>
    <s v="Company V"/>
    <s v="Capsule"/>
    <s v="50 mg"/>
    <n v="60"/>
    <n v="179"/>
    <n v="37526"/>
    <d v="2023-10-20T00:00:00"/>
    <x v="0"/>
    <x v="124"/>
    <x v="4"/>
    <x v="10"/>
    <x v="3"/>
    <s v="Medium"/>
    <n v="1.1000000000000001"/>
    <n v="41278.600000000006"/>
    <n v="0.90909090909090895"/>
    <x v="0"/>
  </r>
  <r>
    <x v="0"/>
    <s v="Company Y"/>
    <s v="Injection"/>
    <s v="10 mg"/>
    <n v="30"/>
    <n v="1859"/>
    <n v="27781"/>
    <d v="2024-01-09T00:00:00"/>
    <x v="0"/>
    <x v="125"/>
    <x v="2"/>
    <x v="7"/>
    <x v="0"/>
    <s v="Medium"/>
    <n v="1.1000000000000001"/>
    <n v="30559.100000000002"/>
    <n v="0.90909090909090906"/>
    <x v="0"/>
  </r>
  <r>
    <x v="4"/>
    <s v="Company V"/>
    <s v="Capsule"/>
    <s v="50 mg"/>
    <n v="60"/>
    <n v="1089"/>
    <n v="6993"/>
    <d v="2023-09-16T00:00:00"/>
    <x v="1"/>
    <x v="126"/>
    <x v="3"/>
    <x v="9"/>
    <x v="1"/>
    <s v="Low"/>
    <n v="0.9"/>
    <n v="6293.7"/>
    <n v="1.1111111111111112"/>
    <x v="1"/>
  </r>
  <r>
    <x v="3"/>
    <s v="Company Y"/>
    <s v="Tablet"/>
    <s v="10 mg"/>
    <s v="10 ml"/>
    <n v="1428"/>
    <n v="38657"/>
    <d v="2023-10-09T00:00:00"/>
    <x v="1"/>
    <x v="127"/>
    <x v="3"/>
    <x v="10"/>
    <x v="3"/>
    <s v="Medium"/>
    <n v="0.9"/>
    <n v="34791.300000000003"/>
    <n v="1.1111111111111109"/>
    <x v="1"/>
  </r>
  <r>
    <x v="3"/>
    <s v="Company X"/>
    <s v="Syrup"/>
    <s v="500 mg"/>
    <s v="10 ml"/>
    <n v="431"/>
    <n v="42644"/>
    <d v="2024-02-11T00:00:00"/>
    <x v="1"/>
    <x v="128"/>
    <x v="4"/>
    <x v="0"/>
    <x v="0"/>
    <s v="High"/>
    <n v="0.9"/>
    <n v="38379.599999999999"/>
    <n v="1.1111111111111112"/>
    <x v="1"/>
  </r>
  <r>
    <x v="0"/>
    <s v="Company Z"/>
    <s v="Capsule"/>
    <s v="50 mg"/>
    <s v="50 g"/>
    <n v="1670"/>
    <n v="44138"/>
    <d v="2024-03-10T00:00:00"/>
    <x v="1"/>
    <x v="129"/>
    <x v="1"/>
    <x v="8"/>
    <x v="0"/>
    <s v="High"/>
    <n v="0.9"/>
    <n v="39724.200000000004"/>
    <n v="1.1111111111111109"/>
    <x v="1"/>
  </r>
  <r>
    <x v="4"/>
    <s v="Company Y"/>
    <s v="Tablet"/>
    <s v="100 mg/ml"/>
    <s v="100 ml"/>
    <n v="206"/>
    <n v="5211"/>
    <d v="2024-05-05T00:00:00"/>
    <x v="4"/>
    <x v="130"/>
    <x v="1"/>
    <x v="6"/>
    <x v="2"/>
    <s v="Low"/>
    <n v="1.2"/>
    <n v="6253.2"/>
    <n v="0.83333333333333337"/>
    <x v="0"/>
  </r>
  <r>
    <x v="3"/>
    <s v="Company X"/>
    <s v="Cream"/>
    <s v="100 mg/ml"/>
    <s v="100 ml"/>
    <n v="1499"/>
    <n v="42504"/>
    <d v="2023-11-02T00:00:00"/>
    <x v="0"/>
    <x v="131"/>
    <x v="2"/>
    <x v="5"/>
    <x v="3"/>
    <s v="High"/>
    <n v="1.1000000000000001"/>
    <n v="46754.400000000001"/>
    <n v="0.90909090909090906"/>
    <x v="0"/>
  </r>
  <r>
    <x v="0"/>
    <s v="Company X"/>
    <s v="Cream"/>
    <s v="500 mg"/>
    <n v="60"/>
    <n v="1503"/>
    <n v="24284"/>
    <d v="2024-06-14T00:00:00"/>
    <x v="4"/>
    <x v="132"/>
    <x v="3"/>
    <x v="2"/>
    <x v="2"/>
    <s v="Medium"/>
    <n v="1.2"/>
    <n v="29140.799999999999"/>
    <n v="0.83333333333333337"/>
    <x v="0"/>
  </r>
  <r>
    <x v="3"/>
    <s v="Company Z"/>
    <s v="Syrup"/>
    <s v="250 mg"/>
    <n v="60"/>
    <n v="1473"/>
    <n v="49653"/>
    <d v="2023-09-23T00:00:00"/>
    <x v="4"/>
    <x v="133"/>
    <x v="3"/>
    <x v="9"/>
    <x v="1"/>
    <s v="High"/>
    <n v="1.2"/>
    <n v="59583.6"/>
    <n v="0.83333333333333337"/>
    <x v="0"/>
  </r>
  <r>
    <x v="4"/>
    <s v="Company V"/>
    <s v="Capsule"/>
    <s v="100 mg/ml"/>
    <s v="10 ml"/>
    <n v="1294"/>
    <n v="14645"/>
    <d v="2024-06-15T00:00:00"/>
    <x v="0"/>
    <x v="134"/>
    <x v="2"/>
    <x v="2"/>
    <x v="2"/>
    <s v="Low"/>
    <n v="1.1000000000000001"/>
    <n v="16109.500000000002"/>
    <n v="0.90909090909090895"/>
    <x v="0"/>
  </r>
  <r>
    <x v="1"/>
    <s v="Company Y"/>
    <s v="Syrup"/>
    <s v="500 mg"/>
    <s v="100 ml"/>
    <n v="1337"/>
    <n v="21269"/>
    <d v="2024-01-13T00:00:00"/>
    <x v="3"/>
    <x v="135"/>
    <x v="0"/>
    <x v="7"/>
    <x v="0"/>
    <s v="Medium"/>
    <n v="1.1000000000000001"/>
    <n v="23395.9"/>
    <n v="0.90909090909090906"/>
    <x v="0"/>
  </r>
  <r>
    <x v="0"/>
    <s v="Company X"/>
    <s v="Tablet"/>
    <s v="100 mg/ml"/>
    <s v="50 g"/>
    <n v="580"/>
    <n v="15529"/>
    <d v="2024-07-18T00:00:00"/>
    <x v="0"/>
    <x v="136"/>
    <x v="1"/>
    <x v="3"/>
    <x v="1"/>
    <s v="Low"/>
    <n v="1.1000000000000001"/>
    <n v="17081.900000000001"/>
    <n v="0.90909090909090906"/>
    <x v="0"/>
  </r>
  <r>
    <x v="4"/>
    <s v="Company V"/>
    <s v="Tablet"/>
    <s v="500 mg"/>
    <n v="60"/>
    <n v="1872"/>
    <n v="30435"/>
    <d v="2023-08-12T00:00:00"/>
    <x v="1"/>
    <x v="137"/>
    <x v="2"/>
    <x v="1"/>
    <x v="1"/>
    <s v="Medium"/>
    <n v="0.9"/>
    <n v="27391.5"/>
    <n v="1.1111111111111112"/>
    <x v="1"/>
  </r>
  <r>
    <x v="3"/>
    <s v="Company W"/>
    <s v="Capsule"/>
    <s v="500 mg"/>
    <s v="10 ml"/>
    <n v="532"/>
    <n v="28042"/>
    <d v="2023-08-05T00:00:00"/>
    <x v="0"/>
    <x v="138"/>
    <x v="0"/>
    <x v="1"/>
    <x v="1"/>
    <s v="Medium"/>
    <n v="1.1000000000000001"/>
    <n v="30846.2"/>
    <n v="0.90909090909090906"/>
    <x v="0"/>
  </r>
  <r>
    <x v="3"/>
    <s v="Company Z"/>
    <s v="Tablet"/>
    <s v="100 mg/ml"/>
    <s v="100 ml"/>
    <n v="181"/>
    <n v="32650"/>
    <d v="2024-05-18T00:00:00"/>
    <x v="4"/>
    <x v="139"/>
    <x v="4"/>
    <x v="6"/>
    <x v="2"/>
    <s v="Medium"/>
    <n v="1.2"/>
    <n v="39180"/>
    <n v="0.83333333333333337"/>
    <x v="0"/>
  </r>
  <r>
    <x v="0"/>
    <s v="Company V"/>
    <s v="Capsule"/>
    <s v="500 mg"/>
    <s v="10 ml"/>
    <n v="422"/>
    <n v="32388"/>
    <d v="2023-12-02T00:00:00"/>
    <x v="3"/>
    <x v="140"/>
    <x v="3"/>
    <x v="4"/>
    <x v="3"/>
    <s v="Medium"/>
    <n v="1.1000000000000001"/>
    <n v="35626.800000000003"/>
    <n v="0.90909090909090906"/>
    <x v="0"/>
  </r>
  <r>
    <x v="4"/>
    <s v="Company V"/>
    <s v="Cream"/>
    <s v="500 mg"/>
    <s v="100 ml"/>
    <n v="892"/>
    <n v="9396"/>
    <d v="2023-12-14T00:00:00"/>
    <x v="0"/>
    <x v="141"/>
    <x v="0"/>
    <x v="4"/>
    <x v="3"/>
    <s v="Low"/>
    <n v="1.1000000000000001"/>
    <n v="10335.6"/>
    <n v="0.90909090909090906"/>
    <x v="0"/>
  </r>
  <r>
    <x v="3"/>
    <s v="Company X"/>
    <s v="Cream"/>
    <s v="250 mg"/>
    <n v="30"/>
    <n v="1964"/>
    <n v="11786"/>
    <d v="2024-05-21T00:00:00"/>
    <x v="2"/>
    <x v="142"/>
    <x v="4"/>
    <x v="6"/>
    <x v="2"/>
    <s v="Low"/>
    <n v="0.95"/>
    <n v="11196.699999999999"/>
    <n v="1.0526315789473686"/>
    <x v="1"/>
  </r>
  <r>
    <x v="2"/>
    <s v="Company Z"/>
    <s v="Tablet"/>
    <s v="250 mg"/>
    <n v="30"/>
    <n v="1698"/>
    <n v="19170"/>
    <d v="2023-07-29T00:00:00"/>
    <x v="3"/>
    <x v="143"/>
    <x v="2"/>
    <x v="3"/>
    <x v="1"/>
    <s v="Low"/>
    <n v="1.1000000000000001"/>
    <n v="21087"/>
    <n v="0.90909090909090906"/>
    <x v="0"/>
  </r>
  <r>
    <x v="0"/>
    <s v="Company X"/>
    <s v="Cream"/>
    <s v="500 mg"/>
    <n v="60"/>
    <n v="1222"/>
    <n v="28574"/>
    <d v="2023-12-19T00:00:00"/>
    <x v="4"/>
    <x v="144"/>
    <x v="0"/>
    <x v="4"/>
    <x v="3"/>
    <s v="Medium"/>
    <n v="1.2"/>
    <n v="34288.799999999996"/>
    <n v="0.83333333333333348"/>
    <x v="0"/>
  </r>
  <r>
    <x v="0"/>
    <s v="Company V"/>
    <s v="Syrup"/>
    <s v="50 mg"/>
    <s v="10 ml"/>
    <n v="604"/>
    <n v="38185"/>
    <d v="2024-03-10T00:00:00"/>
    <x v="0"/>
    <x v="145"/>
    <x v="4"/>
    <x v="8"/>
    <x v="0"/>
    <s v="Medium"/>
    <n v="1.1000000000000001"/>
    <n v="42003.5"/>
    <n v="0.90909090909090906"/>
    <x v="0"/>
  </r>
  <r>
    <x v="1"/>
    <s v="Company Z"/>
    <s v="Cream"/>
    <s v="250 mg"/>
    <s v="50 g"/>
    <n v="1811"/>
    <n v="42397"/>
    <d v="2023-08-08T00:00:00"/>
    <x v="2"/>
    <x v="146"/>
    <x v="3"/>
    <x v="1"/>
    <x v="1"/>
    <s v="High"/>
    <n v="0.95"/>
    <n v="40277.15"/>
    <n v="1.0526315789473684"/>
    <x v="1"/>
  </r>
  <r>
    <x v="2"/>
    <s v="Company Y"/>
    <s v="Injection"/>
    <s v="250 mg"/>
    <n v="60"/>
    <n v="560"/>
    <n v="42407"/>
    <d v="2024-05-14T00:00:00"/>
    <x v="3"/>
    <x v="147"/>
    <x v="2"/>
    <x v="6"/>
    <x v="2"/>
    <s v="High"/>
    <n v="1.1000000000000001"/>
    <n v="46647.700000000004"/>
    <n v="0.90909090909090906"/>
    <x v="0"/>
  </r>
  <r>
    <x v="2"/>
    <s v="Company X"/>
    <s v="Tablet"/>
    <s v="250 mg"/>
    <s v="10 ml"/>
    <n v="862"/>
    <n v="49311"/>
    <d v="2024-03-25T00:00:00"/>
    <x v="3"/>
    <x v="148"/>
    <x v="3"/>
    <x v="8"/>
    <x v="0"/>
    <s v="High"/>
    <n v="1.1000000000000001"/>
    <n v="54242.100000000006"/>
    <n v="0.90909090909090895"/>
    <x v="0"/>
  </r>
  <r>
    <x v="1"/>
    <s v="Company Z"/>
    <s v="Tablet"/>
    <s v="500 mg"/>
    <s v="50 g"/>
    <n v="1017"/>
    <n v="21123"/>
    <d v="2024-03-14T00:00:00"/>
    <x v="1"/>
    <x v="149"/>
    <x v="0"/>
    <x v="8"/>
    <x v="0"/>
    <s v="Medium"/>
    <n v="0.9"/>
    <n v="19010.7"/>
    <n v="1.1111111111111112"/>
    <x v="1"/>
  </r>
  <r>
    <x v="2"/>
    <s v="Company W"/>
    <s v="Cream"/>
    <s v="250 mg"/>
    <n v="30"/>
    <n v="1468"/>
    <n v="32204"/>
    <d v="2024-03-27T00:00:00"/>
    <x v="0"/>
    <x v="150"/>
    <x v="3"/>
    <x v="8"/>
    <x v="0"/>
    <s v="Medium"/>
    <n v="1.1000000000000001"/>
    <n v="35424.400000000001"/>
    <n v="0.90909090909090906"/>
    <x v="0"/>
  </r>
  <r>
    <x v="1"/>
    <s v="Company W"/>
    <s v="Syrup"/>
    <s v="10 mg"/>
    <n v="30"/>
    <n v="1647"/>
    <n v="21201"/>
    <d v="2024-02-08T00:00:00"/>
    <x v="4"/>
    <x v="151"/>
    <x v="0"/>
    <x v="0"/>
    <x v="0"/>
    <s v="Medium"/>
    <n v="1.2"/>
    <n v="25441.200000000001"/>
    <n v="0.83333333333333326"/>
    <x v="0"/>
  </r>
  <r>
    <x v="3"/>
    <s v="Company V"/>
    <s v="Tablet"/>
    <s v="250 mg"/>
    <n v="30"/>
    <n v="254"/>
    <n v="43256"/>
    <d v="2023-08-31T00:00:00"/>
    <x v="1"/>
    <x v="152"/>
    <x v="2"/>
    <x v="1"/>
    <x v="1"/>
    <s v="High"/>
    <n v="0.9"/>
    <n v="38930.400000000001"/>
    <n v="1.1111111111111112"/>
    <x v="1"/>
  </r>
  <r>
    <x v="4"/>
    <s v="Company Z"/>
    <s v="Syrup"/>
    <s v="50 mg"/>
    <s v="10 ml"/>
    <n v="1661"/>
    <n v="8678"/>
    <d v="2024-04-06T00:00:00"/>
    <x v="1"/>
    <x v="153"/>
    <x v="0"/>
    <x v="11"/>
    <x v="2"/>
    <s v="Low"/>
    <n v="0.9"/>
    <n v="7810.2"/>
    <n v="1.1111111111111112"/>
    <x v="1"/>
  </r>
  <r>
    <x v="0"/>
    <s v="Company Y"/>
    <s v="Syrup"/>
    <s v="10 mg"/>
    <s v="100 ml"/>
    <n v="1446"/>
    <n v="49381"/>
    <d v="2024-03-16T00:00:00"/>
    <x v="2"/>
    <x v="154"/>
    <x v="4"/>
    <x v="8"/>
    <x v="0"/>
    <s v="High"/>
    <n v="0.95"/>
    <n v="46911.95"/>
    <n v="1.0526315789473686"/>
    <x v="1"/>
  </r>
  <r>
    <x v="4"/>
    <s v="Company V"/>
    <s v="Syrup"/>
    <s v="10 mg"/>
    <s v="100 ml"/>
    <n v="936"/>
    <n v="48645"/>
    <d v="2023-07-29T00:00:00"/>
    <x v="2"/>
    <x v="155"/>
    <x v="4"/>
    <x v="3"/>
    <x v="1"/>
    <s v="High"/>
    <n v="0.95"/>
    <n v="46212.75"/>
    <n v="1.0526315789473684"/>
    <x v="1"/>
  </r>
  <r>
    <x v="0"/>
    <s v="Company W"/>
    <s v="Injection"/>
    <s v="500 mg"/>
    <n v="30"/>
    <n v="1623"/>
    <n v="21818"/>
    <d v="2024-05-14T00:00:00"/>
    <x v="0"/>
    <x v="156"/>
    <x v="2"/>
    <x v="6"/>
    <x v="2"/>
    <s v="Medium"/>
    <n v="1.1000000000000001"/>
    <n v="23999.800000000003"/>
    <n v="0.90909090909090895"/>
    <x v="0"/>
  </r>
  <r>
    <x v="3"/>
    <s v="Company V"/>
    <s v="Cream"/>
    <s v="50 mg"/>
    <n v="30"/>
    <n v="1318"/>
    <n v="7513"/>
    <d v="2024-07-03T00:00:00"/>
    <x v="0"/>
    <x v="157"/>
    <x v="4"/>
    <x v="3"/>
    <x v="1"/>
    <s v="Low"/>
    <n v="1.1000000000000001"/>
    <n v="8264.3000000000011"/>
    <n v="0.90909090909090895"/>
    <x v="0"/>
  </r>
  <r>
    <x v="2"/>
    <s v="Company V"/>
    <s v="Injection"/>
    <s v="100 mg/ml"/>
    <n v="30"/>
    <n v="123"/>
    <n v="4294"/>
    <d v="2024-01-09T00:00:00"/>
    <x v="2"/>
    <x v="158"/>
    <x v="1"/>
    <x v="7"/>
    <x v="0"/>
    <s v="Low"/>
    <n v="0.95"/>
    <n v="4079.2999999999997"/>
    <n v="1.0526315789473686"/>
    <x v="1"/>
  </r>
  <r>
    <x v="4"/>
    <s v="Company Y"/>
    <s v="Tablet"/>
    <s v="50 mg"/>
    <n v="30"/>
    <n v="1466"/>
    <n v="24941"/>
    <d v="2024-07-22T00:00:00"/>
    <x v="1"/>
    <x v="159"/>
    <x v="4"/>
    <x v="3"/>
    <x v="1"/>
    <s v="Medium"/>
    <n v="0.9"/>
    <n v="22446.9"/>
    <n v="1.1111111111111109"/>
    <x v="1"/>
  </r>
  <r>
    <x v="4"/>
    <s v="Company Z"/>
    <s v="Cream"/>
    <s v="50 mg"/>
    <n v="60"/>
    <n v="390"/>
    <n v="46339"/>
    <d v="2023-08-10T00:00:00"/>
    <x v="1"/>
    <x v="160"/>
    <x v="0"/>
    <x v="1"/>
    <x v="1"/>
    <s v="High"/>
    <n v="0.9"/>
    <n v="41705.1"/>
    <n v="1.1111111111111112"/>
    <x v="1"/>
  </r>
  <r>
    <x v="2"/>
    <s v="Company V"/>
    <s v="Syrup"/>
    <s v="250 mg"/>
    <s v="50 g"/>
    <n v="1586"/>
    <n v="9800"/>
    <d v="2024-05-13T00:00:00"/>
    <x v="2"/>
    <x v="161"/>
    <x v="4"/>
    <x v="6"/>
    <x v="2"/>
    <s v="Low"/>
    <n v="0.95"/>
    <n v="9310"/>
    <n v="1.0526315789473684"/>
    <x v="1"/>
  </r>
  <r>
    <x v="4"/>
    <s v="Company Y"/>
    <s v="Syrup"/>
    <s v="500 mg"/>
    <s v="10 ml"/>
    <n v="739"/>
    <n v="48204"/>
    <d v="2024-02-06T00:00:00"/>
    <x v="4"/>
    <x v="162"/>
    <x v="2"/>
    <x v="0"/>
    <x v="0"/>
    <s v="High"/>
    <n v="1.2"/>
    <n v="57844.799999999996"/>
    <n v="0.83333333333333337"/>
    <x v="0"/>
  </r>
  <r>
    <x v="2"/>
    <s v="Company Y"/>
    <s v="Capsule"/>
    <s v="10 mg"/>
    <s v="10 ml"/>
    <n v="1267"/>
    <n v="19752"/>
    <d v="2024-04-18T00:00:00"/>
    <x v="3"/>
    <x v="163"/>
    <x v="3"/>
    <x v="11"/>
    <x v="2"/>
    <s v="Low"/>
    <n v="1.1000000000000001"/>
    <n v="21727.200000000001"/>
    <n v="0.90909090909090906"/>
    <x v="0"/>
  </r>
  <r>
    <x v="2"/>
    <s v="Company V"/>
    <s v="Tablet"/>
    <s v="250 mg"/>
    <n v="30"/>
    <n v="1834"/>
    <n v="37074"/>
    <d v="2024-07-12T00:00:00"/>
    <x v="2"/>
    <x v="164"/>
    <x v="3"/>
    <x v="3"/>
    <x v="1"/>
    <s v="Medium"/>
    <n v="0.95"/>
    <n v="35220.299999999996"/>
    <n v="1.0526315789473686"/>
    <x v="1"/>
  </r>
  <r>
    <x v="3"/>
    <s v="Company Y"/>
    <s v="Cream"/>
    <s v="250 mg"/>
    <s v="10 ml"/>
    <n v="667"/>
    <n v="7794"/>
    <d v="2024-04-02T00:00:00"/>
    <x v="1"/>
    <x v="165"/>
    <x v="1"/>
    <x v="11"/>
    <x v="2"/>
    <s v="Low"/>
    <n v="0.9"/>
    <n v="7014.6"/>
    <n v="1.1111111111111112"/>
    <x v="1"/>
  </r>
  <r>
    <x v="4"/>
    <s v="Company Z"/>
    <s v="Injection"/>
    <s v="10 mg"/>
    <n v="60"/>
    <n v="1360"/>
    <n v="33904"/>
    <d v="2023-08-30T00:00:00"/>
    <x v="1"/>
    <x v="166"/>
    <x v="2"/>
    <x v="1"/>
    <x v="1"/>
    <s v="Medium"/>
    <n v="0.9"/>
    <n v="30513.600000000002"/>
    <n v="1.1111111111111109"/>
    <x v="1"/>
  </r>
  <r>
    <x v="1"/>
    <s v="Company X"/>
    <s v="Tablet"/>
    <s v="50 mg"/>
    <n v="60"/>
    <n v="1124"/>
    <n v="15758"/>
    <d v="2023-11-01T00:00:00"/>
    <x v="4"/>
    <x v="167"/>
    <x v="2"/>
    <x v="5"/>
    <x v="3"/>
    <s v="Low"/>
    <n v="1.2"/>
    <n v="18909.599999999999"/>
    <n v="0.83333333333333337"/>
    <x v="0"/>
  </r>
  <r>
    <x v="1"/>
    <s v="Company W"/>
    <s v="Tablet"/>
    <s v="250 mg"/>
    <n v="60"/>
    <n v="236"/>
    <n v="46906"/>
    <d v="2023-08-26T00:00:00"/>
    <x v="3"/>
    <x v="168"/>
    <x v="1"/>
    <x v="1"/>
    <x v="1"/>
    <s v="High"/>
    <n v="1.1000000000000001"/>
    <n v="51596.600000000006"/>
    <n v="0.90909090909090895"/>
    <x v="0"/>
  </r>
  <r>
    <x v="2"/>
    <s v="Company X"/>
    <s v="Tablet"/>
    <s v="50 mg"/>
    <n v="60"/>
    <n v="1134"/>
    <n v="13081"/>
    <d v="2024-03-17T00:00:00"/>
    <x v="1"/>
    <x v="169"/>
    <x v="0"/>
    <x v="8"/>
    <x v="0"/>
    <s v="Low"/>
    <n v="0.9"/>
    <n v="11772.9"/>
    <n v="1.1111111111111112"/>
    <x v="1"/>
  </r>
  <r>
    <x v="2"/>
    <s v="Company Z"/>
    <s v="Injection"/>
    <s v="250 mg"/>
    <s v="100 ml"/>
    <n v="1262"/>
    <n v="23680"/>
    <d v="2023-08-05T00:00:00"/>
    <x v="1"/>
    <x v="170"/>
    <x v="4"/>
    <x v="1"/>
    <x v="1"/>
    <s v="Medium"/>
    <n v="0.9"/>
    <n v="21312"/>
    <n v="1.1111111111111112"/>
    <x v="1"/>
  </r>
  <r>
    <x v="0"/>
    <s v="Company Z"/>
    <s v="Capsule"/>
    <s v="100 mg/ml"/>
    <s v="10 ml"/>
    <n v="153"/>
    <n v="19965"/>
    <d v="2023-10-10T00:00:00"/>
    <x v="4"/>
    <x v="171"/>
    <x v="2"/>
    <x v="10"/>
    <x v="3"/>
    <s v="Low"/>
    <n v="1.2"/>
    <n v="23958"/>
    <n v="0.83333333333333337"/>
    <x v="0"/>
  </r>
  <r>
    <x v="3"/>
    <s v="Company W"/>
    <s v="Injection"/>
    <s v="500 mg"/>
    <s v="50 g"/>
    <n v="1159"/>
    <n v="49694"/>
    <d v="2024-04-29T00:00:00"/>
    <x v="0"/>
    <x v="172"/>
    <x v="4"/>
    <x v="11"/>
    <x v="2"/>
    <s v="High"/>
    <n v="1.1000000000000001"/>
    <n v="54663.4"/>
    <n v="0.90909090909090906"/>
    <x v="0"/>
  </r>
  <r>
    <x v="1"/>
    <s v="Company Z"/>
    <s v="Injection"/>
    <s v="500 mg"/>
    <n v="30"/>
    <n v="575"/>
    <n v="42355"/>
    <d v="2023-08-18T00:00:00"/>
    <x v="0"/>
    <x v="173"/>
    <x v="2"/>
    <x v="1"/>
    <x v="1"/>
    <s v="High"/>
    <n v="1.1000000000000001"/>
    <n v="46590.500000000007"/>
    <n v="0.90909090909090895"/>
    <x v="0"/>
  </r>
  <r>
    <x v="3"/>
    <s v="Company X"/>
    <s v="Capsule"/>
    <s v="250 mg"/>
    <n v="60"/>
    <n v="189"/>
    <n v="45637"/>
    <d v="2023-08-04T00:00:00"/>
    <x v="1"/>
    <x v="174"/>
    <x v="2"/>
    <x v="1"/>
    <x v="1"/>
    <s v="High"/>
    <n v="0.9"/>
    <n v="41073.300000000003"/>
    <n v="1.1111111111111109"/>
    <x v="1"/>
  </r>
  <r>
    <x v="1"/>
    <s v="Company W"/>
    <s v="Capsule"/>
    <s v="250 mg"/>
    <n v="60"/>
    <n v="1132"/>
    <n v="46407"/>
    <d v="2024-01-12T00:00:00"/>
    <x v="3"/>
    <x v="175"/>
    <x v="0"/>
    <x v="7"/>
    <x v="0"/>
    <s v="High"/>
    <n v="1.1000000000000001"/>
    <n v="51047.700000000004"/>
    <n v="0.90909090909090906"/>
    <x v="0"/>
  </r>
  <r>
    <x v="2"/>
    <s v="Company X"/>
    <s v="Injection"/>
    <s v="100 mg/ml"/>
    <s v="100 ml"/>
    <n v="411"/>
    <n v="37320"/>
    <d v="2024-05-19T00:00:00"/>
    <x v="4"/>
    <x v="176"/>
    <x v="0"/>
    <x v="6"/>
    <x v="2"/>
    <s v="Medium"/>
    <n v="1.2"/>
    <n v="44784"/>
    <n v="0.83333333333333337"/>
    <x v="0"/>
  </r>
  <r>
    <x v="4"/>
    <s v="Company Z"/>
    <s v="Syrup"/>
    <s v="50 mg"/>
    <s v="100 ml"/>
    <n v="165"/>
    <n v="26575"/>
    <d v="2023-12-13T00:00:00"/>
    <x v="0"/>
    <x v="177"/>
    <x v="2"/>
    <x v="4"/>
    <x v="3"/>
    <s v="Medium"/>
    <n v="1.1000000000000001"/>
    <n v="29232.500000000004"/>
    <n v="0.90909090909090895"/>
    <x v="0"/>
  </r>
  <r>
    <x v="3"/>
    <s v="Company Y"/>
    <s v="Injection"/>
    <s v="100 mg/ml"/>
    <s v="100 ml"/>
    <n v="1178"/>
    <n v="33005"/>
    <d v="2023-09-15T00:00:00"/>
    <x v="3"/>
    <x v="178"/>
    <x v="4"/>
    <x v="9"/>
    <x v="1"/>
    <s v="Medium"/>
    <n v="1.1000000000000001"/>
    <n v="36305.5"/>
    <n v="0.90909090909090906"/>
    <x v="0"/>
  </r>
  <r>
    <x v="2"/>
    <s v="Company Y"/>
    <s v="Tablet"/>
    <s v="100 mg/ml"/>
    <s v="100 ml"/>
    <n v="526"/>
    <n v="43392"/>
    <d v="2024-01-10T00:00:00"/>
    <x v="1"/>
    <x v="179"/>
    <x v="4"/>
    <x v="7"/>
    <x v="0"/>
    <s v="High"/>
    <n v="0.9"/>
    <n v="39052.800000000003"/>
    <n v="1.1111111111111109"/>
    <x v="1"/>
  </r>
  <r>
    <x v="4"/>
    <s v="Company Y"/>
    <s v="Syrup"/>
    <s v="250 mg"/>
    <s v="100 ml"/>
    <n v="1084"/>
    <n v="34603"/>
    <d v="2023-11-20T00:00:00"/>
    <x v="0"/>
    <x v="180"/>
    <x v="2"/>
    <x v="5"/>
    <x v="3"/>
    <s v="Medium"/>
    <n v="1.1000000000000001"/>
    <n v="38063.300000000003"/>
    <n v="0.90909090909090906"/>
    <x v="0"/>
  </r>
  <r>
    <x v="4"/>
    <s v="Company Y"/>
    <s v="Capsule"/>
    <s v="50 mg"/>
    <s v="50 g"/>
    <n v="574"/>
    <n v="27787"/>
    <d v="2023-09-26T00:00:00"/>
    <x v="4"/>
    <x v="181"/>
    <x v="2"/>
    <x v="9"/>
    <x v="1"/>
    <s v="Medium"/>
    <n v="1.2"/>
    <n v="33344.400000000001"/>
    <n v="0.83333333333333326"/>
    <x v="0"/>
  </r>
  <r>
    <x v="3"/>
    <s v="Company Y"/>
    <s v="Tablet"/>
    <s v="100 mg/ml"/>
    <s v="100 ml"/>
    <n v="1915"/>
    <n v="41152"/>
    <d v="2023-11-18T00:00:00"/>
    <x v="4"/>
    <x v="182"/>
    <x v="3"/>
    <x v="5"/>
    <x v="3"/>
    <s v="High"/>
    <n v="1.2"/>
    <n v="49382.400000000001"/>
    <n v="0.83333333333333326"/>
    <x v="0"/>
  </r>
  <r>
    <x v="1"/>
    <s v="Company V"/>
    <s v="Cream"/>
    <s v="50 mg"/>
    <s v="100 ml"/>
    <n v="686"/>
    <n v="47207"/>
    <d v="2024-05-08T00:00:00"/>
    <x v="0"/>
    <x v="183"/>
    <x v="1"/>
    <x v="6"/>
    <x v="2"/>
    <s v="High"/>
    <n v="1.1000000000000001"/>
    <n v="51927.700000000004"/>
    <n v="0.90909090909090906"/>
    <x v="0"/>
  </r>
  <r>
    <x v="2"/>
    <s v="Company V"/>
    <s v="Injection"/>
    <s v="100 mg/ml"/>
    <s v="10 ml"/>
    <n v="489"/>
    <n v="31891"/>
    <d v="2024-07-08T00:00:00"/>
    <x v="0"/>
    <x v="184"/>
    <x v="4"/>
    <x v="3"/>
    <x v="1"/>
    <s v="Medium"/>
    <n v="1.1000000000000001"/>
    <n v="35080.100000000006"/>
    <n v="0.90909090909090895"/>
    <x v="0"/>
  </r>
  <r>
    <x v="3"/>
    <s v="Company Y"/>
    <s v="Syrup"/>
    <s v="500 mg"/>
    <n v="60"/>
    <n v="1995"/>
    <n v="25257"/>
    <d v="2023-11-23T00:00:00"/>
    <x v="0"/>
    <x v="185"/>
    <x v="2"/>
    <x v="5"/>
    <x v="3"/>
    <s v="Medium"/>
    <n v="1.1000000000000001"/>
    <n v="27782.7"/>
    <n v="0.90909090909090906"/>
    <x v="0"/>
  </r>
  <r>
    <x v="1"/>
    <s v="Company X"/>
    <s v="Syrup"/>
    <s v="500 mg"/>
    <s v="100 ml"/>
    <n v="1454"/>
    <n v="28319"/>
    <d v="2024-04-26T00:00:00"/>
    <x v="2"/>
    <x v="186"/>
    <x v="0"/>
    <x v="11"/>
    <x v="2"/>
    <s v="Medium"/>
    <n v="0.95"/>
    <n v="26903.05"/>
    <n v="1.0526315789473684"/>
    <x v="1"/>
  </r>
  <r>
    <x v="2"/>
    <s v="Company W"/>
    <s v="Tablet"/>
    <s v="10 mg"/>
    <s v="10 ml"/>
    <n v="221"/>
    <n v="20149"/>
    <d v="2023-09-16T00:00:00"/>
    <x v="3"/>
    <x v="187"/>
    <x v="2"/>
    <x v="9"/>
    <x v="1"/>
    <s v="Medium"/>
    <n v="1.1000000000000001"/>
    <n v="22163.9"/>
    <n v="0.90909090909090906"/>
    <x v="0"/>
  </r>
  <r>
    <x v="0"/>
    <s v="Company W"/>
    <s v="Tablet"/>
    <s v="100 mg/ml"/>
    <s v="100 ml"/>
    <n v="449"/>
    <n v="20979"/>
    <d v="2024-01-12T00:00:00"/>
    <x v="3"/>
    <x v="188"/>
    <x v="2"/>
    <x v="7"/>
    <x v="0"/>
    <s v="Medium"/>
    <n v="1.1000000000000001"/>
    <n v="23076.9"/>
    <n v="0.90909090909090906"/>
    <x v="0"/>
  </r>
  <r>
    <x v="0"/>
    <s v="Company Z"/>
    <s v="Injection"/>
    <s v="500 mg"/>
    <n v="60"/>
    <n v="1180"/>
    <n v="24090"/>
    <d v="2024-03-06T00:00:00"/>
    <x v="0"/>
    <x v="189"/>
    <x v="4"/>
    <x v="8"/>
    <x v="0"/>
    <s v="Medium"/>
    <n v="1.1000000000000001"/>
    <n v="26499.000000000004"/>
    <n v="0.90909090909090895"/>
    <x v="0"/>
  </r>
  <r>
    <x v="3"/>
    <s v="Company W"/>
    <s v="Tablet"/>
    <s v="50 mg"/>
    <n v="30"/>
    <n v="898"/>
    <n v="10545"/>
    <d v="2023-08-21T00:00:00"/>
    <x v="2"/>
    <x v="190"/>
    <x v="2"/>
    <x v="1"/>
    <x v="1"/>
    <s v="Low"/>
    <n v="0.95"/>
    <n v="10017.75"/>
    <n v="1.0526315789473684"/>
    <x v="1"/>
  </r>
  <r>
    <x v="3"/>
    <s v="Company W"/>
    <s v="Cream"/>
    <s v="10 mg"/>
    <n v="60"/>
    <n v="967"/>
    <n v="37020"/>
    <d v="2024-05-10T00:00:00"/>
    <x v="2"/>
    <x v="191"/>
    <x v="4"/>
    <x v="6"/>
    <x v="2"/>
    <s v="Medium"/>
    <n v="0.95"/>
    <n v="35169"/>
    <n v="1.0526315789473684"/>
    <x v="1"/>
  </r>
  <r>
    <x v="3"/>
    <s v="Company W"/>
    <s v="Injection"/>
    <s v="50 mg"/>
    <n v="60"/>
    <n v="909"/>
    <n v="12714"/>
    <d v="2024-02-18T00:00:00"/>
    <x v="1"/>
    <x v="192"/>
    <x v="3"/>
    <x v="0"/>
    <x v="0"/>
    <s v="Low"/>
    <n v="0.9"/>
    <n v="11442.6"/>
    <n v="1.1111111111111112"/>
    <x v="1"/>
  </r>
  <r>
    <x v="3"/>
    <s v="Company Z"/>
    <s v="Capsule"/>
    <s v="100 mg/ml"/>
    <s v="100 ml"/>
    <n v="654"/>
    <n v="8859"/>
    <d v="2023-12-01T00:00:00"/>
    <x v="2"/>
    <x v="193"/>
    <x v="1"/>
    <x v="4"/>
    <x v="3"/>
    <s v="Low"/>
    <n v="0.95"/>
    <n v="8416.0499999999993"/>
    <n v="1.0526315789473686"/>
    <x v="1"/>
  </r>
  <r>
    <x v="2"/>
    <s v="Company V"/>
    <s v="Injection"/>
    <s v="500 mg"/>
    <n v="30"/>
    <n v="883"/>
    <n v="14721"/>
    <d v="2023-09-24T00:00:00"/>
    <x v="0"/>
    <x v="194"/>
    <x v="0"/>
    <x v="9"/>
    <x v="1"/>
    <s v="Low"/>
    <n v="1.1000000000000001"/>
    <n v="16193.100000000002"/>
    <n v="0.90909090909090895"/>
    <x v="0"/>
  </r>
  <r>
    <x v="0"/>
    <s v="Company W"/>
    <s v="Cream"/>
    <s v="100 mg/ml"/>
    <s v="100 ml"/>
    <n v="565"/>
    <n v="4821"/>
    <d v="2024-01-30T00:00:00"/>
    <x v="3"/>
    <x v="195"/>
    <x v="0"/>
    <x v="7"/>
    <x v="0"/>
    <s v="Low"/>
    <n v="1.1000000000000001"/>
    <n v="5303.1"/>
    <n v="0.90909090909090906"/>
    <x v="0"/>
  </r>
  <r>
    <x v="0"/>
    <s v="Company V"/>
    <s v="Capsule"/>
    <s v="250 mg"/>
    <s v="50 g"/>
    <n v="933"/>
    <n v="26268"/>
    <d v="2024-05-07T00:00:00"/>
    <x v="4"/>
    <x v="196"/>
    <x v="1"/>
    <x v="6"/>
    <x v="2"/>
    <s v="Medium"/>
    <n v="1.2"/>
    <n v="31521.599999999999"/>
    <n v="0.83333333333333337"/>
    <x v="0"/>
  </r>
  <r>
    <x v="2"/>
    <s v="Company W"/>
    <s v="Injection"/>
    <s v="100 mg/ml"/>
    <s v="10 ml"/>
    <n v="1793"/>
    <n v="12451"/>
    <d v="2024-06-24T00:00:00"/>
    <x v="1"/>
    <x v="197"/>
    <x v="3"/>
    <x v="2"/>
    <x v="2"/>
    <s v="Low"/>
    <n v="0.9"/>
    <n v="11205.9"/>
    <n v="1.1111111111111112"/>
    <x v="1"/>
  </r>
  <r>
    <x v="1"/>
    <s v="Company V"/>
    <s v="Syrup"/>
    <s v="500 mg"/>
    <s v="100 ml"/>
    <n v="697"/>
    <n v="19171"/>
    <d v="2024-02-25T00:00:00"/>
    <x v="2"/>
    <x v="198"/>
    <x v="2"/>
    <x v="0"/>
    <x v="0"/>
    <s v="Low"/>
    <n v="0.95"/>
    <n v="18212.45"/>
    <n v="1.0526315789473684"/>
    <x v="1"/>
  </r>
  <r>
    <x v="4"/>
    <s v="Company V"/>
    <s v="Cream"/>
    <s v="250 mg"/>
    <n v="30"/>
    <n v="379"/>
    <n v="45953"/>
    <d v="2023-11-01T00:00:00"/>
    <x v="2"/>
    <x v="199"/>
    <x v="4"/>
    <x v="5"/>
    <x v="3"/>
    <s v="High"/>
    <n v="0.95"/>
    <n v="43655.35"/>
    <n v="1.0526315789473684"/>
    <x v="1"/>
  </r>
  <r>
    <x v="4"/>
    <s v="Company Y"/>
    <s v="Injection"/>
    <s v="10 mg"/>
    <n v="60"/>
    <n v="1640"/>
    <n v="18487"/>
    <d v="2023-10-05T00:00:00"/>
    <x v="0"/>
    <x v="200"/>
    <x v="0"/>
    <x v="10"/>
    <x v="3"/>
    <s v="Low"/>
    <n v="1.1000000000000001"/>
    <n v="20335.7"/>
    <n v="0.90909090909090906"/>
    <x v="0"/>
  </r>
  <r>
    <x v="2"/>
    <s v="Company X"/>
    <s v="Syrup"/>
    <s v="500 mg"/>
    <s v="10 ml"/>
    <n v="244"/>
    <n v="29056"/>
    <d v="2024-01-07T00:00:00"/>
    <x v="2"/>
    <x v="201"/>
    <x v="4"/>
    <x v="7"/>
    <x v="0"/>
    <s v="Medium"/>
    <n v="0.95"/>
    <n v="27603.199999999997"/>
    <n v="1.0526315789473686"/>
    <x v="1"/>
  </r>
  <r>
    <x v="2"/>
    <s v="Company Z"/>
    <s v="Tablet"/>
    <s v="10 mg"/>
    <n v="60"/>
    <n v="482"/>
    <n v="4566"/>
    <d v="2023-09-30T00:00:00"/>
    <x v="2"/>
    <x v="202"/>
    <x v="3"/>
    <x v="9"/>
    <x v="1"/>
    <s v="Low"/>
    <n v="0.95"/>
    <n v="4337.7"/>
    <n v="1.0526315789473684"/>
    <x v="1"/>
  </r>
  <r>
    <x v="0"/>
    <s v="Company Y"/>
    <s v="Injection"/>
    <s v="500 mg"/>
    <n v="60"/>
    <n v="982"/>
    <n v="5040"/>
    <d v="2023-12-30T00:00:00"/>
    <x v="2"/>
    <x v="203"/>
    <x v="1"/>
    <x v="4"/>
    <x v="3"/>
    <s v="Low"/>
    <n v="0.95"/>
    <n v="4788"/>
    <n v="1.0526315789473684"/>
    <x v="1"/>
  </r>
  <r>
    <x v="4"/>
    <s v="Company X"/>
    <s v="Tablet"/>
    <s v="100 mg/ml"/>
    <s v="100 ml"/>
    <n v="401"/>
    <n v="33003"/>
    <d v="2023-11-10T00:00:00"/>
    <x v="2"/>
    <x v="204"/>
    <x v="1"/>
    <x v="5"/>
    <x v="3"/>
    <s v="Medium"/>
    <n v="0.95"/>
    <n v="31352.85"/>
    <n v="1.0526315789473684"/>
    <x v="1"/>
  </r>
  <r>
    <x v="2"/>
    <s v="Company X"/>
    <s v="Capsule"/>
    <s v="100 mg/ml"/>
    <n v="60"/>
    <n v="1315"/>
    <n v="13838"/>
    <d v="2024-02-07T00:00:00"/>
    <x v="0"/>
    <x v="205"/>
    <x v="0"/>
    <x v="0"/>
    <x v="0"/>
    <s v="Low"/>
    <n v="1.1000000000000001"/>
    <n v="15221.800000000001"/>
    <n v="0.90909090909090906"/>
    <x v="0"/>
  </r>
  <r>
    <x v="0"/>
    <s v="Company W"/>
    <s v="Capsule"/>
    <s v="500 mg"/>
    <s v="10 ml"/>
    <n v="1986"/>
    <n v="21856"/>
    <d v="2024-01-15T00:00:00"/>
    <x v="0"/>
    <x v="206"/>
    <x v="2"/>
    <x v="7"/>
    <x v="0"/>
    <s v="Medium"/>
    <n v="1.1000000000000001"/>
    <n v="24041.600000000002"/>
    <n v="0.90909090909090906"/>
    <x v="0"/>
  </r>
  <r>
    <x v="3"/>
    <s v="Company W"/>
    <s v="Cream"/>
    <s v="10 mg"/>
    <s v="100 ml"/>
    <n v="626"/>
    <n v="41156"/>
    <d v="2023-11-23T00:00:00"/>
    <x v="4"/>
    <x v="207"/>
    <x v="2"/>
    <x v="5"/>
    <x v="3"/>
    <s v="High"/>
    <n v="1.2"/>
    <n v="49387.199999999997"/>
    <n v="0.83333333333333337"/>
    <x v="0"/>
  </r>
  <r>
    <x v="4"/>
    <s v="Company V"/>
    <s v="Tablet"/>
    <s v="50 mg"/>
    <n v="30"/>
    <n v="817"/>
    <n v="41978"/>
    <d v="2023-10-24T00:00:00"/>
    <x v="3"/>
    <x v="208"/>
    <x v="0"/>
    <x v="10"/>
    <x v="3"/>
    <s v="High"/>
    <n v="1.1000000000000001"/>
    <n v="46175.8"/>
    <n v="0.90909090909090906"/>
    <x v="0"/>
  </r>
  <r>
    <x v="3"/>
    <s v="Company W"/>
    <s v="Syrup"/>
    <s v="50 mg"/>
    <s v="10 ml"/>
    <n v="1540"/>
    <n v="46616"/>
    <d v="2024-05-12T00:00:00"/>
    <x v="3"/>
    <x v="209"/>
    <x v="0"/>
    <x v="6"/>
    <x v="2"/>
    <s v="High"/>
    <n v="1.1000000000000001"/>
    <n v="51277.600000000006"/>
    <n v="0.90909090909090895"/>
    <x v="0"/>
  </r>
  <r>
    <x v="0"/>
    <s v="Company Y"/>
    <s v="Cream"/>
    <s v="50 mg"/>
    <n v="60"/>
    <n v="1352"/>
    <n v="9133"/>
    <d v="2024-01-11T00:00:00"/>
    <x v="1"/>
    <x v="210"/>
    <x v="4"/>
    <x v="7"/>
    <x v="0"/>
    <s v="Low"/>
    <n v="0.9"/>
    <n v="8219.7000000000007"/>
    <n v="1.1111111111111109"/>
    <x v="1"/>
  </r>
  <r>
    <x v="2"/>
    <s v="Company X"/>
    <s v="Injection"/>
    <s v="100 mg/ml"/>
    <s v="10 ml"/>
    <n v="428"/>
    <n v="26054"/>
    <d v="2023-09-10T00:00:00"/>
    <x v="2"/>
    <x v="211"/>
    <x v="2"/>
    <x v="9"/>
    <x v="1"/>
    <s v="Medium"/>
    <n v="0.95"/>
    <n v="24751.3"/>
    <n v="1.0526315789473684"/>
    <x v="1"/>
  </r>
  <r>
    <x v="4"/>
    <s v="Company Z"/>
    <s v="Injection"/>
    <s v="250 mg"/>
    <n v="60"/>
    <n v="1934"/>
    <n v="41356"/>
    <d v="2024-04-21T00:00:00"/>
    <x v="0"/>
    <x v="212"/>
    <x v="1"/>
    <x v="11"/>
    <x v="2"/>
    <s v="High"/>
    <n v="1.1000000000000001"/>
    <n v="45491.600000000006"/>
    <n v="0.90909090909090895"/>
    <x v="0"/>
  </r>
  <r>
    <x v="2"/>
    <s v="Company Z"/>
    <s v="Capsule"/>
    <s v="10 mg"/>
    <s v="50 g"/>
    <n v="1826"/>
    <n v="2719"/>
    <d v="2024-01-06T00:00:00"/>
    <x v="0"/>
    <x v="213"/>
    <x v="4"/>
    <x v="7"/>
    <x v="0"/>
    <s v="Low"/>
    <n v="1.1000000000000001"/>
    <n v="2990.9"/>
    <n v="0.90909090909090906"/>
    <x v="0"/>
  </r>
  <r>
    <x v="1"/>
    <s v="Company Z"/>
    <s v="Tablet"/>
    <s v="50 mg"/>
    <s v="10 ml"/>
    <n v="594"/>
    <n v="11887"/>
    <d v="2023-08-28T00:00:00"/>
    <x v="1"/>
    <x v="214"/>
    <x v="3"/>
    <x v="1"/>
    <x v="1"/>
    <s v="Low"/>
    <n v="0.9"/>
    <n v="10698.300000000001"/>
    <n v="1.1111111111111109"/>
    <x v="1"/>
  </r>
  <r>
    <x v="4"/>
    <s v="Company W"/>
    <s v="Injection"/>
    <s v="250 mg"/>
    <s v="50 g"/>
    <n v="105"/>
    <n v="36153"/>
    <d v="2024-07-26T00:00:00"/>
    <x v="3"/>
    <x v="215"/>
    <x v="2"/>
    <x v="3"/>
    <x v="1"/>
    <s v="Medium"/>
    <n v="1.1000000000000001"/>
    <n v="39768.300000000003"/>
    <n v="0.90909090909090906"/>
    <x v="0"/>
  </r>
  <r>
    <x v="2"/>
    <s v="Company W"/>
    <s v="Tablet"/>
    <s v="250 mg"/>
    <s v="50 g"/>
    <n v="1169"/>
    <n v="21685"/>
    <d v="2023-11-22T00:00:00"/>
    <x v="0"/>
    <x v="216"/>
    <x v="0"/>
    <x v="5"/>
    <x v="3"/>
    <s v="Medium"/>
    <n v="1.1000000000000001"/>
    <n v="23853.500000000004"/>
    <n v="0.90909090909090895"/>
    <x v="0"/>
  </r>
  <r>
    <x v="3"/>
    <s v="Company Z"/>
    <s v="Tablet"/>
    <s v="500 mg"/>
    <n v="30"/>
    <n v="1463"/>
    <n v="49601"/>
    <d v="2023-10-01T00:00:00"/>
    <x v="1"/>
    <x v="217"/>
    <x v="4"/>
    <x v="10"/>
    <x v="3"/>
    <s v="High"/>
    <n v="0.9"/>
    <n v="44640.9"/>
    <n v="1.1111111111111112"/>
    <x v="1"/>
  </r>
  <r>
    <x v="2"/>
    <s v="Company W"/>
    <s v="Tablet"/>
    <s v="250 mg"/>
    <s v="50 g"/>
    <n v="1091"/>
    <n v="15021"/>
    <d v="2024-06-15T00:00:00"/>
    <x v="4"/>
    <x v="218"/>
    <x v="1"/>
    <x v="2"/>
    <x v="2"/>
    <s v="Low"/>
    <n v="1.2"/>
    <n v="18025.2"/>
    <n v="0.83333333333333326"/>
    <x v="0"/>
  </r>
  <r>
    <x v="2"/>
    <s v="Company Z"/>
    <s v="Injection"/>
    <s v="50 mg"/>
    <s v="10 ml"/>
    <n v="230"/>
    <n v="15353"/>
    <d v="2024-05-02T00:00:00"/>
    <x v="2"/>
    <x v="219"/>
    <x v="4"/>
    <x v="6"/>
    <x v="2"/>
    <s v="Low"/>
    <n v="0.95"/>
    <n v="14585.349999999999"/>
    <n v="1.0526315789473686"/>
    <x v="1"/>
  </r>
  <r>
    <x v="1"/>
    <s v="Company X"/>
    <s v="Cream"/>
    <s v="500 mg"/>
    <n v="30"/>
    <n v="1603"/>
    <n v="46470"/>
    <d v="2023-12-14T00:00:00"/>
    <x v="1"/>
    <x v="220"/>
    <x v="4"/>
    <x v="4"/>
    <x v="3"/>
    <s v="High"/>
    <n v="0.9"/>
    <n v="41823"/>
    <n v="1.1111111111111112"/>
    <x v="1"/>
  </r>
  <r>
    <x v="2"/>
    <s v="Company Y"/>
    <s v="Capsule"/>
    <s v="100 mg/ml"/>
    <n v="60"/>
    <n v="522"/>
    <n v="32783"/>
    <d v="2024-07-27T00:00:00"/>
    <x v="1"/>
    <x v="221"/>
    <x v="4"/>
    <x v="3"/>
    <x v="1"/>
    <s v="Medium"/>
    <n v="0.9"/>
    <n v="29504.7"/>
    <n v="1.1111111111111112"/>
    <x v="1"/>
  </r>
  <r>
    <x v="3"/>
    <s v="Company W"/>
    <s v="Cream"/>
    <s v="50 mg"/>
    <s v="100 ml"/>
    <n v="302"/>
    <n v="9722"/>
    <d v="2024-03-11T00:00:00"/>
    <x v="3"/>
    <x v="222"/>
    <x v="3"/>
    <x v="8"/>
    <x v="0"/>
    <s v="Low"/>
    <n v="1.1000000000000001"/>
    <n v="10694.2"/>
    <n v="0.90909090909090906"/>
    <x v="0"/>
  </r>
  <r>
    <x v="1"/>
    <s v="Company V"/>
    <s v="Tablet"/>
    <s v="250 mg"/>
    <s v="10 ml"/>
    <n v="664"/>
    <n v="32835"/>
    <d v="2023-12-16T00:00:00"/>
    <x v="4"/>
    <x v="223"/>
    <x v="2"/>
    <x v="4"/>
    <x v="3"/>
    <s v="Medium"/>
    <n v="1.2"/>
    <n v="39402"/>
    <n v="0.83333333333333337"/>
    <x v="0"/>
  </r>
  <r>
    <x v="0"/>
    <s v="Company V"/>
    <s v="Tablet"/>
    <s v="500 mg"/>
    <n v="60"/>
    <n v="1701"/>
    <n v="36720"/>
    <d v="2024-01-17T00:00:00"/>
    <x v="2"/>
    <x v="224"/>
    <x v="4"/>
    <x v="7"/>
    <x v="0"/>
    <s v="Medium"/>
    <n v="0.95"/>
    <n v="34884"/>
    <n v="1.0526315789473684"/>
    <x v="1"/>
  </r>
  <r>
    <x v="0"/>
    <s v="Company W"/>
    <s v="Capsule"/>
    <s v="500 mg"/>
    <n v="30"/>
    <n v="1048"/>
    <n v="1486"/>
    <d v="2023-12-25T00:00:00"/>
    <x v="1"/>
    <x v="225"/>
    <x v="4"/>
    <x v="4"/>
    <x v="3"/>
    <s v="Low"/>
    <n v="0.9"/>
    <n v="1337.4"/>
    <n v="1.1111111111111109"/>
    <x v="1"/>
  </r>
  <r>
    <x v="4"/>
    <s v="Company Y"/>
    <s v="Tablet"/>
    <s v="250 mg"/>
    <s v="10 ml"/>
    <n v="1570"/>
    <n v="17354"/>
    <d v="2023-08-09T00:00:00"/>
    <x v="1"/>
    <x v="226"/>
    <x v="1"/>
    <x v="1"/>
    <x v="1"/>
    <s v="Low"/>
    <n v="0.9"/>
    <n v="15618.6"/>
    <n v="1.1111111111111112"/>
    <x v="1"/>
  </r>
  <r>
    <x v="4"/>
    <s v="Company X"/>
    <s v="Tablet"/>
    <s v="500 mg"/>
    <n v="30"/>
    <n v="109"/>
    <n v="17302"/>
    <d v="2023-07-30T00:00:00"/>
    <x v="1"/>
    <x v="227"/>
    <x v="4"/>
    <x v="3"/>
    <x v="1"/>
    <s v="Low"/>
    <n v="0.9"/>
    <n v="15571.800000000001"/>
    <n v="1.1111111111111109"/>
    <x v="1"/>
  </r>
  <r>
    <x v="4"/>
    <s v="Company Z"/>
    <s v="Capsule"/>
    <s v="100 mg/ml"/>
    <s v="10 ml"/>
    <n v="141"/>
    <n v="19153"/>
    <d v="2023-10-28T00:00:00"/>
    <x v="3"/>
    <x v="228"/>
    <x v="4"/>
    <x v="10"/>
    <x v="3"/>
    <s v="Low"/>
    <n v="1.1000000000000001"/>
    <n v="21068.300000000003"/>
    <n v="0.90909090909090895"/>
    <x v="0"/>
  </r>
  <r>
    <x v="0"/>
    <s v="Company X"/>
    <s v="Cream"/>
    <s v="10 mg"/>
    <n v="60"/>
    <n v="1239"/>
    <n v="36616"/>
    <d v="2024-01-06T00:00:00"/>
    <x v="1"/>
    <x v="229"/>
    <x v="0"/>
    <x v="7"/>
    <x v="0"/>
    <s v="Medium"/>
    <n v="0.9"/>
    <n v="32954.400000000001"/>
    <n v="1.1111111111111112"/>
    <x v="1"/>
  </r>
  <r>
    <x v="4"/>
    <s v="Company X"/>
    <s v="Tablet"/>
    <s v="50 mg"/>
    <n v="60"/>
    <n v="1499"/>
    <n v="4766"/>
    <d v="2024-06-13T00:00:00"/>
    <x v="1"/>
    <x v="230"/>
    <x v="3"/>
    <x v="2"/>
    <x v="2"/>
    <s v="Low"/>
    <n v="0.9"/>
    <n v="4289.4000000000005"/>
    <n v="1.1111111111111109"/>
    <x v="1"/>
  </r>
  <r>
    <x v="4"/>
    <s v="Company X"/>
    <s v="Tablet"/>
    <s v="10 mg"/>
    <n v="60"/>
    <n v="1869"/>
    <n v="25748"/>
    <d v="2023-11-05T00:00:00"/>
    <x v="0"/>
    <x v="231"/>
    <x v="3"/>
    <x v="5"/>
    <x v="3"/>
    <s v="Medium"/>
    <n v="1.1000000000000001"/>
    <n v="28322.800000000003"/>
    <n v="0.90909090909090895"/>
    <x v="0"/>
  </r>
  <r>
    <x v="2"/>
    <s v="Company W"/>
    <s v="Syrup"/>
    <s v="100 mg/ml"/>
    <n v="30"/>
    <n v="1355"/>
    <n v="27880"/>
    <d v="2024-03-07T00:00:00"/>
    <x v="0"/>
    <x v="232"/>
    <x v="0"/>
    <x v="8"/>
    <x v="0"/>
    <s v="Medium"/>
    <n v="1.1000000000000001"/>
    <n v="30668.000000000004"/>
    <n v="0.90909090909090895"/>
    <x v="0"/>
  </r>
  <r>
    <x v="2"/>
    <s v="Company V"/>
    <s v="Capsule"/>
    <s v="100 mg/ml"/>
    <n v="30"/>
    <n v="1173"/>
    <n v="8649"/>
    <d v="2024-01-09T00:00:00"/>
    <x v="0"/>
    <x v="233"/>
    <x v="3"/>
    <x v="7"/>
    <x v="0"/>
    <s v="Low"/>
    <n v="1.1000000000000001"/>
    <n v="9513.9000000000015"/>
    <n v="0.90909090909090895"/>
    <x v="0"/>
  </r>
  <r>
    <x v="4"/>
    <s v="Company Z"/>
    <s v="Syrup"/>
    <s v="10 mg"/>
    <n v="60"/>
    <n v="828"/>
    <n v="30214"/>
    <d v="2024-06-25T00:00:00"/>
    <x v="4"/>
    <x v="234"/>
    <x v="2"/>
    <x v="2"/>
    <x v="2"/>
    <s v="Medium"/>
    <n v="1.2"/>
    <n v="36256.799999999996"/>
    <n v="0.83333333333333348"/>
    <x v="0"/>
  </r>
  <r>
    <x v="2"/>
    <s v="Company W"/>
    <s v="Syrup"/>
    <s v="100 mg/ml"/>
    <n v="30"/>
    <n v="453"/>
    <n v="10749"/>
    <d v="2023-11-25T00:00:00"/>
    <x v="3"/>
    <x v="235"/>
    <x v="4"/>
    <x v="5"/>
    <x v="3"/>
    <s v="Low"/>
    <n v="1.1000000000000001"/>
    <n v="11823.900000000001"/>
    <n v="0.90909090909090895"/>
    <x v="0"/>
  </r>
  <r>
    <x v="2"/>
    <s v="Company Y"/>
    <s v="Injection"/>
    <s v="250 mg"/>
    <s v="50 g"/>
    <n v="132"/>
    <n v="17487"/>
    <d v="2023-12-28T00:00:00"/>
    <x v="2"/>
    <x v="236"/>
    <x v="4"/>
    <x v="4"/>
    <x v="3"/>
    <s v="Low"/>
    <n v="0.95"/>
    <n v="16612.649999999998"/>
    <n v="1.0526315789473686"/>
    <x v="1"/>
  </r>
  <r>
    <x v="3"/>
    <s v="Company W"/>
    <s v="Cream"/>
    <s v="100 mg/ml"/>
    <s v="100 ml"/>
    <n v="620"/>
    <n v="32593"/>
    <d v="2023-11-01T00:00:00"/>
    <x v="2"/>
    <x v="237"/>
    <x v="1"/>
    <x v="5"/>
    <x v="3"/>
    <s v="Medium"/>
    <n v="0.95"/>
    <n v="30963.35"/>
    <n v="1.0526315789473684"/>
    <x v="1"/>
  </r>
  <r>
    <x v="1"/>
    <s v="Company X"/>
    <s v="Tablet"/>
    <s v="10 mg"/>
    <s v="50 g"/>
    <n v="1423"/>
    <n v="21911"/>
    <d v="2024-04-06T00:00:00"/>
    <x v="1"/>
    <x v="238"/>
    <x v="1"/>
    <x v="11"/>
    <x v="2"/>
    <s v="Medium"/>
    <n v="0.9"/>
    <n v="19719.900000000001"/>
    <n v="1.1111111111111109"/>
    <x v="1"/>
  </r>
  <r>
    <x v="0"/>
    <s v="Company Z"/>
    <s v="Cream"/>
    <s v="500 mg"/>
    <s v="50 g"/>
    <n v="1308"/>
    <n v="16623"/>
    <d v="2024-07-26T00:00:00"/>
    <x v="0"/>
    <x v="239"/>
    <x v="0"/>
    <x v="3"/>
    <x v="1"/>
    <s v="Low"/>
    <n v="1.1000000000000001"/>
    <n v="18285.300000000003"/>
    <n v="0.90909090909090895"/>
    <x v="0"/>
  </r>
  <r>
    <x v="1"/>
    <s v="Company Y"/>
    <s v="Injection"/>
    <s v="500 mg"/>
    <n v="60"/>
    <n v="460"/>
    <n v="29993"/>
    <d v="2024-03-16T00:00:00"/>
    <x v="1"/>
    <x v="240"/>
    <x v="2"/>
    <x v="8"/>
    <x v="0"/>
    <s v="Medium"/>
    <n v="0.9"/>
    <n v="26993.7"/>
    <n v="1.1111111111111112"/>
    <x v="1"/>
  </r>
  <r>
    <x v="0"/>
    <s v="Company Z"/>
    <s v="Injection"/>
    <s v="50 mg"/>
    <s v="10 ml"/>
    <n v="1598"/>
    <n v="43114"/>
    <d v="2024-01-20T00:00:00"/>
    <x v="4"/>
    <x v="241"/>
    <x v="3"/>
    <x v="7"/>
    <x v="0"/>
    <s v="High"/>
    <n v="1.2"/>
    <n v="51736.799999999996"/>
    <n v="0.83333333333333337"/>
    <x v="0"/>
  </r>
  <r>
    <x v="1"/>
    <s v="Company W"/>
    <s v="Tablet"/>
    <s v="100 mg/ml"/>
    <s v="50 g"/>
    <n v="978"/>
    <n v="46578"/>
    <d v="2023-11-30T00:00:00"/>
    <x v="3"/>
    <x v="242"/>
    <x v="1"/>
    <x v="5"/>
    <x v="3"/>
    <s v="High"/>
    <n v="1.1000000000000001"/>
    <n v="51235.8"/>
    <n v="0.90909090909090906"/>
    <x v="0"/>
  </r>
  <r>
    <x v="0"/>
    <s v="Company Z"/>
    <s v="Tablet"/>
    <s v="50 mg"/>
    <s v="100 ml"/>
    <n v="1484"/>
    <n v="15499"/>
    <d v="2024-05-27T00:00:00"/>
    <x v="4"/>
    <x v="243"/>
    <x v="2"/>
    <x v="6"/>
    <x v="2"/>
    <s v="Low"/>
    <n v="1.2"/>
    <n v="18598.8"/>
    <n v="0.83333333333333337"/>
    <x v="0"/>
  </r>
  <r>
    <x v="3"/>
    <s v="Company V"/>
    <s v="Cream"/>
    <s v="500 mg"/>
    <s v="100 ml"/>
    <n v="1807"/>
    <n v="37740"/>
    <d v="2023-09-11T00:00:00"/>
    <x v="0"/>
    <x v="244"/>
    <x v="0"/>
    <x v="9"/>
    <x v="1"/>
    <s v="Medium"/>
    <n v="1.1000000000000001"/>
    <n v="41514"/>
    <n v="0.90909090909090906"/>
    <x v="0"/>
  </r>
  <r>
    <x v="4"/>
    <s v="Company Z"/>
    <s v="Tablet"/>
    <s v="100 mg/ml"/>
    <s v="50 g"/>
    <n v="1197"/>
    <n v="36217"/>
    <d v="2024-02-28T00:00:00"/>
    <x v="0"/>
    <x v="245"/>
    <x v="3"/>
    <x v="0"/>
    <x v="0"/>
    <s v="Medium"/>
    <n v="1.1000000000000001"/>
    <n v="39838.700000000004"/>
    <n v="0.90909090909090895"/>
    <x v="0"/>
  </r>
  <r>
    <x v="3"/>
    <s v="Company X"/>
    <s v="Injection"/>
    <s v="100 mg/ml"/>
    <n v="30"/>
    <n v="1169"/>
    <n v="33004"/>
    <d v="2024-06-11T00:00:00"/>
    <x v="0"/>
    <x v="246"/>
    <x v="3"/>
    <x v="2"/>
    <x v="2"/>
    <s v="Medium"/>
    <n v="1.1000000000000001"/>
    <n v="36304.400000000001"/>
    <n v="0.90909090909090906"/>
    <x v="0"/>
  </r>
  <r>
    <x v="2"/>
    <s v="Company X"/>
    <s v="Syrup"/>
    <s v="10 mg"/>
    <s v="10 ml"/>
    <n v="1713"/>
    <n v="30761"/>
    <d v="2023-09-03T00:00:00"/>
    <x v="4"/>
    <x v="247"/>
    <x v="3"/>
    <x v="9"/>
    <x v="1"/>
    <s v="Medium"/>
    <n v="1.2"/>
    <n v="36913.199999999997"/>
    <n v="0.83333333333333337"/>
    <x v="0"/>
  </r>
  <r>
    <x v="4"/>
    <s v="Company X"/>
    <s v="Injection"/>
    <s v="500 mg"/>
    <s v="100 ml"/>
    <n v="1245"/>
    <n v="32469"/>
    <d v="2023-11-11T00:00:00"/>
    <x v="1"/>
    <x v="248"/>
    <x v="2"/>
    <x v="5"/>
    <x v="3"/>
    <s v="Medium"/>
    <n v="0.9"/>
    <n v="29222.100000000002"/>
    <n v="1.1111111111111109"/>
    <x v="1"/>
  </r>
  <r>
    <x v="0"/>
    <s v="Company X"/>
    <s v="Injection"/>
    <s v="10 mg"/>
    <s v="50 g"/>
    <n v="454"/>
    <n v="37133"/>
    <d v="2024-01-19T00:00:00"/>
    <x v="3"/>
    <x v="249"/>
    <x v="3"/>
    <x v="7"/>
    <x v="0"/>
    <s v="Medium"/>
    <n v="1.1000000000000001"/>
    <n v="40846.300000000003"/>
    <n v="0.90909090909090906"/>
    <x v="0"/>
  </r>
  <r>
    <x v="2"/>
    <s v="Company Y"/>
    <s v="Cream"/>
    <s v="10 mg"/>
    <n v="30"/>
    <n v="1550"/>
    <n v="45767"/>
    <d v="2023-09-09T00:00:00"/>
    <x v="4"/>
    <x v="250"/>
    <x v="3"/>
    <x v="9"/>
    <x v="1"/>
    <s v="High"/>
    <n v="1.2"/>
    <n v="54920.4"/>
    <n v="0.83333333333333326"/>
    <x v="0"/>
  </r>
  <r>
    <x v="4"/>
    <s v="Company V"/>
    <s v="Syrup"/>
    <s v="50 mg"/>
    <s v="100 ml"/>
    <n v="1488"/>
    <n v="19770"/>
    <d v="2024-07-11T00:00:00"/>
    <x v="4"/>
    <x v="251"/>
    <x v="3"/>
    <x v="3"/>
    <x v="1"/>
    <s v="Low"/>
    <n v="1.2"/>
    <n v="23724"/>
    <n v="0.83333333333333337"/>
    <x v="0"/>
  </r>
  <r>
    <x v="0"/>
    <s v="Company V"/>
    <s v="Syrup"/>
    <s v="250 mg"/>
    <n v="30"/>
    <n v="1207"/>
    <n v="29546"/>
    <d v="2023-11-08T00:00:00"/>
    <x v="3"/>
    <x v="252"/>
    <x v="2"/>
    <x v="5"/>
    <x v="3"/>
    <s v="Medium"/>
    <n v="1.1000000000000001"/>
    <n v="32500.600000000002"/>
    <n v="0.90909090909090906"/>
    <x v="0"/>
  </r>
  <r>
    <x v="1"/>
    <s v="Company W"/>
    <s v="Injection"/>
    <s v="500 mg"/>
    <n v="30"/>
    <n v="751"/>
    <n v="46620"/>
    <d v="2024-04-16T00:00:00"/>
    <x v="3"/>
    <x v="253"/>
    <x v="0"/>
    <x v="11"/>
    <x v="2"/>
    <s v="High"/>
    <n v="1.1000000000000001"/>
    <n v="51282.000000000007"/>
    <n v="0.90909090909090895"/>
    <x v="0"/>
  </r>
  <r>
    <x v="3"/>
    <s v="Company V"/>
    <s v="Injection"/>
    <s v="100 mg/ml"/>
    <n v="60"/>
    <n v="1388"/>
    <n v="44954"/>
    <d v="2024-01-26T00:00:00"/>
    <x v="1"/>
    <x v="254"/>
    <x v="0"/>
    <x v="7"/>
    <x v="0"/>
    <s v="High"/>
    <n v="0.9"/>
    <n v="40458.6"/>
    <n v="1.1111111111111112"/>
    <x v="1"/>
  </r>
  <r>
    <x v="4"/>
    <s v="Company X"/>
    <s v="Tablet"/>
    <s v="100 mg/ml"/>
    <s v="100 ml"/>
    <n v="712"/>
    <n v="24140"/>
    <d v="2023-11-18T00:00:00"/>
    <x v="1"/>
    <x v="255"/>
    <x v="1"/>
    <x v="5"/>
    <x v="3"/>
    <s v="Medium"/>
    <n v="0.9"/>
    <n v="21726"/>
    <n v="1.1111111111111112"/>
    <x v="1"/>
  </r>
  <r>
    <x v="3"/>
    <s v="Company Y"/>
    <s v="Tablet"/>
    <s v="500 mg"/>
    <s v="100 ml"/>
    <n v="1428"/>
    <n v="1848"/>
    <d v="2024-02-09T00:00:00"/>
    <x v="2"/>
    <x v="256"/>
    <x v="1"/>
    <x v="0"/>
    <x v="0"/>
    <s v="Low"/>
    <n v="0.95"/>
    <n v="1755.6"/>
    <n v="1.0526315789473686"/>
    <x v="1"/>
  </r>
  <r>
    <x v="0"/>
    <s v="Company Y"/>
    <s v="Injection"/>
    <s v="250 mg"/>
    <s v="100 ml"/>
    <n v="1437"/>
    <n v="1329"/>
    <d v="2024-03-31T00:00:00"/>
    <x v="0"/>
    <x v="257"/>
    <x v="1"/>
    <x v="8"/>
    <x v="0"/>
    <s v="Low"/>
    <n v="1.1000000000000001"/>
    <n v="1461.9"/>
    <n v="0.90909090909090906"/>
    <x v="0"/>
  </r>
  <r>
    <x v="1"/>
    <s v="Company Z"/>
    <s v="Syrup"/>
    <s v="50 mg"/>
    <n v="60"/>
    <n v="818"/>
    <n v="34522"/>
    <d v="2024-03-13T00:00:00"/>
    <x v="3"/>
    <x v="258"/>
    <x v="0"/>
    <x v="8"/>
    <x v="0"/>
    <s v="Medium"/>
    <n v="1.1000000000000001"/>
    <n v="37974.200000000004"/>
    <n v="0.90909090909090895"/>
    <x v="0"/>
  </r>
  <r>
    <x v="4"/>
    <s v="Company Y"/>
    <s v="Tablet"/>
    <s v="10 mg"/>
    <n v="30"/>
    <n v="1094"/>
    <n v="34972"/>
    <d v="2024-05-11T00:00:00"/>
    <x v="3"/>
    <x v="259"/>
    <x v="3"/>
    <x v="6"/>
    <x v="2"/>
    <s v="Medium"/>
    <n v="1.1000000000000001"/>
    <n v="38469.200000000004"/>
    <n v="0.90909090909090895"/>
    <x v="0"/>
  </r>
  <r>
    <x v="2"/>
    <s v="Company W"/>
    <s v="Capsule"/>
    <s v="50 mg"/>
    <n v="60"/>
    <n v="1882"/>
    <n v="1492"/>
    <d v="2023-12-17T00:00:00"/>
    <x v="0"/>
    <x v="260"/>
    <x v="1"/>
    <x v="4"/>
    <x v="3"/>
    <s v="Low"/>
    <n v="1.1000000000000001"/>
    <n v="1641.2"/>
    <n v="0.90909090909090906"/>
    <x v="0"/>
  </r>
  <r>
    <x v="4"/>
    <s v="Company V"/>
    <s v="Tablet"/>
    <s v="250 mg"/>
    <s v="10 ml"/>
    <n v="1247"/>
    <n v="40432"/>
    <d v="2024-02-15T00:00:00"/>
    <x v="3"/>
    <x v="261"/>
    <x v="1"/>
    <x v="0"/>
    <x v="0"/>
    <s v="High"/>
    <n v="1.1000000000000001"/>
    <n v="44475.200000000004"/>
    <n v="0.90909090909090895"/>
    <x v="0"/>
  </r>
  <r>
    <x v="2"/>
    <s v="Company Y"/>
    <s v="Capsule"/>
    <s v="500 mg"/>
    <s v="100 ml"/>
    <n v="1989"/>
    <n v="14261"/>
    <d v="2023-10-25T00:00:00"/>
    <x v="4"/>
    <x v="262"/>
    <x v="1"/>
    <x v="10"/>
    <x v="3"/>
    <s v="Low"/>
    <n v="1.2"/>
    <n v="17113.2"/>
    <n v="0.83333333333333326"/>
    <x v="0"/>
  </r>
  <r>
    <x v="3"/>
    <s v="Company X"/>
    <s v="Cream"/>
    <s v="50 mg"/>
    <s v="100 ml"/>
    <n v="1725"/>
    <n v="26182"/>
    <d v="2023-11-18T00:00:00"/>
    <x v="0"/>
    <x v="263"/>
    <x v="3"/>
    <x v="5"/>
    <x v="3"/>
    <s v="Medium"/>
    <n v="1.1000000000000001"/>
    <n v="28800.2"/>
    <n v="0.90909090909090906"/>
    <x v="0"/>
  </r>
  <r>
    <x v="1"/>
    <s v="Company V"/>
    <s v="Cream"/>
    <s v="50 mg"/>
    <s v="50 g"/>
    <n v="815"/>
    <n v="33782"/>
    <d v="2023-10-05T00:00:00"/>
    <x v="2"/>
    <x v="264"/>
    <x v="2"/>
    <x v="10"/>
    <x v="3"/>
    <s v="Medium"/>
    <n v="0.95"/>
    <n v="32092.899999999998"/>
    <n v="1.0526315789473686"/>
    <x v="1"/>
  </r>
  <r>
    <x v="4"/>
    <s v="Company W"/>
    <s v="Syrup"/>
    <s v="250 mg"/>
    <n v="60"/>
    <n v="135"/>
    <n v="40651"/>
    <d v="2024-04-07T00:00:00"/>
    <x v="3"/>
    <x v="265"/>
    <x v="0"/>
    <x v="11"/>
    <x v="2"/>
    <s v="High"/>
    <n v="1.1000000000000001"/>
    <n v="44716.100000000006"/>
    <n v="0.90909090909090895"/>
    <x v="0"/>
  </r>
  <r>
    <x v="3"/>
    <s v="Company X"/>
    <s v="Syrup"/>
    <s v="500 mg"/>
    <n v="30"/>
    <n v="1664"/>
    <n v="25573"/>
    <d v="2024-06-23T00:00:00"/>
    <x v="0"/>
    <x v="266"/>
    <x v="3"/>
    <x v="2"/>
    <x v="2"/>
    <s v="Medium"/>
    <n v="1.1000000000000001"/>
    <n v="28130.300000000003"/>
    <n v="0.90909090909090895"/>
    <x v="0"/>
  </r>
  <r>
    <x v="4"/>
    <s v="Company V"/>
    <s v="Syrup"/>
    <s v="50 mg"/>
    <s v="50 g"/>
    <n v="1402"/>
    <n v="31956"/>
    <d v="2023-10-17T00:00:00"/>
    <x v="2"/>
    <x v="267"/>
    <x v="0"/>
    <x v="10"/>
    <x v="3"/>
    <s v="Medium"/>
    <n v="0.95"/>
    <n v="30358.199999999997"/>
    <n v="1.0526315789473686"/>
    <x v="1"/>
  </r>
  <r>
    <x v="0"/>
    <s v="Company X"/>
    <s v="Capsule"/>
    <s v="250 mg"/>
    <s v="10 ml"/>
    <n v="153"/>
    <n v="30983"/>
    <d v="2024-01-07T00:00:00"/>
    <x v="1"/>
    <x v="268"/>
    <x v="2"/>
    <x v="7"/>
    <x v="0"/>
    <s v="Medium"/>
    <n v="0.9"/>
    <n v="27884.7"/>
    <n v="1.1111111111111112"/>
    <x v="1"/>
  </r>
  <r>
    <x v="0"/>
    <s v="Company X"/>
    <s v="Tablet"/>
    <s v="250 mg"/>
    <n v="60"/>
    <n v="399"/>
    <n v="21160"/>
    <d v="2024-07-04T00:00:00"/>
    <x v="3"/>
    <x v="269"/>
    <x v="1"/>
    <x v="3"/>
    <x v="1"/>
    <s v="Medium"/>
    <n v="1.1000000000000001"/>
    <n v="23276.000000000004"/>
    <n v="0.90909090909090895"/>
    <x v="0"/>
  </r>
  <r>
    <x v="2"/>
    <s v="Company X"/>
    <s v="Cream"/>
    <s v="100 mg/ml"/>
    <s v="50 g"/>
    <n v="314"/>
    <n v="43409"/>
    <d v="2024-02-15T00:00:00"/>
    <x v="4"/>
    <x v="270"/>
    <x v="2"/>
    <x v="0"/>
    <x v="0"/>
    <s v="High"/>
    <n v="1.2"/>
    <n v="52090.799999999996"/>
    <n v="0.83333333333333337"/>
    <x v="0"/>
  </r>
  <r>
    <x v="4"/>
    <s v="Company V"/>
    <s v="Cream"/>
    <s v="100 mg/ml"/>
    <n v="60"/>
    <n v="504"/>
    <n v="46392"/>
    <d v="2024-04-12T00:00:00"/>
    <x v="0"/>
    <x v="271"/>
    <x v="2"/>
    <x v="11"/>
    <x v="2"/>
    <s v="High"/>
    <n v="1.1000000000000001"/>
    <n v="51031.200000000004"/>
    <n v="0.90909090909090906"/>
    <x v="0"/>
  </r>
  <r>
    <x v="0"/>
    <s v="Company W"/>
    <s v="Injection"/>
    <s v="250 mg"/>
    <n v="30"/>
    <n v="214"/>
    <n v="10257"/>
    <d v="2023-11-02T00:00:00"/>
    <x v="2"/>
    <x v="272"/>
    <x v="1"/>
    <x v="5"/>
    <x v="3"/>
    <s v="Low"/>
    <n v="0.95"/>
    <n v="9744.15"/>
    <n v="1.0526315789473684"/>
    <x v="1"/>
  </r>
  <r>
    <x v="4"/>
    <s v="Company V"/>
    <s v="Capsule"/>
    <s v="10 mg"/>
    <s v="100 ml"/>
    <n v="1738"/>
    <n v="17663"/>
    <d v="2023-11-27T00:00:00"/>
    <x v="2"/>
    <x v="273"/>
    <x v="2"/>
    <x v="5"/>
    <x v="3"/>
    <s v="Low"/>
    <n v="0.95"/>
    <n v="16779.849999999999"/>
    <n v="1.0526315789473686"/>
    <x v="1"/>
  </r>
  <r>
    <x v="0"/>
    <s v="Company V"/>
    <s v="Injection"/>
    <s v="100 mg/ml"/>
    <n v="30"/>
    <n v="167"/>
    <n v="4175"/>
    <d v="2023-08-15T00:00:00"/>
    <x v="4"/>
    <x v="274"/>
    <x v="0"/>
    <x v="1"/>
    <x v="1"/>
    <s v="Low"/>
    <n v="1.2"/>
    <n v="5010"/>
    <n v="0.83333333333333337"/>
    <x v="0"/>
  </r>
  <r>
    <x v="3"/>
    <s v="Company X"/>
    <s v="Syrup"/>
    <s v="500 mg"/>
    <n v="30"/>
    <n v="1696"/>
    <n v="26976"/>
    <d v="2024-02-01T00:00:00"/>
    <x v="0"/>
    <x v="275"/>
    <x v="2"/>
    <x v="0"/>
    <x v="0"/>
    <s v="Medium"/>
    <n v="1.1000000000000001"/>
    <n v="29673.600000000002"/>
    <n v="0.90909090909090906"/>
    <x v="0"/>
  </r>
  <r>
    <x v="0"/>
    <s v="Company X"/>
    <s v="Cream"/>
    <s v="10 mg"/>
    <s v="10 ml"/>
    <n v="1216"/>
    <n v="32615"/>
    <d v="2023-10-22T00:00:00"/>
    <x v="0"/>
    <x v="276"/>
    <x v="1"/>
    <x v="10"/>
    <x v="3"/>
    <s v="Medium"/>
    <n v="1.1000000000000001"/>
    <n v="35876.5"/>
    <n v="0.90909090909090906"/>
    <x v="0"/>
  </r>
  <r>
    <x v="2"/>
    <s v="Company V"/>
    <s v="Capsule"/>
    <s v="10 mg"/>
    <s v="10 ml"/>
    <n v="599"/>
    <n v="1411"/>
    <d v="2023-12-04T00:00:00"/>
    <x v="4"/>
    <x v="277"/>
    <x v="3"/>
    <x v="4"/>
    <x v="3"/>
    <s v="Low"/>
    <n v="1.2"/>
    <n v="1693.2"/>
    <n v="0.83333333333333326"/>
    <x v="0"/>
  </r>
  <r>
    <x v="4"/>
    <s v="Company W"/>
    <s v="Cream"/>
    <s v="250 mg"/>
    <n v="30"/>
    <n v="609"/>
    <n v="25953"/>
    <d v="2024-02-06T00:00:00"/>
    <x v="4"/>
    <x v="278"/>
    <x v="2"/>
    <x v="0"/>
    <x v="0"/>
    <s v="Medium"/>
    <n v="1.2"/>
    <n v="31143.599999999999"/>
    <n v="0.83333333333333337"/>
    <x v="0"/>
  </r>
  <r>
    <x v="0"/>
    <s v="Company V"/>
    <s v="Syrup"/>
    <s v="50 mg"/>
    <s v="10 ml"/>
    <n v="1199"/>
    <n v="4779"/>
    <d v="2024-06-04T00:00:00"/>
    <x v="0"/>
    <x v="279"/>
    <x v="0"/>
    <x v="2"/>
    <x v="2"/>
    <s v="Low"/>
    <n v="1.1000000000000001"/>
    <n v="5256.9000000000005"/>
    <n v="0.90909090909090895"/>
    <x v="0"/>
  </r>
  <r>
    <x v="1"/>
    <s v="Company Z"/>
    <s v="Syrup"/>
    <s v="50 mg"/>
    <s v="50 g"/>
    <n v="1238"/>
    <n v="30313"/>
    <d v="2024-02-11T00:00:00"/>
    <x v="0"/>
    <x v="280"/>
    <x v="1"/>
    <x v="0"/>
    <x v="0"/>
    <s v="Medium"/>
    <n v="1.1000000000000001"/>
    <n v="33344.300000000003"/>
    <n v="0.90909090909090906"/>
    <x v="0"/>
  </r>
  <r>
    <x v="0"/>
    <s v="Company X"/>
    <s v="Cream"/>
    <s v="10 mg"/>
    <n v="60"/>
    <n v="354"/>
    <n v="11544"/>
    <d v="2024-06-25T00:00:00"/>
    <x v="0"/>
    <x v="281"/>
    <x v="2"/>
    <x v="2"/>
    <x v="2"/>
    <s v="Low"/>
    <n v="1.1000000000000001"/>
    <n v="12698.400000000001"/>
    <n v="0.90909090909090895"/>
    <x v="0"/>
  </r>
  <r>
    <x v="4"/>
    <s v="Company V"/>
    <s v="Cream"/>
    <s v="50 mg"/>
    <s v="10 ml"/>
    <n v="489"/>
    <n v="48883"/>
    <d v="2024-01-05T00:00:00"/>
    <x v="0"/>
    <x v="282"/>
    <x v="3"/>
    <x v="7"/>
    <x v="0"/>
    <s v="High"/>
    <n v="1.1000000000000001"/>
    <n v="53771.3"/>
    <n v="0.90909090909090906"/>
    <x v="0"/>
  </r>
  <r>
    <x v="3"/>
    <s v="Company Z"/>
    <s v="Tablet"/>
    <s v="500 mg"/>
    <s v="10 ml"/>
    <n v="1042"/>
    <n v="34649"/>
    <d v="2024-07-13T00:00:00"/>
    <x v="4"/>
    <x v="283"/>
    <x v="3"/>
    <x v="3"/>
    <x v="1"/>
    <s v="Medium"/>
    <n v="1.2"/>
    <n v="41578.799999999996"/>
    <n v="0.83333333333333337"/>
    <x v="0"/>
  </r>
  <r>
    <x v="0"/>
    <s v="Company Z"/>
    <s v="Capsule"/>
    <s v="100 mg/ml"/>
    <n v="60"/>
    <n v="392"/>
    <n v="33170"/>
    <d v="2024-06-10T00:00:00"/>
    <x v="3"/>
    <x v="284"/>
    <x v="2"/>
    <x v="2"/>
    <x v="2"/>
    <s v="Medium"/>
    <n v="1.1000000000000001"/>
    <n v="36487"/>
    <n v="0.90909090909090906"/>
    <x v="0"/>
  </r>
  <r>
    <x v="4"/>
    <s v="Company Y"/>
    <s v="Injection"/>
    <s v="500 mg"/>
    <s v="100 ml"/>
    <n v="786"/>
    <n v="22000"/>
    <d v="2024-04-01T00:00:00"/>
    <x v="2"/>
    <x v="285"/>
    <x v="3"/>
    <x v="11"/>
    <x v="2"/>
    <s v="Medium"/>
    <n v="0.95"/>
    <n v="20900"/>
    <n v="1.0526315789473684"/>
    <x v="1"/>
  </r>
  <r>
    <x v="3"/>
    <s v="Company V"/>
    <s v="Tablet"/>
    <s v="50 mg"/>
    <s v="100 ml"/>
    <n v="1347"/>
    <n v="29744"/>
    <d v="2024-07-19T00:00:00"/>
    <x v="0"/>
    <x v="286"/>
    <x v="1"/>
    <x v="3"/>
    <x v="1"/>
    <s v="Medium"/>
    <n v="1.1000000000000001"/>
    <n v="32718.400000000001"/>
    <n v="0.90909090909090906"/>
    <x v="0"/>
  </r>
  <r>
    <x v="0"/>
    <s v="Company Y"/>
    <s v="Syrup"/>
    <s v="50 mg"/>
    <n v="60"/>
    <n v="499"/>
    <n v="14526"/>
    <d v="2024-04-10T00:00:00"/>
    <x v="4"/>
    <x v="287"/>
    <x v="1"/>
    <x v="11"/>
    <x v="2"/>
    <s v="Low"/>
    <n v="1.2"/>
    <n v="17431.2"/>
    <n v="0.83333333333333326"/>
    <x v="0"/>
  </r>
  <r>
    <x v="1"/>
    <s v="Company Y"/>
    <s v="Capsule"/>
    <s v="50 mg"/>
    <n v="60"/>
    <n v="489"/>
    <n v="25559"/>
    <d v="2023-12-22T00:00:00"/>
    <x v="0"/>
    <x v="288"/>
    <x v="3"/>
    <x v="4"/>
    <x v="3"/>
    <s v="Medium"/>
    <n v="1.1000000000000001"/>
    <n v="28114.9"/>
    <n v="0.90909090909090906"/>
    <x v="0"/>
  </r>
  <r>
    <x v="1"/>
    <s v="Company W"/>
    <s v="Capsule"/>
    <s v="250 mg"/>
    <n v="30"/>
    <n v="963"/>
    <n v="24965"/>
    <d v="2023-10-04T00:00:00"/>
    <x v="3"/>
    <x v="289"/>
    <x v="1"/>
    <x v="10"/>
    <x v="3"/>
    <s v="Medium"/>
    <n v="1.1000000000000001"/>
    <n v="27461.500000000004"/>
    <n v="0.90909090909090895"/>
    <x v="0"/>
  </r>
  <r>
    <x v="3"/>
    <s v="Company Y"/>
    <s v="Cream"/>
    <s v="250 mg"/>
    <s v="100 ml"/>
    <n v="1650"/>
    <n v="36514"/>
    <d v="2024-06-26T00:00:00"/>
    <x v="3"/>
    <x v="290"/>
    <x v="1"/>
    <x v="2"/>
    <x v="2"/>
    <s v="Medium"/>
    <n v="1.1000000000000001"/>
    <n v="40165.4"/>
    <n v="0.90909090909090906"/>
    <x v="0"/>
  </r>
  <r>
    <x v="0"/>
    <s v="Company Z"/>
    <s v="Capsule"/>
    <s v="500 mg"/>
    <s v="100 ml"/>
    <n v="1826"/>
    <n v="46602"/>
    <d v="2024-07-10T00:00:00"/>
    <x v="2"/>
    <x v="291"/>
    <x v="4"/>
    <x v="3"/>
    <x v="1"/>
    <s v="High"/>
    <n v="0.95"/>
    <n v="44271.9"/>
    <n v="1.0526315789473684"/>
    <x v="1"/>
  </r>
  <r>
    <x v="4"/>
    <s v="Company V"/>
    <s v="Cream"/>
    <s v="500 mg"/>
    <n v="60"/>
    <n v="608"/>
    <n v="28326"/>
    <d v="2024-05-05T00:00:00"/>
    <x v="4"/>
    <x v="292"/>
    <x v="0"/>
    <x v="6"/>
    <x v="2"/>
    <s v="Medium"/>
    <n v="1.2"/>
    <n v="33991.199999999997"/>
    <n v="0.83333333333333337"/>
    <x v="0"/>
  </r>
  <r>
    <x v="2"/>
    <s v="Company Y"/>
    <s v="Tablet"/>
    <s v="500 mg"/>
    <s v="100 ml"/>
    <n v="297"/>
    <n v="20215"/>
    <d v="2024-06-19T00:00:00"/>
    <x v="3"/>
    <x v="293"/>
    <x v="2"/>
    <x v="2"/>
    <x v="2"/>
    <s v="Medium"/>
    <n v="1.1000000000000001"/>
    <n v="22236.5"/>
    <n v="0.90909090909090906"/>
    <x v="0"/>
  </r>
  <r>
    <x v="2"/>
    <s v="Company Y"/>
    <s v="Cream"/>
    <s v="250 mg"/>
    <n v="60"/>
    <n v="1095"/>
    <n v="23543"/>
    <d v="2023-09-13T00:00:00"/>
    <x v="0"/>
    <x v="294"/>
    <x v="0"/>
    <x v="9"/>
    <x v="1"/>
    <s v="Medium"/>
    <n v="1.1000000000000001"/>
    <n v="25897.300000000003"/>
    <n v="0.90909090909090895"/>
    <x v="0"/>
  </r>
  <r>
    <x v="4"/>
    <s v="Company Z"/>
    <s v="Tablet"/>
    <s v="10 mg"/>
    <n v="30"/>
    <n v="1585"/>
    <n v="34365"/>
    <d v="2024-03-25T00:00:00"/>
    <x v="3"/>
    <x v="295"/>
    <x v="1"/>
    <x v="8"/>
    <x v="0"/>
    <s v="Medium"/>
    <n v="1.1000000000000001"/>
    <n v="37801.5"/>
    <n v="0.90909090909090906"/>
    <x v="0"/>
  </r>
  <r>
    <x v="1"/>
    <s v="Company W"/>
    <s v="Injection"/>
    <s v="500 mg"/>
    <s v="50 g"/>
    <n v="749"/>
    <n v="13462"/>
    <d v="2023-08-26T00:00:00"/>
    <x v="3"/>
    <x v="296"/>
    <x v="0"/>
    <x v="1"/>
    <x v="1"/>
    <s v="Low"/>
    <n v="1.1000000000000001"/>
    <n v="14808.2"/>
    <n v="0.90909090909090906"/>
    <x v="0"/>
  </r>
  <r>
    <x v="0"/>
    <s v="Company X"/>
    <s v="Capsule"/>
    <s v="10 mg"/>
    <s v="50 g"/>
    <n v="1666"/>
    <n v="32893"/>
    <d v="2023-09-30T00:00:00"/>
    <x v="4"/>
    <x v="297"/>
    <x v="0"/>
    <x v="9"/>
    <x v="1"/>
    <s v="Medium"/>
    <n v="1.2"/>
    <n v="39471.599999999999"/>
    <n v="0.83333333333333337"/>
    <x v="0"/>
  </r>
  <r>
    <x v="3"/>
    <s v="Company W"/>
    <s v="Cream"/>
    <s v="50 mg"/>
    <n v="60"/>
    <n v="371"/>
    <n v="25596"/>
    <d v="2024-03-01T00:00:00"/>
    <x v="3"/>
    <x v="298"/>
    <x v="3"/>
    <x v="8"/>
    <x v="0"/>
    <s v="Medium"/>
    <n v="1.1000000000000001"/>
    <n v="28155.600000000002"/>
    <n v="0.90909090909090906"/>
    <x v="0"/>
  </r>
  <r>
    <x v="4"/>
    <s v="Company Y"/>
    <s v="Syrup"/>
    <s v="250 mg"/>
    <s v="100 ml"/>
    <n v="1663"/>
    <n v="20214"/>
    <d v="2023-12-09T00:00:00"/>
    <x v="0"/>
    <x v="299"/>
    <x v="1"/>
    <x v="4"/>
    <x v="3"/>
    <s v="Medium"/>
    <n v="1.1000000000000001"/>
    <n v="22235.4"/>
    <n v="0.90909090909090906"/>
    <x v="0"/>
  </r>
  <r>
    <x v="1"/>
    <s v="Company Z"/>
    <s v="Tablet"/>
    <s v="500 mg"/>
    <s v="50 g"/>
    <n v="698"/>
    <n v="1522"/>
    <d v="2023-08-03T00:00:00"/>
    <x v="4"/>
    <x v="300"/>
    <x v="1"/>
    <x v="1"/>
    <x v="1"/>
    <s v="Low"/>
    <n v="1.2"/>
    <n v="1826.3999999999999"/>
    <n v="0.83333333333333337"/>
    <x v="0"/>
  </r>
  <r>
    <x v="0"/>
    <s v="Company Y"/>
    <s v="Tablet"/>
    <s v="500 mg"/>
    <s v="50 g"/>
    <n v="1595"/>
    <n v="16585"/>
    <d v="2024-07-13T00:00:00"/>
    <x v="2"/>
    <x v="301"/>
    <x v="3"/>
    <x v="3"/>
    <x v="1"/>
    <s v="Low"/>
    <n v="0.95"/>
    <n v="15755.75"/>
    <n v="1.0526315789473684"/>
    <x v="1"/>
  </r>
  <r>
    <x v="1"/>
    <s v="Company Y"/>
    <s v="Injection"/>
    <s v="100 mg/ml"/>
    <n v="60"/>
    <n v="1474"/>
    <n v="32199"/>
    <d v="2024-01-09T00:00:00"/>
    <x v="0"/>
    <x v="302"/>
    <x v="0"/>
    <x v="7"/>
    <x v="0"/>
    <s v="Medium"/>
    <n v="1.1000000000000001"/>
    <n v="35418.9"/>
    <n v="0.90909090909090906"/>
    <x v="0"/>
  </r>
  <r>
    <x v="0"/>
    <s v="Company V"/>
    <s v="Cream"/>
    <s v="250 mg"/>
    <s v="10 ml"/>
    <n v="1611"/>
    <n v="37594"/>
    <d v="2024-06-04T00:00:00"/>
    <x v="4"/>
    <x v="303"/>
    <x v="2"/>
    <x v="2"/>
    <x v="2"/>
    <s v="Medium"/>
    <n v="1.2"/>
    <n v="45112.799999999996"/>
    <n v="0.83333333333333337"/>
    <x v="0"/>
  </r>
  <r>
    <x v="1"/>
    <s v="Company V"/>
    <s v="Injection"/>
    <s v="10 mg"/>
    <s v="10 ml"/>
    <n v="1876"/>
    <n v="26559"/>
    <d v="2023-08-28T00:00:00"/>
    <x v="0"/>
    <x v="304"/>
    <x v="3"/>
    <x v="1"/>
    <x v="1"/>
    <s v="Medium"/>
    <n v="1.1000000000000001"/>
    <n v="29214.9"/>
    <n v="0.90909090909090906"/>
    <x v="0"/>
  </r>
  <r>
    <x v="2"/>
    <s v="Company Z"/>
    <s v="Cream"/>
    <s v="500 mg"/>
    <n v="60"/>
    <n v="939"/>
    <n v="22379"/>
    <d v="2024-04-22T00:00:00"/>
    <x v="2"/>
    <x v="305"/>
    <x v="3"/>
    <x v="11"/>
    <x v="2"/>
    <s v="Medium"/>
    <n v="0.95"/>
    <n v="21260.05"/>
    <n v="1.0526315789473684"/>
    <x v="1"/>
  </r>
  <r>
    <x v="3"/>
    <s v="Company V"/>
    <s v="Cream"/>
    <s v="50 mg"/>
    <n v="60"/>
    <n v="1075"/>
    <n v="41442"/>
    <d v="2024-05-11T00:00:00"/>
    <x v="3"/>
    <x v="306"/>
    <x v="1"/>
    <x v="6"/>
    <x v="2"/>
    <s v="High"/>
    <n v="1.1000000000000001"/>
    <n v="45586.200000000004"/>
    <n v="0.90909090909090895"/>
    <x v="0"/>
  </r>
  <r>
    <x v="0"/>
    <s v="Company Y"/>
    <s v="Syrup"/>
    <s v="10 mg"/>
    <n v="30"/>
    <n v="868"/>
    <n v="41228"/>
    <d v="2024-06-19T00:00:00"/>
    <x v="3"/>
    <x v="307"/>
    <x v="3"/>
    <x v="2"/>
    <x v="2"/>
    <s v="High"/>
    <n v="1.1000000000000001"/>
    <n v="45350.8"/>
    <n v="0.90909090909090906"/>
    <x v="0"/>
  </r>
  <r>
    <x v="1"/>
    <s v="Company X"/>
    <s v="Cream"/>
    <s v="50 mg"/>
    <s v="10 ml"/>
    <n v="1135"/>
    <n v="42632"/>
    <d v="2024-03-26T00:00:00"/>
    <x v="1"/>
    <x v="308"/>
    <x v="3"/>
    <x v="8"/>
    <x v="0"/>
    <s v="High"/>
    <n v="0.9"/>
    <n v="38368.800000000003"/>
    <n v="1.1111111111111109"/>
    <x v="1"/>
  </r>
  <r>
    <x v="1"/>
    <s v="Company W"/>
    <s v="Capsule"/>
    <s v="250 mg"/>
    <n v="30"/>
    <n v="1780"/>
    <n v="28351"/>
    <d v="2023-09-28T00:00:00"/>
    <x v="2"/>
    <x v="309"/>
    <x v="4"/>
    <x v="9"/>
    <x v="1"/>
    <s v="Medium"/>
    <n v="0.95"/>
    <n v="26933.449999999997"/>
    <n v="1.0526315789473686"/>
    <x v="1"/>
  </r>
  <r>
    <x v="4"/>
    <s v="Company V"/>
    <s v="Injection"/>
    <s v="100 mg/ml"/>
    <s v="10 ml"/>
    <n v="833"/>
    <n v="42915"/>
    <d v="2024-04-02T00:00:00"/>
    <x v="2"/>
    <x v="310"/>
    <x v="0"/>
    <x v="11"/>
    <x v="2"/>
    <s v="High"/>
    <n v="0.95"/>
    <n v="40769.25"/>
    <n v="1.0526315789473684"/>
    <x v="1"/>
  </r>
  <r>
    <x v="0"/>
    <s v="Company Z"/>
    <s v="Syrup"/>
    <s v="250 mg"/>
    <s v="10 ml"/>
    <n v="1134"/>
    <n v="26634"/>
    <d v="2024-03-26T00:00:00"/>
    <x v="2"/>
    <x v="311"/>
    <x v="1"/>
    <x v="8"/>
    <x v="0"/>
    <s v="Medium"/>
    <n v="0.95"/>
    <n v="25302.3"/>
    <n v="1.0526315789473684"/>
    <x v="1"/>
  </r>
  <r>
    <x v="3"/>
    <s v="Company Y"/>
    <s v="Cream"/>
    <s v="50 mg"/>
    <s v="100 ml"/>
    <n v="1706"/>
    <n v="21681"/>
    <d v="2023-08-03T00:00:00"/>
    <x v="3"/>
    <x v="312"/>
    <x v="1"/>
    <x v="1"/>
    <x v="1"/>
    <s v="Medium"/>
    <n v="1.1000000000000001"/>
    <n v="23849.100000000002"/>
    <n v="0.90909090909090906"/>
    <x v="0"/>
  </r>
  <r>
    <x v="2"/>
    <s v="Company Z"/>
    <s v="Cream"/>
    <s v="250 mg"/>
    <s v="10 ml"/>
    <n v="1395"/>
    <n v="22835"/>
    <d v="2024-02-08T00:00:00"/>
    <x v="3"/>
    <x v="313"/>
    <x v="4"/>
    <x v="0"/>
    <x v="0"/>
    <s v="Medium"/>
    <n v="1.1000000000000001"/>
    <n v="25118.500000000004"/>
    <n v="0.90909090909090895"/>
    <x v="0"/>
  </r>
  <r>
    <x v="1"/>
    <s v="Company X"/>
    <s v="Tablet"/>
    <s v="10 mg"/>
    <s v="100 ml"/>
    <n v="1693"/>
    <n v="31240"/>
    <d v="2024-06-26T00:00:00"/>
    <x v="0"/>
    <x v="314"/>
    <x v="3"/>
    <x v="2"/>
    <x v="2"/>
    <s v="Medium"/>
    <n v="1.1000000000000001"/>
    <n v="34364"/>
    <n v="0.90909090909090906"/>
    <x v="0"/>
  </r>
  <r>
    <x v="1"/>
    <s v="Company Y"/>
    <s v="Syrup"/>
    <s v="10 mg"/>
    <n v="30"/>
    <n v="1549"/>
    <n v="9455"/>
    <d v="2024-02-23T00:00:00"/>
    <x v="3"/>
    <x v="315"/>
    <x v="2"/>
    <x v="0"/>
    <x v="0"/>
    <s v="Low"/>
    <n v="1.1000000000000001"/>
    <n v="10400.5"/>
    <n v="0.90909090909090906"/>
    <x v="0"/>
  </r>
  <r>
    <x v="1"/>
    <s v="Company X"/>
    <s v="Cream"/>
    <s v="10 mg"/>
    <s v="10 ml"/>
    <n v="100"/>
    <n v="32910"/>
    <d v="2023-10-29T00:00:00"/>
    <x v="4"/>
    <x v="316"/>
    <x v="1"/>
    <x v="10"/>
    <x v="3"/>
    <s v="Medium"/>
    <n v="1.2"/>
    <n v="39492"/>
    <n v="0.83333333333333337"/>
    <x v="0"/>
  </r>
  <r>
    <x v="0"/>
    <s v="Company V"/>
    <s v="Cream"/>
    <s v="50 mg"/>
    <s v="50 g"/>
    <n v="826"/>
    <n v="24350"/>
    <d v="2023-11-10T00:00:00"/>
    <x v="4"/>
    <x v="317"/>
    <x v="0"/>
    <x v="5"/>
    <x v="3"/>
    <s v="Medium"/>
    <n v="1.2"/>
    <n v="29220"/>
    <n v="0.83333333333333337"/>
    <x v="0"/>
  </r>
  <r>
    <x v="2"/>
    <s v="Company W"/>
    <s v="Cream"/>
    <s v="500 mg"/>
    <s v="50 g"/>
    <n v="1308"/>
    <n v="17828"/>
    <d v="2024-01-13T00:00:00"/>
    <x v="2"/>
    <x v="318"/>
    <x v="4"/>
    <x v="7"/>
    <x v="0"/>
    <s v="Low"/>
    <n v="0.95"/>
    <n v="16936.599999999999"/>
    <n v="1.0526315789473686"/>
    <x v="1"/>
  </r>
  <r>
    <x v="0"/>
    <s v="Company Y"/>
    <s v="Capsule"/>
    <s v="500 mg"/>
    <s v="100 ml"/>
    <n v="1691"/>
    <n v="37249"/>
    <d v="2023-10-25T00:00:00"/>
    <x v="4"/>
    <x v="319"/>
    <x v="4"/>
    <x v="10"/>
    <x v="3"/>
    <s v="Medium"/>
    <n v="1.2"/>
    <n v="44698.799999999996"/>
    <n v="0.83333333333333337"/>
    <x v="0"/>
  </r>
  <r>
    <x v="0"/>
    <s v="Company Z"/>
    <s v="Syrup"/>
    <s v="10 mg"/>
    <s v="10 ml"/>
    <n v="1028"/>
    <n v="7222"/>
    <d v="2024-04-01T00:00:00"/>
    <x v="1"/>
    <x v="320"/>
    <x v="4"/>
    <x v="11"/>
    <x v="2"/>
    <s v="Low"/>
    <n v="0.9"/>
    <n v="6499.8"/>
    <n v="1.1111111111111112"/>
    <x v="1"/>
  </r>
  <r>
    <x v="4"/>
    <s v="Company Y"/>
    <s v="Cream"/>
    <s v="100 mg/ml"/>
    <n v="30"/>
    <n v="1134"/>
    <n v="5856"/>
    <d v="2023-11-03T00:00:00"/>
    <x v="4"/>
    <x v="321"/>
    <x v="1"/>
    <x v="5"/>
    <x v="3"/>
    <s v="Low"/>
    <n v="1.2"/>
    <n v="7027.2"/>
    <n v="0.83333333333333337"/>
    <x v="0"/>
  </r>
  <r>
    <x v="3"/>
    <s v="Company V"/>
    <s v="Cream"/>
    <s v="250 mg"/>
    <s v="50 g"/>
    <n v="1503"/>
    <n v="19148"/>
    <d v="2024-06-26T00:00:00"/>
    <x v="2"/>
    <x v="322"/>
    <x v="2"/>
    <x v="2"/>
    <x v="2"/>
    <s v="Low"/>
    <n v="0.95"/>
    <n v="18190.599999999999"/>
    <n v="1.0526315789473686"/>
    <x v="1"/>
  </r>
  <r>
    <x v="3"/>
    <s v="Company W"/>
    <s v="Tablet"/>
    <s v="500 mg"/>
    <s v="10 ml"/>
    <n v="1509"/>
    <n v="30615"/>
    <d v="2023-12-09T00:00:00"/>
    <x v="3"/>
    <x v="323"/>
    <x v="1"/>
    <x v="4"/>
    <x v="3"/>
    <s v="Medium"/>
    <n v="1.1000000000000001"/>
    <n v="33676.5"/>
    <n v="0.90909090909090906"/>
    <x v="0"/>
  </r>
  <r>
    <x v="4"/>
    <s v="Company V"/>
    <s v="Syrup"/>
    <s v="10 mg"/>
    <s v="10 ml"/>
    <n v="578"/>
    <n v="33113"/>
    <d v="2024-02-17T00:00:00"/>
    <x v="2"/>
    <x v="324"/>
    <x v="0"/>
    <x v="0"/>
    <x v="0"/>
    <s v="Medium"/>
    <n v="0.95"/>
    <n v="31457.35"/>
    <n v="1.0526315789473684"/>
    <x v="1"/>
  </r>
  <r>
    <x v="2"/>
    <s v="Company V"/>
    <s v="Cream"/>
    <s v="250 mg"/>
    <s v="10 ml"/>
    <n v="1195"/>
    <n v="42794"/>
    <d v="2023-09-09T00:00:00"/>
    <x v="4"/>
    <x v="325"/>
    <x v="3"/>
    <x v="9"/>
    <x v="1"/>
    <s v="High"/>
    <n v="1.2"/>
    <n v="51352.799999999996"/>
    <n v="0.83333333333333337"/>
    <x v="0"/>
  </r>
  <r>
    <x v="4"/>
    <s v="Company Y"/>
    <s v="Injection"/>
    <s v="50 mg"/>
    <n v="60"/>
    <n v="485"/>
    <n v="29314"/>
    <d v="2024-03-01T00:00:00"/>
    <x v="4"/>
    <x v="326"/>
    <x v="2"/>
    <x v="8"/>
    <x v="0"/>
    <s v="Medium"/>
    <n v="1.2"/>
    <n v="35176.799999999996"/>
    <n v="0.83333333333333348"/>
    <x v="0"/>
  </r>
  <r>
    <x v="1"/>
    <s v="Company Z"/>
    <s v="Tablet"/>
    <s v="100 mg/ml"/>
    <n v="60"/>
    <n v="819"/>
    <n v="47811"/>
    <d v="2023-10-03T00:00:00"/>
    <x v="0"/>
    <x v="327"/>
    <x v="4"/>
    <x v="10"/>
    <x v="3"/>
    <s v="High"/>
    <n v="1.1000000000000001"/>
    <n v="52592.100000000006"/>
    <n v="0.90909090909090895"/>
    <x v="0"/>
  </r>
  <r>
    <x v="2"/>
    <s v="Company X"/>
    <s v="Syrup"/>
    <s v="100 mg/ml"/>
    <s v="100 ml"/>
    <n v="1654"/>
    <n v="16660"/>
    <d v="2024-04-04T00:00:00"/>
    <x v="0"/>
    <x v="328"/>
    <x v="2"/>
    <x v="11"/>
    <x v="2"/>
    <s v="Low"/>
    <n v="1.1000000000000001"/>
    <n v="18326"/>
    <n v="0.90909090909090906"/>
    <x v="0"/>
  </r>
  <r>
    <x v="4"/>
    <s v="Company W"/>
    <s v="Capsule"/>
    <s v="500 mg"/>
    <n v="60"/>
    <n v="1957"/>
    <n v="32269"/>
    <d v="2024-04-27T00:00:00"/>
    <x v="3"/>
    <x v="329"/>
    <x v="3"/>
    <x v="11"/>
    <x v="2"/>
    <s v="Medium"/>
    <n v="1.1000000000000001"/>
    <n v="35495.9"/>
    <n v="0.90909090909090906"/>
    <x v="0"/>
  </r>
  <r>
    <x v="1"/>
    <s v="Company Z"/>
    <s v="Cream"/>
    <s v="50 mg"/>
    <n v="60"/>
    <n v="799"/>
    <n v="10708"/>
    <d v="2024-03-24T00:00:00"/>
    <x v="3"/>
    <x v="330"/>
    <x v="1"/>
    <x v="8"/>
    <x v="0"/>
    <s v="Low"/>
    <n v="1.1000000000000001"/>
    <n v="11778.800000000001"/>
    <n v="0.90909090909090906"/>
    <x v="0"/>
  </r>
  <r>
    <x v="2"/>
    <s v="Company V"/>
    <s v="Cream"/>
    <s v="10 mg"/>
    <s v="100 ml"/>
    <n v="1532"/>
    <n v="5489"/>
    <d v="2024-04-13T00:00:00"/>
    <x v="4"/>
    <x v="331"/>
    <x v="0"/>
    <x v="11"/>
    <x v="2"/>
    <s v="Low"/>
    <n v="1.2"/>
    <n v="6586.8"/>
    <n v="0.83333333333333326"/>
    <x v="0"/>
  </r>
  <r>
    <x v="3"/>
    <s v="Company W"/>
    <s v="Injection"/>
    <s v="250 mg"/>
    <s v="100 ml"/>
    <n v="1786"/>
    <n v="11345"/>
    <d v="2023-09-12T00:00:00"/>
    <x v="1"/>
    <x v="332"/>
    <x v="1"/>
    <x v="9"/>
    <x v="1"/>
    <s v="Low"/>
    <n v="0.9"/>
    <n v="10210.5"/>
    <n v="1.1111111111111112"/>
    <x v="1"/>
  </r>
  <r>
    <x v="0"/>
    <s v="Company Z"/>
    <s v="Syrup"/>
    <s v="50 mg"/>
    <s v="100 ml"/>
    <n v="1927"/>
    <n v="8953"/>
    <d v="2024-01-02T00:00:00"/>
    <x v="2"/>
    <x v="333"/>
    <x v="1"/>
    <x v="7"/>
    <x v="0"/>
    <s v="Low"/>
    <n v="0.95"/>
    <n v="8505.35"/>
    <n v="1.0526315789473684"/>
    <x v="1"/>
  </r>
  <r>
    <x v="4"/>
    <s v="Company W"/>
    <s v="Capsule"/>
    <s v="10 mg"/>
    <n v="60"/>
    <n v="1475"/>
    <n v="27251"/>
    <d v="2024-07-24T00:00:00"/>
    <x v="1"/>
    <x v="334"/>
    <x v="3"/>
    <x v="3"/>
    <x v="1"/>
    <s v="Medium"/>
    <n v="0.9"/>
    <n v="24525.9"/>
    <n v="1.1111111111111109"/>
    <x v="1"/>
  </r>
  <r>
    <x v="2"/>
    <s v="Company X"/>
    <s v="Capsule"/>
    <s v="100 mg/ml"/>
    <s v="10 ml"/>
    <n v="290"/>
    <n v="16582"/>
    <d v="2024-05-08T00:00:00"/>
    <x v="2"/>
    <x v="335"/>
    <x v="0"/>
    <x v="6"/>
    <x v="2"/>
    <s v="Low"/>
    <n v="0.95"/>
    <n v="15752.9"/>
    <n v="1.0526315789473684"/>
    <x v="1"/>
  </r>
  <r>
    <x v="2"/>
    <s v="Company X"/>
    <s v="Tablet"/>
    <s v="50 mg"/>
    <n v="60"/>
    <n v="677"/>
    <n v="20916"/>
    <d v="2024-03-20T00:00:00"/>
    <x v="2"/>
    <x v="336"/>
    <x v="3"/>
    <x v="8"/>
    <x v="0"/>
    <s v="Medium"/>
    <n v="0.95"/>
    <n v="19870.2"/>
    <n v="1.0526315789473684"/>
    <x v="1"/>
  </r>
  <r>
    <x v="0"/>
    <s v="Company Y"/>
    <s v="Injection"/>
    <s v="50 mg"/>
    <s v="10 ml"/>
    <n v="1728"/>
    <n v="30905"/>
    <d v="2023-12-13T00:00:00"/>
    <x v="4"/>
    <x v="337"/>
    <x v="1"/>
    <x v="4"/>
    <x v="3"/>
    <s v="Medium"/>
    <n v="1.2"/>
    <n v="37086"/>
    <n v="0.83333333333333337"/>
    <x v="0"/>
  </r>
  <r>
    <x v="4"/>
    <s v="Company Y"/>
    <s v="Capsule"/>
    <s v="50 mg"/>
    <s v="10 ml"/>
    <n v="709"/>
    <n v="16636"/>
    <d v="2023-10-07T00:00:00"/>
    <x v="4"/>
    <x v="338"/>
    <x v="0"/>
    <x v="10"/>
    <x v="3"/>
    <s v="Low"/>
    <n v="1.2"/>
    <n v="19963.2"/>
    <n v="0.83333333333333326"/>
    <x v="0"/>
  </r>
  <r>
    <x v="3"/>
    <s v="Company Y"/>
    <s v="Tablet"/>
    <s v="10 mg"/>
    <n v="60"/>
    <n v="1660"/>
    <n v="9172"/>
    <d v="2024-06-29T00:00:00"/>
    <x v="4"/>
    <x v="339"/>
    <x v="4"/>
    <x v="2"/>
    <x v="2"/>
    <s v="Low"/>
    <n v="1.2"/>
    <n v="11006.4"/>
    <n v="0.83333333333333337"/>
    <x v="0"/>
  </r>
  <r>
    <x v="2"/>
    <s v="Company Z"/>
    <s v="Capsule"/>
    <s v="500 mg"/>
    <n v="60"/>
    <n v="1530"/>
    <n v="15055"/>
    <d v="2023-07-29T00:00:00"/>
    <x v="2"/>
    <x v="340"/>
    <x v="4"/>
    <x v="3"/>
    <x v="1"/>
    <s v="Low"/>
    <n v="0.95"/>
    <n v="14302.25"/>
    <n v="1.0526315789473684"/>
    <x v="1"/>
  </r>
  <r>
    <x v="0"/>
    <s v="Company W"/>
    <s v="Tablet"/>
    <s v="500 mg"/>
    <n v="60"/>
    <n v="1804"/>
    <n v="17065"/>
    <d v="2023-09-22T00:00:00"/>
    <x v="2"/>
    <x v="341"/>
    <x v="1"/>
    <x v="9"/>
    <x v="1"/>
    <s v="Low"/>
    <n v="0.95"/>
    <n v="16211.75"/>
    <n v="1.0526315789473684"/>
    <x v="1"/>
  </r>
  <r>
    <x v="2"/>
    <s v="Company V"/>
    <s v="Tablet"/>
    <s v="10 mg"/>
    <s v="10 ml"/>
    <n v="847"/>
    <n v="20074"/>
    <d v="2024-06-08T00:00:00"/>
    <x v="4"/>
    <x v="342"/>
    <x v="2"/>
    <x v="2"/>
    <x v="2"/>
    <s v="Medium"/>
    <n v="1.2"/>
    <n v="24088.799999999999"/>
    <n v="0.83333333333333337"/>
    <x v="0"/>
  </r>
  <r>
    <x v="4"/>
    <s v="Company Z"/>
    <s v="Injection"/>
    <s v="10 mg"/>
    <s v="50 g"/>
    <n v="1944"/>
    <n v="25684"/>
    <d v="2024-03-27T00:00:00"/>
    <x v="2"/>
    <x v="343"/>
    <x v="2"/>
    <x v="8"/>
    <x v="0"/>
    <s v="Medium"/>
    <n v="0.95"/>
    <n v="24399.8"/>
    <n v="1.0526315789473684"/>
    <x v="1"/>
  </r>
  <r>
    <x v="0"/>
    <s v="Company Y"/>
    <s v="Capsule"/>
    <s v="500 mg"/>
    <s v="100 ml"/>
    <n v="1882"/>
    <n v="14779"/>
    <d v="2024-06-15T00:00:00"/>
    <x v="3"/>
    <x v="344"/>
    <x v="2"/>
    <x v="2"/>
    <x v="2"/>
    <s v="Low"/>
    <n v="1.1000000000000001"/>
    <n v="16256.900000000001"/>
    <n v="0.90909090909090906"/>
    <x v="0"/>
  </r>
  <r>
    <x v="2"/>
    <s v="Company W"/>
    <s v="Capsule"/>
    <s v="500 mg"/>
    <s v="50 g"/>
    <n v="377"/>
    <n v="20905"/>
    <d v="2024-02-28T00:00:00"/>
    <x v="3"/>
    <x v="345"/>
    <x v="1"/>
    <x v="0"/>
    <x v="0"/>
    <s v="Medium"/>
    <n v="1.1000000000000001"/>
    <n v="22995.500000000004"/>
    <n v="0.90909090909090895"/>
    <x v="0"/>
  </r>
  <r>
    <x v="1"/>
    <s v="Company W"/>
    <s v="Injection"/>
    <s v="100 mg/ml"/>
    <s v="50 g"/>
    <n v="1784"/>
    <n v="11761"/>
    <d v="2023-08-26T00:00:00"/>
    <x v="2"/>
    <x v="346"/>
    <x v="2"/>
    <x v="1"/>
    <x v="1"/>
    <s v="Low"/>
    <n v="0.95"/>
    <n v="11172.949999999999"/>
    <n v="1.0526315789473686"/>
    <x v="1"/>
  </r>
  <r>
    <x v="2"/>
    <s v="Company X"/>
    <s v="Injection"/>
    <s v="50 mg"/>
    <s v="100 ml"/>
    <n v="1414"/>
    <n v="29966"/>
    <d v="2024-05-12T00:00:00"/>
    <x v="3"/>
    <x v="347"/>
    <x v="0"/>
    <x v="6"/>
    <x v="2"/>
    <s v="Medium"/>
    <n v="1.1000000000000001"/>
    <n v="32962.600000000006"/>
    <n v="0.90909090909090895"/>
    <x v="0"/>
  </r>
  <r>
    <x v="0"/>
    <s v="Company Z"/>
    <s v="Syrup"/>
    <s v="100 mg/ml"/>
    <n v="60"/>
    <n v="1782"/>
    <n v="32047"/>
    <d v="2023-12-24T00:00:00"/>
    <x v="3"/>
    <x v="348"/>
    <x v="1"/>
    <x v="4"/>
    <x v="3"/>
    <s v="Medium"/>
    <n v="1.1000000000000001"/>
    <n v="35251.700000000004"/>
    <n v="0.90909090909090895"/>
    <x v="0"/>
  </r>
  <r>
    <x v="0"/>
    <s v="Company V"/>
    <s v="Syrup"/>
    <s v="100 mg/ml"/>
    <n v="30"/>
    <n v="221"/>
    <n v="40972"/>
    <d v="2024-06-11T00:00:00"/>
    <x v="3"/>
    <x v="349"/>
    <x v="0"/>
    <x v="2"/>
    <x v="2"/>
    <s v="High"/>
    <n v="1.1000000000000001"/>
    <n v="45069.200000000004"/>
    <n v="0.90909090909090895"/>
    <x v="0"/>
  </r>
  <r>
    <x v="2"/>
    <s v="Company W"/>
    <s v="Syrup"/>
    <s v="10 mg"/>
    <n v="60"/>
    <n v="1221"/>
    <n v="15799"/>
    <d v="2023-09-12T00:00:00"/>
    <x v="4"/>
    <x v="350"/>
    <x v="0"/>
    <x v="9"/>
    <x v="1"/>
    <s v="Low"/>
    <n v="1.2"/>
    <n v="18958.8"/>
    <n v="0.83333333333333337"/>
    <x v="0"/>
  </r>
  <r>
    <x v="2"/>
    <s v="Company X"/>
    <s v="Cream"/>
    <s v="500 mg"/>
    <n v="60"/>
    <n v="1461"/>
    <n v="28440"/>
    <d v="2023-08-16T00:00:00"/>
    <x v="1"/>
    <x v="351"/>
    <x v="4"/>
    <x v="1"/>
    <x v="1"/>
    <s v="Medium"/>
    <n v="0.9"/>
    <n v="25596"/>
    <n v="1.1111111111111112"/>
    <x v="1"/>
  </r>
  <r>
    <x v="4"/>
    <s v="Company Z"/>
    <s v="Syrup"/>
    <s v="100 mg/ml"/>
    <s v="100 ml"/>
    <n v="1621"/>
    <n v="22584"/>
    <d v="2023-08-13T00:00:00"/>
    <x v="2"/>
    <x v="352"/>
    <x v="3"/>
    <x v="1"/>
    <x v="1"/>
    <s v="Medium"/>
    <n v="0.95"/>
    <n v="21454.799999999999"/>
    <n v="1.0526315789473684"/>
    <x v="1"/>
  </r>
  <r>
    <x v="3"/>
    <s v="Company Y"/>
    <s v="Capsule"/>
    <s v="50 mg"/>
    <s v="100 ml"/>
    <n v="587"/>
    <n v="49864"/>
    <d v="2023-10-13T00:00:00"/>
    <x v="1"/>
    <x v="353"/>
    <x v="4"/>
    <x v="10"/>
    <x v="3"/>
    <s v="High"/>
    <n v="0.9"/>
    <n v="44877.599999999999"/>
    <n v="1.1111111111111112"/>
    <x v="1"/>
  </r>
  <r>
    <x v="0"/>
    <s v="Company Y"/>
    <s v="Injection"/>
    <s v="10 mg"/>
    <s v="100 ml"/>
    <n v="902"/>
    <n v="15266"/>
    <d v="2023-10-14T00:00:00"/>
    <x v="0"/>
    <x v="354"/>
    <x v="0"/>
    <x v="10"/>
    <x v="3"/>
    <s v="Low"/>
    <n v="1.1000000000000001"/>
    <n v="16792.600000000002"/>
    <n v="0.90909090909090895"/>
    <x v="0"/>
  </r>
  <r>
    <x v="2"/>
    <s v="Company Z"/>
    <s v="Cream"/>
    <s v="10 mg"/>
    <s v="10 ml"/>
    <n v="447"/>
    <n v="5128"/>
    <d v="2023-11-24T00:00:00"/>
    <x v="2"/>
    <x v="355"/>
    <x v="4"/>
    <x v="5"/>
    <x v="3"/>
    <s v="Low"/>
    <n v="0.95"/>
    <n v="4871.5999999999995"/>
    <n v="1.0526315789473686"/>
    <x v="1"/>
  </r>
  <r>
    <x v="3"/>
    <s v="Company X"/>
    <s v="Injection"/>
    <s v="100 mg/ml"/>
    <n v="60"/>
    <n v="646"/>
    <n v="39113"/>
    <d v="2024-07-10T00:00:00"/>
    <x v="0"/>
    <x v="356"/>
    <x v="2"/>
    <x v="3"/>
    <x v="1"/>
    <s v="Medium"/>
    <n v="1.1000000000000001"/>
    <n v="43024.3"/>
    <n v="0.90909090909090906"/>
    <x v="0"/>
  </r>
  <r>
    <x v="4"/>
    <s v="Company V"/>
    <s v="Tablet"/>
    <s v="10 mg"/>
    <s v="100 ml"/>
    <n v="1135"/>
    <n v="12514"/>
    <d v="2023-08-27T00:00:00"/>
    <x v="2"/>
    <x v="357"/>
    <x v="3"/>
    <x v="1"/>
    <x v="1"/>
    <s v="Low"/>
    <n v="0.95"/>
    <n v="11888.3"/>
    <n v="1.0526315789473686"/>
    <x v="1"/>
  </r>
  <r>
    <x v="0"/>
    <s v="Company X"/>
    <s v="Capsule"/>
    <s v="250 mg"/>
    <s v="50 g"/>
    <n v="1494"/>
    <n v="45452"/>
    <d v="2023-12-16T00:00:00"/>
    <x v="1"/>
    <x v="358"/>
    <x v="0"/>
    <x v="4"/>
    <x v="3"/>
    <s v="High"/>
    <n v="0.9"/>
    <n v="40906.800000000003"/>
    <n v="1.1111111111111109"/>
    <x v="1"/>
  </r>
  <r>
    <x v="2"/>
    <s v="Company X"/>
    <s v="Tablet"/>
    <s v="50 mg"/>
    <s v="50 g"/>
    <n v="279"/>
    <n v="32754"/>
    <d v="2024-01-14T00:00:00"/>
    <x v="1"/>
    <x v="359"/>
    <x v="1"/>
    <x v="7"/>
    <x v="0"/>
    <s v="Medium"/>
    <n v="0.9"/>
    <n v="29478.600000000002"/>
    <n v="1.1111111111111109"/>
    <x v="1"/>
  </r>
  <r>
    <x v="1"/>
    <s v="Company V"/>
    <s v="Syrup"/>
    <s v="50 mg"/>
    <s v="50 g"/>
    <n v="302"/>
    <n v="20937"/>
    <d v="2024-05-28T00:00:00"/>
    <x v="0"/>
    <x v="360"/>
    <x v="4"/>
    <x v="6"/>
    <x v="2"/>
    <s v="Medium"/>
    <n v="1.1000000000000001"/>
    <n v="23030.7"/>
    <n v="0.90909090909090906"/>
    <x v="0"/>
  </r>
  <r>
    <x v="4"/>
    <s v="Company Z"/>
    <s v="Injection"/>
    <s v="10 mg"/>
    <s v="10 ml"/>
    <n v="1306"/>
    <n v="35777"/>
    <d v="2024-05-07T00:00:00"/>
    <x v="3"/>
    <x v="255"/>
    <x v="4"/>
    <x v="6"/>
    <x v="2"/>
    <s v="Medium"/>
    <n v="1.1000000000000001"/>
    <n v="39354.700000000004"/>
    <n v="0.90909090909090895"/>
    <x v="0"/>
  </r>
  <r>
    <x v="4"/>
    <s v="Company W"/>
    <s v="Capsule"/>
    <s v="500 mg"/>
    <s v="50 g"/>
    <n v="1372"/>
    <n v="47220"/>
    <d v="2023-11-27T00:00:00"/>
    <x v="4"/>
    <x v="361"/>
    <x v="0"/>
    <x v="5"/>
    <x v="3"/>
    <s v="High"/>
    <n v="1.2"/>
    <n v="56664"/>
    <n v="0.83333333333333337"/>
    <x v="0"/>
  </r>
  <r>
    <x v="2"/>
    <s v="Company X"/>
    <s v="Tablet"/>
    <s v="10 mg"/>
    <n v="60"/>
    <n v="873"/>
    <n v="28524"/>
    <d v="2023-10-01T00:00:00"/>
    <x v="2"/>
    <x v="183"/>
    <x v="1"/>
    <x v="10"/>
    <x v="3"/>
    <s v="Medium"/>
    <n v="0.95"/>
    <n v="27097.8"/>
    <n v="1.0526315789473684"/>
    <x v="1"/>
  </r>
  <r>
    <x v="2"/>
    <s v="Company X"/>
    <s v="Tablet"/>
    <s v="10 mg"/>
    <n v="60"/>
    <n v="1075"/>
    <n v="4900"/>
    <d v="2023-11-21T00:00:00"/>
    <x v="2"/>
    <x v="362"/>
    <x v="4"/>
    <x v="5"/>
    <x v="3"/>
    <s v="Low"/>
    <n v="0.95"/>
    <n v="4655"/>
    <n v="1.0526315789473684"/>
    <x v="1"/>
  </r>
  <r>
    <x v="3"/>
    <s v="Company Y"/>
    <s v="Cream"/>
    <s v="500 mg"/>
    <s v="10 ml"/>
    <n v="862"/>
    <n v="17179"/>
    <d v="2023-11-12T00:00:00"/>
    <x v="3"/>
    <x v="363"/>
    <x v="0"/>
    <x v="5"/>
    <x v="3"/>
    <s v="Low"/>
    <n v="1.1000000000000001"/>
    <n v="18896.900000000001"/>
    <n v="0.90909090909090906"/>
    <x v="0"/>
  </r>
  <r>
    <x v="2"/>
    <s v="Company W"/>
    <s v="Syrup"/>
    <s v="100 mg/ml"/>
    <s v="10 ml"/>
    <n v="1872"/>
    <n v="42474"/>
    <d v="2023-08-01T00:00:00"/>
    <x v="2"/>
    <x v="364"/>
    <x v="2"/>
    <x v="1"/>
    <x v="1"/>
    <s v="High"/>
    <n v="0.95"/>
    <n v="40350.299999999996"/>
    <n v="1.0526315789473686"/>
    <x v="1"/>
  </r>
  <r>
    <x v="1"/>
    <s v="Company V"/>
    <s v="Syrup"/>
    <s v="10 mg"/>
    <s v="50 g"/>
    <n v="1041"/>
    <n v="45750"/>
    <d v="2024-06-14T00:00:00"/>
    <x v="3"/>
    <x v="365"/>
    <x v="1"/>
    <x v="2"/>
    <x v="2"/>
    <s v="High"/>
    <n v="1.1000000000000001"/>
    <n v="50325.000000000007"/>
    <n v="0.90909090909090895"/>
    <x v="0"/>
  </r>
  <r>
    <x v="2"/>
    <s v="Company W"/>
    <s v="Capsule"/>
    <s v="10 mg"/>
    <n v="60"/>
    <n v="149"/>
    <n v="40553"/>
    <d v="2023-11-04T00:00:00"/>
    <x v="3"/>
    <x v="366"/>
    <x v="1"/>
    <x v="5"/>
    <x v="3"/>
    <s v="High"/>
    <n v="1.1000000000000001"/>
    <n v="44608.3"/>
    <n v="0.90909090909090906"/>
    <x v="0"/>
  </r>
  <r>
    <x v="2"/>
    <s v="Company X"/>
    <s v="Injection"/>
    <s v="500 mg"/>
    <n v="60"/>
    <n v="996"/>
    <n v="6016"/>
    <d v="2024-06-19T00:00:00"/>
    <x v="4"/>
    <x v="367"/>
    <x v="2"/>
    <x v="2"/>
    <x v="2"/>
    <s v="Low"/>
    <n v="1.2"/>
    <n v="7219.2"/>
    <n v="0.83333333333333337"/>
    <x v="0"/>
  </r>
  <r>
    <x v="0"/>
    <s v="Company Z"/>
    <s v="Injection"/>
    <s v="500 mg"/>
    <n v="60"/>
    <n v="1890"/>
    <n v="35859"/>
    <d v="2023-11-10T00:00:00"/>
    <x v="0"/>
    <x v="368"/>
    <x v="0"/>
    <x v="5"/>
    <x v="3"/>
    <s v="Medium"/>
    <n v="1.1000000000000001"/>
    <n v="39444.9"/>
    <n v="0.90909090909090906"/>
    <x v="0"/>
  </r>
  <r>
    <x v="0"/>
    <s v="Company X"/>
    <s v="Syrup"/>
    <s v="10 mg"/>
    <n v="30"/>
    <n v="770"/>
    <n v="15607"/>
    <d v="2023-10-17T00:00:00"/>
    <x v="1"/>
    <x v="369"/>
    <x v="4"/>
    <x v="10"/>
    <x v="3"/>
    <s v="Low"/>
    <n v="0.9"/>
    <n v="14046.300000000001"/>
    <n v="1.1111111111111109"/>
    <x v="1"/>
  </r>
  <r>
    <x v="1"/>
    <s v="Company Y"/>
    <s v="Injection"/>
    <s v="50 mg"/>
    <n v="30"/>
    <n v="727"/>
    <n v="3436"/>
    <d v="2024-02-01T00:00:00"/>
    <x v="3"/>
    <x v="370"/>
    <x v="3"/>
    <x v="0"/>
    <x v="0"/>
    <s v="Low"/>
    <n v="1.1000000000000001"/>
    <n v="3779.6000000000004"/>
    <n v="0.90909090909090895"/>
    <x v="0"/>
  </r>
  <r>
    <x v="3"/>
    <s v="Company Z"/>
    <s v="Tablet"/>
    <s v="10 mg"/>
    <s v="100 ml"/>
    <n v="190"/>
    <n v="14001"/>
    <d v="2024-01-11T00:00:00"/>
    <x v="3"/>
    <x v="371"/>
    <x v="4"/>
    <x v="7"/>
    <x v="0"/>
    <s v="Low"/>
    <n v="1.1000000000000001"/>
    <n v="15401.1"/>
    <n v="0.90909090909090906"/>
    <x v="0"/>
  </r>
  <r>
    <x v="4"/>
    <s v="Company X"/>
    <s v="Cream"/>
    <s v="500 mg"/>
    <s v="10 ml"/>
    <n v="1248"/>
    <n v="33631"/>
    <d v="2023-12-16T00:00:00"/>
    <x v="2"/>
    <x v="372"/>
    <x v="0"/>
    <x v="4"/>
    <x v="3"/>
    <s v="Medium"/>
    <n v="0.95"/>
    <n v="31949.449999999997"/>
    <n v="1.0526315789473686"/>
    <x v="1"/>
  </r>
  <r>
    <x v="4"/>
    <s v="Company Z"/>
    <s v="Syrup"/>
    <s v="50 mg"/>
    <n v="30"/>
    <n v="1183"/>
    <n v="39477"/>
    <d v="2024-03-16T00:00:00"/>
    <x v="4"/>
    <x v="373"/>
    <x v="0"/>
    <x v="8"/>
    <x v="0"/>
    <s v="Medium"/>
    <n v="1.2"/>
    <n v="47372.4"/>
    <n v="0.83333333333333326"/>
    <x v="0"/>
  </r>
  <r>
    <x v="3"/>
    <s v="Company Z"/>
    <s v="Tablet"/>
    <s v="250 mg"/>
    <n v="60"/>
    <n v="1394"/>
    <n v="13808"/>
    <d v="2024-04-17T00:00:00"/>
    <x v="2"/>
    <x v="374"/>
    <x v="1"/>
    <x v="11"/>
    <x v="2"/>
    <s v="Low"/>
    <n v="0.95"/>
    <n v="13117.599999999999"/>
    <n v="1.0526315789473686"/>
    <x v="1"/>
  </r>
  <r>
    <x v="1"/>
    <s v="Company Z"/>
    <s v="Syrup"/>
    <s v="500 mg"/>
    <s v="100 ml"/>
    <n v="626"/>
    <n v="28471"/>
    <d v="2023-10-05T00:00:00"/>
    <x v="3"/>
    <x v="375"/>
    <x v="0"/>
    <x v="10"/>
    <x v="3"/>
    <s v="Medium"/>
    <n v="1.1000000000000001"/>
    <n v="31318.100000000002"/>
    <n v="0.90909090909090906"/>
    <x v="0"/>
  </r>
  <r>
    <x v="0"/>
    <s v="Company V"/>
    <s v="Injection"/>
    <s v="10 mg"/>
    <n v="60"/>
    <n v="1394"/>
    <n v="3360"/>
    <d v="2024-06-20T00:00:00"/>
    <x v="3"/>
    <x v="376"/>
    <x v="1"/>
    <x v="2"/>
    <x v="2"/>
    <s v="Low"/>
    <n v="1.1000000000000001"/>
    <n v="3696.0000000000005"/>
    <n v="0.90909090909090895"/>
    <x v="0"/>
  </r>
  <r>
    <x v="0"/>
    <s v="Company X"/>
    <s v="Tablet"/>
    <s v="250 mg"/>
    <n v="30"/>
    <n v="1699"/>
    <n v="25685"/>
    <d v="2023-11-20T00:00:00"/>
    <x v="0"/>
    <x v="377"/>
    <x v="1"/>
    <x v="5"/>
    <x v="3"/>
    <s v="Medium"/>
    <n v="1.1000000000000001"/>
    <n v="28253.500000000004"/>
    <n v="0.90909090909090895"/>
    <x v="0"/>
  </r>
  <r>
    <x v="1"/>
    <s v="Company W"/>
    <s v="Cream"/>
    <s v="250 mg"/>
    <n v="30"/>
    <n v="364"/>
    <n v="20390"/>
    <d v="2023-09-13T00:00:00"/>
    <x v="4"/>
    <x v="378"/>
    <x v="1"/>
    <x v="9"/>
    <x v="1"/>
    <s v="Medium"/>
    <n v="1.2"/>
    <n v="24468"/>
    <n v="0.83333333333333337"/>
    <x v="0"/>
  </r>
  <r>
    <x v="0"/>
    <s v="Company X"/>
    <s v="Injection"/>
    <s v="100 mg/ml"/>
    <n v="60"/>
    <n v="1120"/>
    <n v="22277"/>
    <d v="2023-08-26T00:00:00"/>
    <x v="0"/>
    <x v="379"/>
    <x v="1"/>
    <x v="1"/>
    <x v="1"/>
    <s v="Medium"/>
    <n v="1.1000000000000001"/>
    <n v="24504.7"/>
    <n v="0.90909090909090906"/>
    <x v="0"/>
  </r>
  <r>
    <x v="4"/>
    <s v="Company Y"/>
    <s v="Cream"/>
    <s v="50 mg"/>
    <s v="10 ml"/>
    <n v="323"/>
    <n v="22108"/>
    <d v="2023-08-26T00:00:00"/>
    <x v="4"/>
    <x v="380"/>
    <x v="3"/>
    <x v="1"/>
    <x v="1"/>
    <s v="Medium"/>
    <n v="1.2"/>
    <n v="26529.599999999999"/>
    <n v="0.83333333333333337"/>
    <x v="0"/>
  </r>
  <r>
    <x v="1"/>
    <s v="Company X"/>
    <s v="Capsule"/>
    <s v="500 mg"/>
    <n v="30"/>
    <n v="1394"/>
    <n v="45719"/>
    <d v="2023-09-23T00:00:00"/>
    <x v="0"/>
    <x v="381"/>
    <x v="3"/>
    <x v="9"/>
    <x v="1"/>
    <s v="High"/>
    <n v="1.1000000000000001"/>
    <n v="50290.9"/>
    <n v="0.90909090909090906"/>
    <x v="0"/>
  </r>
  <r>
    <x v="0"/>
    <s v="Company V"/>
    <s v="Syrup"/>
    <s v="250 mg"/>
    <n v="30"/>
    <n v="515"/>
    <n v="10882"/>
    <d v="2024-03-28T00:00:00"/>
    <x v="3"/>
    <x v="382"/>
    <x v="3"/>
    <x v="8"/>
    <x v="0"/>
    <s v="Low"/>
    <n v="1.1000000000000001"/>
    <n v="11970.2"/>
    <n v="0.90909090909090906"/>
    <x v="0"/>
  </r>
  <r>
    <x v="4"/>
    <s v="Company Y"/>
    <s v="Capsule"/>
    <s v="50 mg"/>
    <s v="10 ml"/>
    <n v="1729"/>
    <n v="26352"/>
    <d v="2024-02-20T00:00:00"/>
    <x v="3"/>
    <x v="383"/>
    <x v="4"/>
    <x v="0"/>
    <x v="0"/>
    <s v="Medium"/>
    <n v="1.1000000000000001"/>
    <n v="28987.200000000001"/>
    <n v="0.90909090909090906"/>
    <x v="0"/>
  </r>
  <r>
    <x v="1"/>
    <s v="Company X"/>
    <s v="Capsule"/>
    <s v="50 mg"/>
    <n v="30"/>
    <n v="1208"/>
    <n v="39952"/>
    <d v="2024-03-10T00:00:00"/>
    <x v="0"/>
    <x v="384"/>
    <x v="4"/>
    <x v="8"/>
    <x v="0"/>
    <s v="Medium"/>
    <n v="1.1000000000000001"/>
    <n v="43947.200000000004"/>
    <n v="0.90909090909090895"/>
    <x v="0"/>
  </r>
  <r>
    <x v="4"/>
    <s v="Company X"/>
    <s v="Syrup"/>
    <s v="10 mg"/>
    <n v="30"/>
    <n v="1657"/>
    <n v="21133"/>
    <d v="2024-03-28T00:00:00"/>
    <x v="1"/>
    <x v="385"/>
    <x v="0"/>
    <x v="8"/>
    <x v="0"/>
    <s v="Medium"/>
    <n v="0.9"/>
    <n v="19019.7"/>
    <n v="1.1111111111111112"/>
    <x v="1"/>
  </r>
  <r>
    <x v="3"/>
    <s v="Company W"/>
    <s v="Syrup"/>
    <s v="500 mg"/>
    <n v="60"/>
    <n v="1572"/>
    <n v="46966"/>
    <d v="2023-10-18T00:00:00"/>
    <x v="4"/>
    <x v="386"/>
    <x v="2"/>
    <x v="10"/>
    <x v="3"/>
    <s v="High"/>
    <n v="1.2"/>
    <n v="56359.199999999997"/>
    <n v="0.83333333333333337"/>
    <x v="0"/>
  </r>
  <r>
    <x v="3"/>
    <s v="Company Y"/>
    <s v="Injection"/>
    <s v="500 mg"/>
    <n v="60"/>
    <n v="901"/>
    <n v="37255"/>
    <d v="2023-10-25T00:00:00"/>
    <x v="1"/>
    <x v="387"/>
    <x v="0"/>
    <x v="10"/>
    <x v="3"/>
    <s v="Medium"/>
    <n v="0.9"/>
    <n v="33529.5"/>
    <n v="1.1111111111111112"/>
    <x v="1"/>
  </r>
  <r>
    <x v="2"/>
    <s v="Company X"/>
    <s v="Injection"/>
    <s v="100 mg/ml"/>
    <s v="100 ml"/>
    <n v="814"/>
    <n v="11345"/>
    <d v="2024-02-08T00:00:00"/>
    <x v="2"/>
    <x v="388"/>
    <x v="4"/>
    <x v="0"/>
    <x v="0"/>
    <s v="Low"/>
    <n v="0.95"/>
    <n v="10777.75"/>
    <n v="1.0526315789473684"/>
    <x v="1"/>
  </r>
  <r>
    <x v="1"/>
    <s v="Company X"/>
    <s v="Injection"/>
    <s v="50 mg"/>
    <s v="10 ml"/>
    <n v="1124"/>
    <n v="18402"/>
    <d v="2023-12-30T00:00:00"/>
    <x v="0"/>
    <x v="8"/>
    <x v="3"/>
    <x v="4"/>
    <x v="3"/>
    <s v="Low"/>
    <n v="1.1000000000000001"/>
    <n v="20242.2"/>
    <n v="0.90909090909090906"/>
    <x v="0"/>
  </r>
  <r>
    <x v="0"/>
    <s v="Company X"/>
    <s v="Injection"/>
    <s v="250 mg"/>
    <s v="100 ml"/>
    <n v="1609"/>
    <n v="12823"/>
    <d v="2024-06-27T00:00:00"/>
    <x v="2"/>
    <x v="389"/>
    <x v="3"/>
    <x v="2"/>
    <x v="2"/>
    <s v="Low"/>
    <n v="0.95"/>
    <n v="12181.849999999999"/>
    <n v="1.0526315789473686"/>
    <x v="1"/>
  </r>
  <r>
    <x v="1"/>
    <s v="Company X"/>
    <s v="Injection"/>
    <s v="250 mg"/>
    <s v="50 g"/>
    <n v="846"/>
    <n v="39016"/>
    <d v="2024-02-20T00:00:00"/>
    <x v="0"/>
    <x v="390"/>
    <x v="0"/>
    <x v="0"/>
    <x v="0"/>
    <s v="Medium"/>
    <n v="1.1000000000000001"/>
    <n v="42917.600000000006"/>
    <n v="0.90909090909090895"/>
    <x v="0"/>
  </r>
  <r>
    <x v="3"/>
    <s v="Company V"/>
    <s v="Cream"/>
    <s v="250 mg"/>
    <s v="50 g"/>
    <n v="859"/>
    <n v="49397"/>
    <d v="2023-08-29T00:00:00"/>
    <x v="1"/>
    <x v="391"/>
    <x v="3"/>
    <x v="1"/>
    <x v="1"/>
    <s v="High"/>
    <n v="0.9"/>
    <n v="44457.3"/>
    <n v="1.1111111111111109"/>
    <x v="1"/>
  </r>
  <r>
    <x v="1"/>
    <s v="Company V"/>
    <s v="Tablet"/>
    <s v="250 mg"/>
    <s v="10 ml"/>
    <n v="389"/>
    <n v="3098"/>
    <d v="2024-05-10T00:00:00"/>
    <x v="2"/>
    <x v="392"/>
    <x v="1"/>
    <x v="6"/>
    <x v="2"/>
    <s v="Low"/>
    <n v="0.95"/>
    <n v="2943.1"/>
    <n v="1.0526315789473684"/>
    <x v="1"/>
  </r>
  <r>
    <x v="0"/>
    <s v="Company Z"/>
    <s v="Injection"/>
    <s v="500 mg"/>
    <n v="60"/>
    <n v="1964"/>
    <n v="38375"/>
    <d v="2023-11-24T00:00:00"/>
    <x v="0"/>
    <x v="208"/>
    <x v="0"/>
    <x v="5"/>
    <x v="3"/>
    <s v="Medium"/>
    <n v="1.1000000000000001"/>
    <n v="42212.5"/>
    <n v="0.90909090909090906"/>
    <x v="0"/>
  </r>
  <r>
    <x v="3"/>
    <s v="Company Y"/>
    <s v="Injection"/>
    <s v="100 mg/ml"/>
    <n v="60"/>
    <n v="764"/>
    <n v="2858"/>
    <d v="2023-08-25T00:00:00"/>
    <x v="4"/>
    <x v="393"/>
    <x v="1"/>
    <x v="1"/>
    <x v="1"/>
    <s v="Low"/>
    <n v="1.2"/>
    <n v="3429.6"/>
    <n v="0.83333333333333337"/>
    <x v="0"/>
  </r>
  <r>
    <x v="4"/>
    <s v="Company Y"/>
    <s v="Syrup"/>
    <s v="500 mg"/>
    <n v="30"/>
    <n v="1326"/>
    <n v="20696"/>
    <d v="2024-06-11T00:00:00"/>
    <x v="4"/>
    <x v="394"/>
    <x v="0"/>
    <x v="2"/>
    <x v="2"/>
    <s v="Medium"/>
    <n v="1.2"/>
    <n v="24835.200000000001"/>
    <n v="0.83333333333333326"/>
    <x v="0"/>
  </r>
  <r>
    <x v="1"/>
    <s v="Company Z"/>
    <s v="Cream"/>
    <s v="50 mg"/>
    <s v="50 g"/>
    <n v="229"/>
    <n v="17960"/>
    <d v="2024-03-12T00:00:00"/>
    <x v="2"/>
    <x v="395"/>
    <x v="0"/>
    <x v="8"/>
    <x v="0"/>
    <s v="Low"/>
    <n v="0.95"/>
    <n v="17062"/>
    <n v="1.0526315789473684"/>
    <x v="1"/>
  </r>
  <r>
    <x v="1"/>
    <s v="Company V"/>
    <s v="Tablet"/>
    <s v="50 mg"/>
    <s v="10 ml"/>
    <n v="1201"/>
    <n v="15965"/>
    <d v="2024-04-05T00:00:00"/>
    <x v="0"/>
    <x v="396"/>
    <x v="0"/>
    <x v="11"/>
    <x v="2"/>
    <s v="Low"/>
    <n v="1.1000000000000001"/>
    <n v="17561.5"/>
    <n v="0.90909090909090906"/>
    <x v="0"/>
  </r>
  <r>
    <x v="0"/>
    <s v="Company V"/>
    <s v="Tablet"/>
    <s v="500 mg"/>
    <n v="60"/>
    <n v="498"/>
    <n v="17227"/>
    <d v="2024-03-31T00:00:00"/>
    <x v="0"/>
    <x v="397"/>
    <x v="0"/>
    <x v="8"/>
    <x v="0"/>
    <s v="Low"/>
    <n v="1.1000000000000001"/>
    <n v="18949.7"/>
    <n v="0.90909090909090906"/>
    <x v="0"/>
  </r>
  <r>
    <x v="1"/>
    <s v="Company W"/>
    <s v="Capsule"/>
    <s v="500 mg"/>
    <n v="60"/>
    <n v="1171"/>
    <n v="1301"/>
    <d v="2023-10-03T00:00:00"/>
    <x v="2"/>
    <x v="398"/>
    <x v="2"/>
    <x v="10"/>
    <x v="3"/>
    <s v="Low"/>
    <n v="0.95"/>
    <n v="1235.95"/>
    <n v="1.0526315789473684"/>
    <x v="1"/>
  </r>
  <r>
    <x v="4"/>
    <s v="Company Y"/>
    <s v="Injection"/>
    <s v="10 mg"/>
    <n v="30"/>
    <n v="429"/>
    <n v="1770"/>
    <d v="2024-05-30T00:00:00"/>
    <x v="3"/>
    <x v="399"/>
    <x v="4"/>
    <x v="6"/>
    <x v="2"/>
    <s v="Low"/>
    <n v="1.1000000000000001"/>
    <n v="1947.0000000000002"/>
    <n v="0.90909090909090895"/>
    <x v="0"/>
  </r>
  <r>
    <x v="3"/>
    <s v="Company Z"/>
    <s v="Capsule"/>
    <s v="50 mg"/>
    <n v="60"/>
    <n v="149"/>
    <n v="24712"/>
    <d v="2024-07-24T00:00:00"/>
    <x v="2"/>
    <x v="400"/>
    <x v="3"/>
    <x v="3"/>
    <x v="1"/>
    <s v="Medium"/>
    <n v="0.95"/>
    <n v="23476.399999999998"/>
    <n v="1.0526315789473686"/>
    <x v="1"/>
  </r>
  <r>
    <x v="0"/>
    <s v="Company Y"/>
    <s v="Cream"/>
    <s v="250 mg"/>
    <n v="60"/>
    <n v="832"/>
    <n v="41916"/>
    <d v="2024-04-19T00:00:00"/>
    <x v="0"/>
    <x v="401"/>
    <x v="3"/>
    <x v="11"/>
    <x v="2"/>
    <s v="High"/>
    <n v="1.1000000000000001"/>
    <n v="46107.600000000006"/>
    <n v="0.90909090909090895"/>
    <x v="0"/>
  </r>
  <r>
    <x v="2"/>
    <s v="Company X"/>
    <s v="Syrup"/>
    <s v="500 mg"/>
    <s v="50 g"/>
    <n v="324"/>
    <n v="40529"/>
    <d v="2023-08-16T00:00:00"/>
    <x v="1"/>
    <x v="402"/>
    <x v="0"/>
    <x v="1"/>
    <x v="1"/>
    <s v="High"/>
    <n v="0.9"/>
    <n v="36476.1"/>
    <n v="1.1111111111111112"/>
    <x v="1"/>
  </r>
  <r>
    <x v="1"/>
    <s v="Company Y"/>
    <s v="Capsule"/>
    <s v="500 mg"/>
    <s v="10 ml"/>
    <n v="244"/>
    <n v="34645"/>
    <d v="2024-04-14T00:00:00"/>
    <x v="0"/>
    <x v="403"/>
    <x v="0"/>
    <x v="11"/>
    <x v="2"/>
    <s v="Medium"/>
    <n v="1.1000000000000001"/>
    <n v="38109.5"/>
    <n v="0.90909090909090906"/>
    <x v="0"/>
  </r>
  <r>
    <x v="1"/>
    <s v="Company Z"/>
    <s v="Syrup"/>
    <s v="50 mg"/>
    <n v="60"/>
    <n v="298"/>
    <n v="26167"/>
    <d v="2023-11-17T00:00:00"/>
    <x v="3"/>
    <x v="404"/>
    <x v="4"/>
    <x v="5"/>
    <x v="3"/>
    <s v="Medium"/>
    <n v="1.1000000000000001"/>
    <n v="28783.7"/>
    <n v="0.90909090909090906"/>
    <x v="0"/>
  </r>
  <r>
    <x v="1"/>
    <s v="Company X"/>
    <s v="Syrup"/>
    <s v="100 mg/ml"/>
    <n v="30"/>
    <n v="1148"/>
    <n v="49962"/>
    <d v="2023-12-22T00:00:00"/>
    <x v="3"/>
    <x v="405"/>
    <x v="0"/>
    <x v="4"/>
    <x v="3"/>
    <s v="High"/>
    <n v="1.1000000000000001"/>
    <n v="54958.200000000004"/>
    <n v="0.90909090909090906"/>
    <x v="0"/>
  </r>
  <r>
    <x v="1"/>
    <s v="Company Z"/>
    <s v="Syrup"/>
    <s v="250 mg"/>
    <n v="60"/>
    <n v="1090"/>
    <n v="1972"/>
    <d v="2023-12-31T00:00:00"/>
    <x v="1"/>
    <x v="406"/>
    <x v="2"/>
    <x v="4"/>
    <x v="3"/>
    <s v="Low"/>
    <n v="0.9"/>
    <n v="1774.8"/>
    <n v="1.1111111111111112"/>
    <x v="1"/>
  </r>
  <r>
    <x v="0"/>
    <s v="Company V"/>
    <s v="Injection"/>
    <s v="100 mg/ml"/>
    <s v="100 ml"/>
    <n v="1944"/>
    <n v="26394"/>
    <d v="2024-05-01T00:00:00"/>
    <x v="3"/>
    <x v="407"/>
    <x v="2"/>
    <x v="6"/>
    <x v="2"/>
    <s v="Medium"/>
    <n v="1.1000000000000001"/>
    <n v="29033.4"/>
    <n v="0.90909090909090906"/>
    <x v="0"/>
  </r>
  <r>
    <x v="1"/>
    <s v="Company Z"/>
    <s v="Injection"/>
    <s v="10 mg"/>
    <n v="30"/>
    <n v="835"/>
    <n v="30738"/>
    <d v="2024-06-23T00:00:00"/>
    <x v="1"/>
    <x v="408"/>
    <x v="4"/>
    <x v="2"/>
    <x v="2"/>
    <s v="Medium"/>
    <n v="0.9"/>
    <n v="27664.2"/>
    <n v="1.1111111111111112"/>
    <x v="1"/>
  </r>
  <r>
    <x v="3"/>
    <s v="Company V"/>
    <s v="Injection"/>
    <s v="10 mg"/>
    <s v="100 ml"/>
    <n v="1156"/>
    <n v="38835"/>
    <d v="2024-04-14T00:00:00"/>
    <x v="3"/>
    <x v="409"/>
    <x v="2"/>
    <x v="11"/>
    <x v="2"/>
    <s v="Medium"/>
    <n v="1.1000000000000001"/>
    <n v="42718.5"/>
    <n v="0.90909090909090906"/>
    <x v="0"/>
  </r>
  <r>
    <x v="2"/>
    <s v="Company Z"/>
    <s v="Cream"/>
    <s v="500 mg"/>
    <n v="60"/>
    <n v="728"/>
    <n v="11807"/>
    <d v="2024-01-08T00:00:00"/>
    <x v="2"/>
    <x v="410"/>
    <x v="2"/>
    <x v="7"/>
    <x v="0"/>
    <s v="Low"/>
    <n v="0.95"/>
    <n v="11216.65"/>
    <n v="1.0526315789473684"/>
    <x v="1"/>
  </r>
  <r>
    <x v="1"/>
    <s v="Company Z"/>
    <s v="Syrup"/>
    <s v="250 mg"/>
    <s v="100 ml"/>
    <n v="1706"/>
    <n v="30997"/>
    <d v="2023-11-08T00:00:00"/>
    <x v="0"/>
    <x v="411"/>
    <x v="3"/>
    <x v="5"/>
    <x v="3"/>
    <s v="Medium"/>
    <n v="1.1000000000000001"/>
    <n v="34096.700000000004"/>
    <n v="0.90909090909090895"/>
    <x v="0"/>
  </r>
  <r>
    <x v="0"/>
    <s v="Company W"/>
    <s v="Cream"/>
    <s v="10 mg"/>
    <n v="60"/>
    <n v="1281"/>
    <n v="18807"/>
    <d v="2024-07-03T00:00:00"/>
    <x v="3"/>
    <x v="412"/>
    <x v="0"/>
    <x v="3"/>
    <x v="1"/>
    <s v="Low"/>
    <n v="1.1000000000000001"/>
    <n v="20687.7"/>
    <n v="0.90909090909090906"/>
    <x v="0"/>
  </r>
  <r>
    <x v="3"/>
    <s v="Company Z"/>
    <s v="Capsule"/>
    <s v="100 mg/ml"/>
    <n v="30"/>
    <n v="1507"/>
    <n v="30246"/>
    <d v="2024-05-12T00:00:00"/>
    <x v="4"/>
    <x v="413"/>
    <x v="2"/>
    <x v="6"/>
    <x v="2"/>
    <s v="Medium"/>
    <n v="1.2"/>
    <n v="36295.199999999997"/>
    <n v="0.83333333333333337"/>
    <x v="0"/>
  </r>
  <r>
    <x v="2"/>
    <s v="Company W"/>
    <s v="Cream"/>
    <s v="100 mg/ml"/>
    <s v="10 ml"/>
    <n v="1337"/>
    <n v="1231"/>
    <d v="2023-09-21T00:00:00"/>
    <x v="3"/>
    <x v="414"/>
    <x v="2"/>
    <x v="9"/>
    <x v="1"/>
    <s v="Low"/>
    <n v="1.1000000000000001"/>
    <n v="1354.1000000000001"/>
    <n v="0.90909090909090895"/>
    <x v="0"/>
  </r>
  <r>
    <x v="1"/>
    <s v="Company Z"/>
    <s v="Capsule"/>
    <s v="100 mg/ml"/>
    <n v="60"/>
    <n v="483"/>
    <n v="10434"/>
    <d v="2024-04-12T00:00:00"/>
    <x v="2"/>
    <x v="415"/>
    <x v="4"/>
    <x v="11"/>
    <x v="2"/>
    <s v="Low"/>
    <n v="0.95"/>
    <n v="9912.2999999999993"/>
    <n v="1.0526315789473686"/>
    <x v="1"/>
  </r>
  <r>
    <x v="1"/>
    <s v="Company X"/>
    <s v="Injection"/>
    <s v="250 mg"/>
    <s v="50 g"/>
    <n v="1562"/>
    <n v="4538"/>
    <d v="2023-11-27T00:00:00"/>
    <x v="3"/>
    <x v="416"/>
    <x v="4"/>
    <x v="5"/>
    <x v="3"/>
    <s v="Low"/>
    <n v="1.1000000000000001"/>
    <n v="4991.8"/>
    <n v="0.90909090909090906"/>
    <x v="0"/>
  </r>
  <r>
    <x v="3"/>
    <s v="Company Y"/>
    <s v="Syrup"/>
    <s v="250 mg"/>
    <s v="50 g"/>
    <n v="1893"/>
    <n v="10971"/>
    <d v="2024-01-09T00:00:00"/>
    <x v="1"/>
    <x v="417"/>
    <x v="0"/>
    <x v="7"/>
    <x v="0"/>
    <s v="Low"/>
    <n v="0.9"/>
    <n v="9873.9"/>
    <n v="1.1111111111111112"/>
    <x v="1"/>
  </r>
  <r>
    <x v="0"/>
    <s v="Company X"/>
    <s v="Tablet"/>
    <s v="10 mg"/>
    <s v="10 ml"/>
    <n v="368"/>
    <n v="16546"/>
    <d v="2024-03-15T00:00:00"/>
    <x v="2"/>
    <x v="418"/>
    <x v="1"/>
    <x v="8"/>
    <x v="0"/>
    <s v="Low"/>
    <n v="0.95"/>
    <n v="15718.699999999999"/>
    <n v="1.0526315789473686"/>
    <x v="1"/>
  </r>
  <r>
    <x v="3"/>
    <s v="Company Z"/>
    <s v="Cream"/>
    <s v="50 mg"/>
    <s v="50 g"/>
    <n v="1781"/>
    <n v="2138"/>
    <d v="2024-01-30T00:00:00"/>
    <x v="3"/>
    <x v="419"/>
    <x v="1"/>
    <x v="7"/>
    <x v="0"/>
    <s v="Low"/>
    <n v="1.1000000000000001"/>
    <n v="2351.8000000000002"/>
    <n v="0.90909090909090906"/>
    <x v="0"/>
  </r>
  <r>
    <x v="4"/>
    <s v="Company X"/>
    <s v="Injection"/>
    <s v="250 mg"/>
    <n v="30"/>
    <n v="440"/>
    <n v="20986"/>
    <d v="2023-10-20T00:00:00"/>
    <x v="2"/>
    <x v="420"/>
    <x v="0"/>
    <x v="10"/>
    <x v="3"/>
    <s v="Medium"/>
    <n v="0.95"/>
    <n v="19936.7"/>
    <n v="1.0526315789473684"/>
    <x v="1"/>
  </r>
  <r>
    <x v="1"/>
    <s v="Company Z"/>
    <s v="Syrup"/>
    <s v="100 mg/ml"/>
    <s v="100 ml"/>
    <n v="214"/>
    <n v="43574"/>
    <d v="2023-10-13T00:00:00"/>
    <x v="4"/>
    <x v="421"/>
    <x v="2"/>
    <x v="10"/>
    <x v="3"/>
    <s v="High"/>
    <n v="1.2"/>
    <n v="52288.799999999996"/>
    <n v="0.83333333333333337"/>
    <x v="0"/>
  </r>
  <r>
    <x v="0"/>
    <s v="Company W"/>
    <s v="Tablet"/>
    <s v="500 mg"/>
    <n v="30"/>
    <n v="472"/>
    <n v="19038"/>
    <d v="2024-05-19T00:00:00"/>
    <x v="4"/>
    <x v="422"/>
    <x v="0"/>
    <x v="6"/>
    <x v="2"/>
    <s v="Low"/>
    <n v="1.2"/>
    <n v="22845.599999999999"/>
    <n v="0.83333333333333337"/>
    <x v="0"/>
  </r>
  <r>
    <x v="0"/>
    <s v="Company W"/>
    <s v="Tablet"/>
    <s v="50 mg"/>
    <n v="30"/>
    <n v="1484"/>
    <n v="29949"/>
    <d v="2024-04-06T00:00:00"/>
    <x v="1"/>
    <x v="423"/>
    <x v="4"/>
    <x v="11"/>
    <x v="2"/>
    <s v="Medium"/>
    <n v="0.9"/>
    <n v="26954.100000000002"/>
    <n v="1.1111111111111109"/>
    <x v="1"/>
  </r>
  <r>
    <x v="2"/>
    <s v="Company X"/>
    <s v="Tablet"/>
    <s v="250 mg"/>
    <s v="100 ml"/>
    <n v="914"/>
    <n v="34019"/>
    <d v="2023-08-15T00:00:00"/>
    <x v="4"/>
    <x v="424"/>
    <x v="2"/>
    <x v="1"/>
    <x v="1"/>
    <s v="Medium"/>
    <n v="1.2"/>
    <n v="40822.799999999996"/>
    <n v="0.83333333333333337"/>
    <x v="0"/>
  </r>
  <r>
    <x v="2"/>
    <s v="Company Y"/>
    <s v="Capsule"/>
    <s v="10 mg"/>
    <s v="100 ml"/>
    <n v="1423"/>
    <n v="36260"/>
    <d v="2023-11-08T00:00:00"/>
    <x v="3"/>
    <x v="425"/>
    <x v="2"/>
    <x v="5"/>
    <x v="3"/>
    <s v="Medium"/>
    <n v="1.1000000000000001"/>
    <n v="39886"/>
    <n v="0.90909090909090906"/>
    <x v="0"/>
  </r>
  <r>
    <x v="3"/>
    <s v="Company Z"/>
    <s v="Tablet"/>
    <s v="500 mg"/>
    <n v="60"/>
    <n v="1566"/>
    <n v="16223"/>
    <d v="2024-02-02T00:00:00"/>
    <x v="4"/>
    <x v="426"/>
    <x v="4"/>
    <x v="0"/>
    <x v="0"/>
    <s v="Low"/>
    <n v="1.2"/>
    <n v="19467.599999999999"/>
    <n v="0.83333333333333337"/>
    <x v="0"/>
  </r>
  <r>
    <x v="2"/>
    <s v="Company Z"/>
    <s v="Syrup"/>
    <s v="10 mg"/>
    <n v="30"/>
    <n v="908"/>
    <n v="43749"/>
    <d v="2023-10-22T00:00:00"/>
    <x v="1"/>
    <x v="427"/>
    <x v="3"/>
    <x v="10"/>
    <x v="3"/>
    <s v="High"/>
    <n v="0.9"/>
    <n v="39374.1"/>
    <n v="1.1111111111111112"/>
    <x v="1"/>
  </r>
  <r>
    <x v="3"/>
    <s v="Company X"/>
    <s v="Tablet"/>
    <s v="250 mg"/>
    <n v="60"/>
    <n v="1387"/>
    <n v="44173"/>
    <d v="2024-07-02T00:00:00"/>
    <x v="4"/>
    <x v="428"/>
    <x v="2"/>
    <x v="3"/>
    <x v="1"/>
    <s v="High"/>
    <n v="1.2"/>
    <n v="53007.6"/>
    <n v="0.83333333333333337"/>
    <x v="0"/>
  </r>
  <r>
    <x v="2"/>
    <s v="Company V"/>
    <s v="Capsule"/>
    <s v="250 mg"/>
    <n v="60"/>
    <n v="755"/>
    <n v="34127"/>
    <d v="2023-11-08T00:00:00"/>
    <x v="0"/>
    <x v="429"/>
    <x v="2"/>
    <x v="5"/>
    <x v="3"/>
    <s v="Medium"/>
    <n v="1.1000000000000001"/>
    <n v="37539.700000000004"/>
    <n v="0.90909090909090895"/>
    <x v="0"/>
  </r>
  <r>
    <x v="3"/>
    <s v="Company V"/>
    <s v="Capsule"/>
    <s v="500 mg"/>
    <s v="100 ml"/>
    <n v="1434"/>
    <n v="43000"/>
    <d v="2024-01-25T00:00:00"/>
    <x v="2"/>
    <x v="430"/>
    <x v="4"/>
    <x v="7"/>
    <x v="0"/>
    <s v="High"/>
    <n v="0.95"/>
    <n v="40850"/>
    <n v="1.0526315789473684"/>
    <x v="1"/>
  </r>
  <r>
    <x v="0"/>
    <s v="Company Z"/>
    <s v="Syrup"/>
    <s v="50 mg"/>
    <s v="10 ml"/>
    <n v="1286"/>
    <n v="1777"/>
    <d v="2023-11-03T00:00:00"/>
    <x v="3"/>
    <x v="431"/>
    <x v="1"/>
    <x v="5"/>
    <x v="3"/>
    <s v="Low"/>
    <n v="1.1000000000000001"/>
    <n v="1954.7"/>
    <n v="0.90909090909090906"/>
    <x v="0"/>
  </r>
  <r>
    <x v="4"/>
    <s v="Company V"/>
    <s v="Injection"/>
    <s v="500 mg"/>
    <n v="60"/>
    <n v="992"/>
    <n v="4119"/>
    <d v="2024-03-06T00:00:00"/>
    <x v="2"/>
    <x v="432"/>
    <x v="1"/>
    <x v="8"/>
    <x v="0"/>
    <s v="Low"/>
    <n v="0.95"/>
    <n v="3913.0499999999997"/>
    <n v="1.0526315789473686"/>
    <x v="1"/>
  </r>
  <r>
    <x v="0"/>
    <s v="Company Z"/>
    <s v="Injection"/>
    <s v="100 mg/ml"/>
    <n v="60"/>
    <n v="130"/>
    <n v="37525"/>
    <d v="2024-05-03T00:00:00"/>
    <x v="2"/>
    <x v="433"/>
    <x v="1"/>
    <x v="6"/>
    <x v="2"/>
    <s v="Medium"/>
    <n v="0.95"/>
    <n v="35648.75"/>
    <n v="1.0526315789473684"/>
    <x v="1"/>
  </r>
  <r>
    <x v="2"/>
    <s v="Company W"/>
    <s v="Tablet"/>
    <s v="100 mg/ml"/>
    <s v="10 ml"/>
    <n v="1575"/>
    <n v="15314"/>
    <d v="2023-08-03T00:00:00"/>
    <x v="3"/>
    <x v="434"/>
    <x v="2"/>
    <x v="1"/>
    <x v="1"/>
    <s v="Low"/>
    <n v="1.1000000000000001"/>
    <n v="16845.400000000001"/>
    <n v="0.90909090909090906"/>
    <x v="0"/>
  </r>
  <r>
    <x v="3"/>
    <s v="Company Y"/>
    <s v="Tablet"/>
    <s v="100 mg/ml"/>
    <n v="30"/>
    <n v="634"/>
    <n v="28930"/>
    <d v="2023-08-26T00:00:00"/>
    <x v="4"/>
    <x v="435"/>
    <x v="3"/>
    <x v="1"/>
    <x v="1"/>
    <s v="Medium"/>
    <n v="1.2"/>
    <n v="34716"/>
    <n v="0.83333333333333337"/>
    <x v="0"/>
  </r>
  <r>
    <x v="2"/>
    <s v="Company W"/>
    <s v="Cream"/>
    <s v="250 mg"/>
    <s v="100 ml"/>
    <n v="937"/>
    <n v="1592"/>
    <d v="2023-11-25T00:00:00"/>
    <x v="1"/>
    <x v="436"/>
    <x v="1"/>
    <x v="5"/>
    <x v="3"/>
    <s v="Low"/>
    <n v="0.9"/>
    <n v="1432.8"/>
    <n v="1.1111111111111112"/>
    <x v="1"/>
  </r>
  <r>
    <x v="3"/>
    <s v="Company W"/>
    <s v="Injection"/>
    <s v="100 mg/ml"/>
    <n v="60"/>
    <n v="653"/>
    <n v="40612"/>
    <d v="2023-10-11T00:00:00"/>
    <x v="0"/>
    <x v="437"/>
    <x v="0"/>
    <x v="10"/>
    <x v="3"/>
    <s v="High"/>
    <n v="1.1000000000000001"/>
    <n v="44673.200000000004"/>
    <n v="0.90909090909090895"/>
    <x v="0"/>
  </r>
  <r>
    <x v="1"/>
    <s v="Company W"/>
    <s v="Cream"/>
    <s v="500 mg"/>
    <n v="30"/>
    <n v="924"/>
    <n v="12763"/>
    <d v="2023-12-28T00:00:00"/>
    <x v="3"/>
    <x v="438"/>
    <x v="3"/>
    <x v="4"/>
    <x v="3"/>
    <s v="Low"/>
    <n v="1.1000000000000001"/>
    <n v="14039.300000000001"/>
    <n v="0.90909090909090906"/>
    <x v="0"/>
  </r>
  <r>
    <x v="3"/>
    <s v="Company Z"/>
    <s v="Injection"/>
    <s v="100 mg/ml"/>
    <s v="10 ml"/>
    <n v="1480"/>
    <n v="22509"/>
    <d v="2023-12-18T00:00:00"/>
    <x v="1"/>
    <x v="439"/>
    <x v="3"/>
    <x v="4"/>
    <x v="3"/>
    <s v="Medium"/>
    <n v="0.9"/>
    <n v="20258.100000000002"/>
    <n v="1.1111111111111109"/>
    <x v="1"/>
  </r>
  <r>
    <x v="0"/>
    <s v="Company X"/>
    <s v="Cream"/>
    <s v="50 mg"/>
    <n v="30"/>
    <n v="1069"/>
    <n v="20868"/>
    <d v="2024-04-07T00:00:00"/>
    <x v="3"/>
    <x v="440"/>
    <x v="4"/>
    <x v="11"/>
    <x v="2"/>
    <s v="Medium"/>
    <n v="1.1000000000000001"/>
    <n v="22954.800000000003"/>
    <n v="0.90909090909090895"/>
    <x v="0"/>
  </r>
  <r>
    <x v="0"/>
    <s v="Company W"/>
    <s v="Syrup"/>
    <s v="250 mg"/>
    <n v="30"/>
    <n v="1480"/>
    <n v="28254"/>
    <d v="2024-06-13T00:00:00"/>
    <x v="2"/>
    <x v="441"/>
    <x v="4"/>
    <x v="2"/>
    <x v="2"/>
    <s v="Medium"/>
    <n v="0.95"/>
    <n v="26841.3"/>
    <n v="1.0526315789473684"/>
    <x v="1"/>
  </r>
  <r>
    <x v="1"/>
    <s v="Company W"/>
    <s v="Injection"/>
    <s v="50 mg"/>
    <s v="100 ml"/>
    <n v="1744"/>
    <n v="47553"/>
    <d v="2023-08-06T00:00:00"/>
    <x v="4"/>
    <x v="442"/>
    <x v="4"/>
    <x v="1"/>
    <x v="1"/>
    <s v="High"/>
    <n v="1.2"/>
    <n v="57063.6"/>
    <n v="0.83333333333333337"/>
    <x v="0"/>
  </r>
  <r>
    <x v="1"/>
    <s v="Company Y"/>
    <s v="Injection"/>
    <s v="250 mg"/>
    <n v="30"/>
    <n v="343"/>
    <n v="15580"/>
    <d v="2023-09-06T00:00:00"/>
    <x v="2"/>
    <x v="443"/>
    <x v="0"/>
    <x v="9"/>
    <x v="1"/>
    <s v="Low"/>
    <n v="0.95"/>
    <n v="14801"/>
    <n v="1.0526315789473684"/>
    <x v="1"/>
  </r>
  <r>
    <x v="1"/>
    <s v="Company V"/>
    <s v="Cream"/>
    <s v="100 mg/ml"/>
    <s v="50 g"/>
    <n v="1448"/>
    <n v="36442"/>
    <d v="2024-06-07T00:00:00"/>
    <x v="4"/>
    <x v="444"/>
    <x v="0"/>
    <x v="2"/>
    <x v="2"/>
    <s v="Medium"/>
    <n v="1.2"/>
    <n v="43730.400000000001"/>
    <n v="0.83333333333333326"/>
    <x v="0"/>
  </r>
  <r>
    <x v="3"/>
    <s v="Company Z"/>
    <s v="Injection"/>
    <s v="100 mg/ml"/>
    <s v="50 g"/>
    <n v="1484"/>
    <n v="24252"/>
    <d v="2023-08-22T00:00:00"/>
    <x v="2"/>
    <x v="445"/>
    <x v="2"/>
    <x v="1"/>
    <x v="1"/>
    <s v="Medium"/>
    <n v="0.95"/>
    <n v="23039.399999999998"/>
    <n v="1.0526315789473686"/>
    <x v="1"/>
  </r>
  <r>
    <x v="2"/>
    <s v="Company Z"/>
    <s v="Injection"/>
    <s v="100 mg/ml"/>
    <s v="50 g"/>
    <n v="646"/>
    <n v="39816"/>
    <d v="2024-03-21T00:00:00"/>
    <x v="0"/>
    <x v="446"/>
    <x v="4"/>
    <x v="8"/>
    <x v="0"/>
    <s v="Medium"/>
    <n v="1.1000000000000001"/>
    <n v="43797.600000000006"/>
    <n v="0.90909090909090895"/>
    <x v="0"/>
  </r>
  <r>
    <x v="0"/>
    <s v="Company W"/>
    <s v="Injection"/>
    <s v="500 mg"/>
    <s v="100 ml"/>
    <n v="873"/>
    <n v="19598"/>
    <d v="2024-03-27T00:00:00"/>
    <x v="0"/>
    <x v="447"/>
    <x v="0"/>
    <x v="8"/>
    <x v="0"/>
    <s v="Low"/>
    <n v="1.1000000000000001"/>
    <n v="21557.800000000003"/>
    <n v="0.90909090909090895"/>
    <x v="0"/>
  </r>
  <r>
    <x v="4"/>
    <s v="Company Z"/>
    <s v="Injection"/>
    <s v="500 mg"/>
    <s v="10 ml"/>
    <n v="507"/>
    <n v="2658"/>
    <d v="2023-11-17T00:00:00"/>
    <x v="3"/>
    <x v="448"/>
    <x v="0"/>
    <x v="5"/>
    <x v="3"/>
    <s v="Low"/>
    <n v="1.1000000000000001"/>
    <n v="2923.8"/>
    <n v="0.90909090909090906"/>
    <x v="0"/>
  </r>
  <r>
    <x v="1"/>
    <s v="Company Z"/>
    <s v="Injection"/>
    <s v="100 mg/ml"/>
    <n v="30"/>
    <n v="1465"/>
    <n v="22742"/>
    <d v="2024-06-19T00:00:00"/>
    <x v="4"/>
    <x v="449"/>
    <x v="0"/>
    <x v="2"/>
    <x v="2"/>
    <s v="Medium"/>
    <n v="1.2"/>
    <n v="27290.399999999998"/>
    <n v="0.83333333333333337"/>
    <x v="0"/>
  </r>
  <r>
    <x v="0"/>
    <s v="Company Z"/>
    <s v="Tablet"/>
    <s v="250 mg"/>
    <s v="50 g"/>
    <n v="917"/>
    <n v="16758"/>
    <d v="2024-02-27T00:00:00"/>
    <x v="3"/>
    <x v="450"/>
    <x v="1"/>
    <x v="0"/>
    <x v="0"/>
    <s v="Low"/>
    <n v="1.1000000000000001"/>
    <n v="18433.800000000003"/>
    <n v="0.90909090909090895"/>
    <x v="0"/>
  </r>
  <r>
    <x v="1"/>
    <s v="Company W"/>
    <s v="Cream"/>
    <s v="500 mg"/>
    <s v="50 g"/>
    <n v="450"/>
    <n v="4842"/>
    <d v="2024-04-21T00:00:00"/>
    <x v="2"/>
    <x v="451"/>
    <x v="2"/>
    <x v="11"/>
    <x v="2"/>
    <s v="Low"/>
    <n v="0.95"/>
    <n v="4599.8999999999996"/>
    <n v="1.0526315789473686"/>
    <x v="1"/>
  </r>
  <r>
    <x v="4"/>
    <s v="Company V"/>
    <s v="Syrup"/>
    <s v="100 mg/ml"/>
    <n v="60"/>
    <n v="1036"/>
    <n v="28098"/>
    <d v="2023-10-02T00:00:00"/>
    <x v="0"/>
    <x v="452"/>
    <x v="0"/>
    <x v="10"/>
    <x v="3"/>
    <s v="Medium"/>
    <n v="1.1000000000000001"/>
    <n v="30907.800000000003"/>
    <n v="0.90909090909090906"/>
    <x v="0"/>
  </r>
  <r>
    <x v="4"/>
    <s v="Company W"/>
    <s v="Tablet"/>
    <s v="50 mg"/>
    <n v="30"/>
    <n v="355"/>
    <n v="16758"/>
    <d v="2023-10-04T00:00:00"/>
    <x v="2"/>
    <x v="453"/>
    <x v="3"/>
    <x v="10"/>
    <x v="3"/>
    <s v="Low"/>
    <n v="0.95"/>
    <n v="15920.099999999999"/>
    <n v="1.0526315789473686"/>
    <x v="1"/>
  </r>
  <r>
    <x v="1"/>
    <s v="Company Y"/>
    <s v="Capsule"/>
    <s v="10 mg"/>
    <s v="10 ml"/>
    <n v="159"/>
    <n v="10132"/>
    <d v="2023-10-13T00:00:00"/>
    <x v="4"/>
    <x v="454"/>
    <x v="2"/>
    <x v="10"/>
    <x v="3"/>
    <s v="Low"/>
    <n v="1.2"/>
    <n v="12158.4"/>
    <n v="0.83333333333333337"/>
    <x v="0"/>
  </r>
  <r>
    <x v="2"/>
    <s v="Company V"/>
    <s v="Injection"/>
    <s v="100 mg/ml"/>
    <n v="30"/>
    <n v="1835"/>
    <n v="48131"/>
    <d v="2024-04-21T00:00:00"/>
    <x v="0"/>
    <x v="455"/>
    <x v="2"/>
    <x v="11"/>
    <x v="2"/>
    <s v="High"/>
    <n v="1.1000000000000001"/>
    <n v="52944.100000000006"/>
    <n v="0.90909090909090895"/>
    <x v="0"/>
  </r>
  <r>
    <x v="1"/>
    <s v="Company Y"/>
    <s v="Tablet"/>
    <s v="50 mg"/>
    <n v="30"/>
    <n v="345"/>
    <n v="23783"/>
    <d v="2023-10-15T00:00:00"/>
    <x v="4"/>
    <x v="456"/>
    <x v="3"/>
    <x v="10"/>
    <x v="3"/>
    <s v="Medium"/>
    <n v="1.2"/>
    <n v="28539.599999999999"/>
    <n v="0.83333333333333337"/>
    <x v="0"/>
  </r>
  <r>
    <x v="2"/>
    <s v="Company Z"/>
    <s v="Capsule"/>
    <s v="100 mg/ml"/>
    <n v="30"/>
    <n v="1701"/>
    <n v="38134"/>
    <d v="2024-06-06T00:00:00"/>
    <x v="4"/>
    <x v="457"/>
    <x v="0"/>
    <x v="2"/>
    <x v="2"/>
    <s v="Medium"/>
    <n v="1.2"/>
    <n v="45760.799999999996"/>
    <n v="0.83333333333333337"/>
    <x v="0"/>
  </r>
  <r>
    <x v="2"/>
    <s v="Company X"/>
    <s v="Capsule"/>
    <s v="10 mg"/>
    <n v="30"/>
    <n v="966"/>
    <n v="29754"/>
    <d v="2023-09-27T00:00:00"/>
    <x v="4"/>
    <x v="458"/>
    <x v="2"/>
    <x v="9"/>
    <x v="1"/>
    <s v="Medium"/>
    <n v="1.2"/>
    <n v="35704.799999999996"/>
    <n v="0.83333333333333348"/>
    <x v="0"/>
  </r>
  <r>
    <x v="3"/>
    <s v="Company X"/>
    <s v="Cream"/>
    <s v="50 mg"/>
    <s v="50 g"/>
    <n v="1876"/>
    <n v="35523"/>
    <d v="2024-05-21T00:00:00"/>
    <x v="4"/>
    <x v="459"/>
    <x v="2"/>
    <x v="6"/>
    <x v="2"/>
    <s v="Medium"/>
    <n v="1.2"/>
    <n v="42627.6"/>
    <n v="0.83333333333333337"/>
    <x v="0"/>
  </r>
  <r>
    <x v="4"/>
    <s v="Company Z"/>
    <s v="Tablet"/>
    <s v="10 mg"/>
    <s v="100 ml"/>
    <n v="1589"/>
    <n v="39611"/>
    <d v="2024-07-16T00:00:00"/>
    <x v="0"/>
    <x v="460"/>
    <x v="1"/>
    <x v="3"/>
    <x v="1"/>
    <s v="Medium"/>
    <n v="1.1000000000000001"/>
    <n v="43572.100000000006"/>
    <n v="0.90909090909090895"/>
    <x v="0"/>
  </r>
  <r>
    <x v="1"/>
    <s v="Company Z"/>
    <s v="Syrup"/>
    <s v="100 mg/ml"/>
    <n v="60"/>
    <n v="1236"/>
    <n v="5976"/>
    <d v="2024-03-10T00:00:00"/>
    <x v="2"/>
    <x v="461"/>
    <x v="4"/>
    <x v="8"/>
    <x v="0"/>
    <s v="Low"/>
    <n v="0.95"/>
    <n v="5677.2"/>
    <n v="1.0526315789473684"/>
    <x v="1"/>
  </r>
  <r>
    <x v="4"/>
    <s v="Company W"/>
    <s v="Capsule"/>
    <s v="100 mg/ml"/>
    <n v="30"/>
    <n v="406"/>
    <n v="19800"/>
    <d v="2023-10-06T00:00:00"/>
    <x v="0"/>
    <x v="462"/>
    <x v="3"/>
    <x v="10"/>
    <x v="3"/>
    <s v="Low"/>
    <n v="1.1000000000000001"/>
    <n v="21780"/>
    <n v="0.90909090909090906"/>
    <x v="0"/>
  </r>
  <r>
    <x v="1"/>
    <s v="Company W"/>
    <s v="Capsule"/>
    <s v="250 mg"/>
    <n v="60"/>
    <n v="1477"/>
    <n v="42087"/>
    <d v="2024-01-11T00:00:00"/>
    <x v="4"/>
    <x v="463"/>
    <x v="2"/>
    <x v="7"/>
    <x v="0"/>
    <s v="High"/>
    <n v="1.2"/>
    <n v="50504.4"/>
    <n v="0.83333333333333326"/>
    <x v="0"/>
  </r>
  <r>
    <x v="2"/>
    <s v="Company Y"/>
    <s v="Syrup"/>
    <s v="100 mg/ml"/>
    <s v="100 ml"/>
    <n v="1684"/>
    <n v="49229"/>
    <d v="2024-05-09T00:00:00"/>
    <x v="3"/>
    <x v="464"/>
    <x v="3"/>
    <x v="6"/>
    <x v="2"/>
    <s v="High"/>
    <n v="1.1000000000000001"/>
    <n v="54151.9"/>
    <n v="0.90909090909090906"/>
    <x v="0"/>
  </r>
  <r>
    <x v="2"/>
    <s v="Company Y"/>
    <s v="Cream"/>
    <s v="100 mg/ml"/>
    <s v="50 g"/>
    <n v="849"/>
    <n v="45151"/>
    <d v="2023-08-02T00:00:00"/>
    <x v="3"/>
    <x v="465"/>
    <x v="3"/>
    <x v="1"/>
    <x v="1"/>
    <s v="High"/>
    <n v="1.1000000000000001"/>
    <n v="49666.100000000006"/>
    <n v="0.90909090909090895"/>
    <x v="0"/>
  </r>
  <r>
    <x v="3"/>
    <s v="Company X"/>
    <s v="Tablet"/>
    <s v="500 mg"/>
    <s v="50 g"/>
    <n v="849"/>
    <n v="39729"/>
    <d v="2023-08-24T00:00:00"/>
    <x v="0"/>
    <x v="466"/>
    <x v="2"/>
    <x v="1"/>
    <x v="1"/>
    <s v="Medium"/>
    <n v="1.1000000000000001"/>
    <n v="43701.9"/>
    <n v="0.90909090909090906"/>
    <x v="0"/>
  </r>
  <r>
    <x v="4"/>
    <s v="Company W"/>
    <s v="Capsule"/>
    <s v="50 mg"/>
    <n v="30"/>
    <n v="1743"/>
    <n v="11137"/>
    <d v="2023-11-30T00:00:00"/>
    <x v="2"/>
    <x v="467"/>
    <x v="0"/>
    <x v="5"/>
    <x v="3"/>
    <s v="Low"/>
    <n v="0.95"/>
    <n v="10580.15"/>
    <n v="1.0526315789473684"/>
    <x v="1"/>
  </r>
  <r>
    <x v="1"/>
    <s v="Company Z"/>
    <s v="Injection"/>
    <s v="10 mg"/>
    <s v="50 g"/>
    <n v="359"/>
    <n v="14269"/>
    <d v="2023-11-07T00:00:00"/>
    <x v="4"/>
    <x v="468"/>
    <x v="4"/>
    <x v="5"/>
    <x v="3"/>
    <s v="Low"/>
    <n v="1.2"/>
    <n v="17122.8"/>
    <n v="0.83333333333333337"/>
    <x v="0"/>
  </r>
  <r>
    <x v="0"/>
    <s v="Company Z"/>
    <s v="Tablet"/>
    <s v="100 mg/ml"/>
    <s v="100 ml"/>
    <n v="573"/>
    <n v="4115"/>
    <d v="2024-06-12T00:00:00"/>
    <x v="0"/>
    <x v="469"/>
    <x v="4"/>
    <x v="2"/>
    <x v="2"/>
    <s v="Low"/>
    <n v="1.1000000000000001"/>
    <n v="4526.5"/>
    <n v="0.90909090909090906"/>
    <x v="0"/>
  </r>
  <r>
    <x v="0"/>
    <s v="Company W"/>
    <s v="Cream"/>
    <s v="500 mg"/>
    <s v="10 ml"/>
    <n v="1330"/>
    <n v="28423"/>
    <d v="2023-09-16T00:00:00"/>
    <x v="0"/>
    <x v="470"/>
    <x v="2"/>
    <x v="9"/>
    <x v="1"/>
    <s v="Medium"/>
    <n v="1.1000000000000001"/>
    <n v="31265.300000000003"/>
    <n v="0.90909090909090906"/>
    <x v="0"/>
  </r>
  <r>
    <x v="1"/>
    <s v="Company Z"/>
    <s v="Tablet"/>
    <s v="100 mg/ml"/>
    <n v="30"/>
    <n v="1087"/>
    <n v="15485"/>
    <d v="2024-03-06T00:00:00"/>
    <x v="2"/>
    <x v="471"/>
    <x v="4"/>
    <x v="8"/>
    <x v="0"/>
    <s v="Low"/>
    <n v="0.95"/>
    <n v="14710.75"/>
    <n v="1.0526315789473684"/>
    <x v="1"/>
  </r>
  <r>
    <x v="0"/>
    <s v="Company W"/>
    <s v="Capsule"/>
    <s v="50 mg"/>
    <s v="100 ml"/>
    <n v="404"/>
    <n v="8798"/>
    <d v="2023-10-08T00:00:00"/>
    <x v="2"/>
    <x v="472"/>
    <x v="4"/>
    <x v="10"/>
    <x v="3"/>
    <s v="Low"/>
    <n v="0.95"/>
    <n v="8358.1"/>
    <n v="1.0526315789473684"/>
    <x v="1"/>
  </r>
  <r>
    <x v="3"/>
    <s v="Company X"/>
    <s v="Cream"/>
    <s v="250 mg"/>
    <n v="60"/>
    <n v="1641"/>
    <n v="4850"/>
    <d v="2023-10-01T00:00:00"/>
    <x v="4"/>
    <x v="473"/>
    <x v="1"/>
    <x v="10"/>
    <x v="3"/>
    <s v="Low"/>
    <n v="1.2"/>
    <n v="5820"/>
    <n v="0.83333333333333337"/>
    <x v="0"/>
  </r>
  <r>
    <x v="4"/>
    <s v="Company X"/>
    <s v="Capsule"/>
    <s v="500 mg"/>
    <s v="50 g"/>
    <n v="1013"/>
    <n v="38304"/>
    <d v="2023-09-18T00:00:00"/>
    <x v="3"/>
    <x v="474"/>
    <x v="2"/>
    <x v="9"/>
    <x v="1"/>
    <s v="Medium"/>
    <n v="1.1000000000000001"/>
    <n v="42134.400000000001"/>
    <n v="0.90909090909090906"/>
    <x v="0"/>
  </r>
  <r>
    <x v="1"/>
    <s v="Company Z"/>
    <s v="Injection"/>
    <s v="10 mg"/>
    <s v="10 ml"/>
    <n v="434"/>
    <n v="32258"/>
    <d v="2024-07-23T00:00:00"/>
    <x v="4"/>
    <x v="475"/>
    <x v="0"/>
    <x v="3"/>
    <x v="1"/>
    <s v="Medium"/>
    <n v="1.2"/>
    <n v="38709.599999999999"/>
    <n v="0.83333333333333337"/>
    <x v="0"/>
  </r>
  <r>
    <x v="4"/>
    <s v="Company Y"/>
    <s v="Injection"/>
    <s v="50 mg"/>
    <n v="30"/>
    <n v="857"/>
    <n v="25111"/>
    <d v="2023-08-30T00:00:00"/>
    <x v="4"/>
    <x v="476"/>
    <x v="1"/>
    <x v="1"/>
    <x v="1"/>
    <s v="Medium"/>
    <n v="1.2"/>
    <n v="30133.199999999997"/>
    <n v="0.83333333333333337"/>
    <x v="0"/>
  </r>
  <r>
    <x v="1"/>
    <s v="Company V"/>
    <s v="Cream"/>
    <s v="250 mg"/>
    <n v="30"/>
    <n v="1215"/>
    <n v="3802"/>
    <d v="2024-05-22T00:00:00"/>
    <x v="0"/>
    <x v="477"/>
    <x v="4"/>
    <x v="6"/>
    <x v="2"/>
    <s v="Low"/>
    <n v="1.1000000000000001"/>
    <n v="4182.2000000000007"/>
    <n v="0.90909090909090895"/>
    <x v="0"/>
  </r>
  <r>
    <x v="1"/>
    <s v="Company Y"/>
    <s v="Injection"/>
    <s v="250 mg"/>
    <n v="60"/>
    <n v="1206"/>
    <n v="30473"/>
    <d v="2023-10-09T00:00:00"/>
    <x v="2"/>
    <x v="478"/>
    <x v="1"/>
    <x v="10"/>
    <x v="3"/>
    <s v="Medium"/>
    <n v="0.95"/>
    <n v="28949.35"/>
    <n v="1.0526315789473686"/>
    <x v="1"/>
  </r>
  <r>
    <x v="3"/>
    <s v="Company V"/>
    <s v="Cream"/>
    <s v="100 mg/ml"/>
    <s v="50 g"/>
    <n v="1028"/>
    <n v="26345"/>
    <d v="2024-01-02T00:00:00"/>
    <x v="3"/>
    <x v="479"/>
    <x v="0"/>
    <x v="7"/>
    <x v="0"/>
    <s v="Medium"/>
    <n v="1.1000000000000001"/>
    <n v="28979.500000000004"/>
    <n v="0.90909090909090895"/>
    <x v="0"/>
  </r>
  <r>
    <x v="0"/>
    <s v="Company X"/>
    <s v="Syrup"/>
    <s v="100 mg/ml"/>
    <s v="100 ml"/>
    <n v="1821"/>
    <n v="49772"/>
    <d v="2023-08-05T00:00:00"/>
    <x v="3"/>
    <x v="480"/>
    <x v="0"/>
    <x v="1"/>
    <x v="1"/>
    <s v="High"/>
    <n v="1.1000000000000001"/>
    <n v="54749.200000000004"/>
    <n v="0.90909090909090906"/>
    <x v="0"/>
  </r>
  <r>
    <x v="4"/>
    <s v="Company Z"/>
    <s v="Capsule"/>
    <s v="100 mg/ml"/>
    <s v="100 ml"/>
    <n v="187"/>
    <n v="33824"/>
    <d v="2024-05-19T00:00:00"/>
    <x v="4"/>
    <x v="481"/>
    <x v="4"/>
    <x v="6"/>
    <x v="2"/>
    <s v="Medium"/>
    <n v="1.2"/>
    <n v="40588.799999999996"/>
    <n v="0.83333333333333337"/>
    <x v="0"/>
  </r>
  <r>
    <x v="3"/>
    <s v="Company Z"/>
    <s v="Capsule"/>
    <s v="250 mg"/>
    <s v="10 ml"/>
    <n v="1978"/>
    <n v="10298"/>
    <d v="2024-04-27T00:00:00"/>
    <x v="0"/>
    <x v="482"/>
    <x v="3"/>
    <x v="11"/>
    <x v="2"/>
    <s v="Low"/>
    <n v="1.1000000000000001"/>
    <n v="11327.800000000001"/>
    <n v="0.90909090909090895"/>
    <x v="0"/>
  </r>
  <r>
    <x v="4"/>
    <s v="Company W"/>
    <s v="Tablet"/>
    <s v="50 mg"/>
    <s v="50 g"/>
    <n v="310"/>
    <n v="8780"/>
    <d v="2023-12-21T00:00:00"/>
    <x v="0"/>
    <x v="483"/>
    <x v="4"/>
    <x v="4"/>
    <x v="3"/>
    <s v="Low"/>
    <n v="1.1000000000000001"/>
    <n v="9658"/>
    <n v="0.90909090909090906"/>
    <x v="0"/>
  </r>
  <r>
    <x v="2"/>
    <s v="Company V"/>
    <s v="Capsule"/>
    <s v="500 mg"/>
    <n v="30"/>
    <n v="1232"/>
    <n v="14892"/>
    <d v="2023-12-26T00:00:00"/>
    <x v="1"/>
    <x v="484"/>
    <x v="0"/>
    <x v="4"/>
    <x v="3"/>
    <s v="Low"/>
    <n v="0.9"/>
    <n v="13402.800000000001"/>
    <n v="1.1111111111111109"/>
    <x v="1"/>
  </r>
  <r>
    <x v="1"/>
    <s v="Company W"/>
    <s v="Tablet"/>
    <s v="100 mg/ml"/>
    <s v="100 ml"/>
    <n v="1147"/>
    <n v="31546"/>
    <d v="2023-12-03T00:00:00"/>
    <x v="0"/>
    <x v="485"/>
    <x v="4"/>
    <x v="4"/>
    <x v="3"/>
    <s v="Medium"/>
    <n v="1.1000000000000001"/>
    <n v="34700.600000000006"/>
    <n v="0.90909090909090895"/>
    <x v="0"/>
  </r>
  <r>
    <x v="4"/>
    <s v="Company V"/>
    <s v="Capsule"/>
    <s v="10 mg"/>
    <n v="60"/>
    <n v="157"/>
    <n v="25507"/>
    <d v="2023-09-08T00:00:00"/>
    <x v="2"/>
    <x v="486"/>
    <x v="4"/>
    <x v="9"/>
    <x v="1"/>
    <s v="Medium"/>
    <n v="0.95"/>
    <n v="24231.649999999998"/>
    <n v="1.0526315789473686"/>
    <x v="1"/>
  </r>
  <r>
    <x v="3"/>
    <s v="Company X"/>
    <s v="Capsule"/>
    <s v="100 mg/ml"/>
    <n v="30"/>
    <n v="110"/>
    <n v="48715"/>
    <d v="2024-05-05T00:00:00"/>
    <x v="0"/>
    <x v="487"/>
    <x v="0"/>
    <x v="6"/>
    <x v="2"/>
    <s v="High"/>
    <n v="1.1000000000000001"/>
    <n v="53586.500000000007"/>
    <n v="0.90909090909090895"/>
    <x v="0"/>
  </r>
  <r>
    <x v="2"/>
    <s v="Company V"/>
    <s v="Injection"/>
    <s v="50 mg"/>
    <s v="100 ml"/>
    <n v="1496"/>
    <n v="30359"/>
    <d v="2024-01-04T00:00:00"/>
    <x v="3"/>
    <x v="488"/>
    <x v="3"/>
    <x v="7"/>
    <x v="0"/>
    <s v="Medium"/>
    <n v="1.1000000000000001"/>
    <n v="33394.9"/>
    <n v="0.90909090909090906"/>
    <x v="0"/>
  </r>
  <r>
    <x v="4"/>
    <s v="Company V"/>
    <s v="Syrup"/>
    <s v="50 mg"/>
    <s v="50 g"/>
    <n v="1677"/>
    <n v="14519"/>
    <d v="2024-05-09T00:00:00"/>
    <x v="1"/>
    <x v="489"/>
    <x v="0"/>
    <x v="6"/>
    <x v="2"/>
    <s v="Low"/>
    <n v="0.9"/>
    <n v="13067.1"/>
    <n v="1.1111111111111112"/>
    <x v="1"/>
  </r>
  <r>
    <x v="2"/>
    <s v="Company Y"/>
    <s v="Syrup"/>
    <s v="10 mg"/>
    <n v="30"/>
    <n v="103"/>
    <n v="39963"/>
    <d v="2024-01-26T00:00:00"/>
    <x v="4"/>
    <x v="490"/>
    <x v="4"/>
    <x v="7"/>
    <x v="0"/>
    <s v="Medium"/>
    <n v="1.2"/>
    <n v="47955.6"/>
    <n v="0.83333333333333337"/>
    <x v="0"/>
  </r>
  <r>
    <x v="4"/>
    <s v="Company W"/>
    <s v="Cream"/>
    <s v="250 mg"/>
    <n v="30"/>
    <n v="621"/>
    <n v="14108"/>
    <d v="2024-03-07T00:00:00"/>
    <x v="1"/>
    <x v="491"/>
    <x v="2"/>
    <x v="8"/>
    <x v="0"/>
    <s v="Low"/>
    <n v="0.9"/>
    <n v="12697.2"/>
    <n v="1.1111111111111109"/>
    <x v="1"/>
  </r>
  <r>
    <x v="0"/>
    <s v="Company V"/>
    <s v="Tablet"/>
    <s v="500 mg"/>
    <n v="30"/>
    <n v="467"/>
    <n v="42438"/>
    <d v="2024-04-14T00:00:00"/>
    <x v="4"/>
    <x v="492"/>
    <x v="1"/>
    <x v="11"/>
    <x v="2"/>
    <s v="High"/>
    <n v="1.2"/>
    <n v="50925.599999999999"/>
    <n v="0.83333333333333337"/>
    <x v="0"/>
  </r>
  <r>
    <x v="3"/>
    <s v="Company V"/>
    <s v="Syrup"/>
    <s v="50 mg"/>
    <n v="60"/>
    <n v="528"/>
    <n v="12478"/>
    <d v="2024-07-19T00:00:00"/>
    <x v="2"/>
    <x v="493"/>
    <x v="2"/>
    <x v="3"/>
    <x v="1"/>
    <s v="Low"/>
    <n v="0.95"/>
    <n v="11854.099999999999"/>
    <n v="1.0526315789473686"/>
    <x v="1"/>
  </r>
  <r>
    <x v="0"/>
    <s v="Company Y"/>
    <s v="Syrup"/>
    <s v="100 mg/ml"/>
    <n v="30"/>
    <n v="651"/>
    <n v="43294"/>
    <d v="2023-09-15T00:00:00"/>
    <x v="1"/>
    <x v="494"/>
    <x v="2"/>
    <x v="9"/>
    <x v="1"/>
    <s v="High"/>
    <n v="0.9"/>
    <n v="38964.6"/>
    <n v="1.1111111111111112"/>
    <x v="1"/>
  </r>
  <r>
    <x v="2"/>
    <s v="Company Y"/>
    <s v="Capsule"/>
    <s v="250 mg"/>
    <s v="100 ml"/>
    <n v="213"/>
    <n v="41727"/>
    <d v="2023-11-23T00:00:00"/>
    <x v="2"/>
    <x v="495"/>
    <x v="3"/>
    <x v="5"/>
    <x v="3"/>
    <s v="High"/>
    <n v="0.95"/>
    <n v="39640.65"/>
    <n v="1.0526315789473684"/>
    <x v="1"/>
  </r>
  <r>
    <x v="3"/>
    <s v="Company Y"/>
    <s v="Cream"/>
    <s v="250 mg"/>
    <s v="50 g"/>
    <n v="1808"/>
    <n v="18900"/>
    <d v="2024-03-14T00:00:00"/>
    <x v="2"/>
    <x v="496"/>
    <x v="1"/>
    <x v="8"/>
    <x v="0"/>
    <s v="Low"/>
    <n v="0.95"/>
    <n v="17955"/>
    <n v="1.0526315789473684"/>
    <x v="1"/>
  </r>
  <r>
    <x v="0"/>
    <s v="Company Z"/>
    <s v="Tablet"/>
    <s v="100 mg/ml"/>
    <n v="30"/>
    <n v="979"/>
    <n v="33935"/>
    <d v="2023-12-14T00:00:00"/>
    <x v="3"/>
    <x v="497"/>
    <x v="3"/>
    <x v="4"/>
    <x v="3"/>
    <s v="Medium"/>
    <n v="1.1000000000000001"/>
    <n v="37328.5"/>
    <n v="0.90909090909090906"/>
    <x v="0"/>
  </r>
  <r>
    <x v="1"/>
    <s v="Company W"/>
    <s v="Injection"/>
    <s v="100 mg/ml"/>
    <s v="10 ml"/>
    <n v="903"/>
    <n v="29491"/>
    <d v="2023-09-22T00:00:00"/>
    <x v="1"/>
    <x v="498"/>
    <x v="3"/>
    <x v="9"/>
    <x v="1"/>
    <s v="Medium"/>
    <n v="0.9"/>
    <n v="26541.9"/>
    <n v="1.1111111111111112"/>
    <x v="1"/>
  </r>
  <r>
    <x v="4"/>
    <s v="Company Z"/>
    <s v="Tablet"/>
    <s v="500 mg"/>
    <s v="10 ml"/>
    <n v="1873"/>
    <n v="47958"/>
    <d v="2023-11-09T00:00:00"/>
    <x v="0"/>
    <x v="499"/>
    <x v="1"/>
    <x v="5"/>
    <x v="3"/>
    <s v="High"/>
    <n v="1.1000000000000001"/>
    <n v="52753.8"/>
    <n v="0.90909090909090906"/>
    <x v="0"/>
  </r>
  <r>
    <x v="4"/>
    <s v="Company X"/>
    <s v="Syrup"/>
    <s v="100 mg/ml"/>
    <n v="30"/>
    <n v="1575"/>
    <n v="39809"/>
    <d v="2023-12-25T00:00:00"/>
    <x v="2"/>
    <x v="500"/>
    <x v="0"/>
    <x v="4"/>
    <x v="3"/>
    <s v="Medium"/>
    <n v="0.95"/>
    <n v="37818.549999999996"/>
    <n v="1.0526315789473686"/>
    <x v="1"/>
  </r>
  <r>
    <x v="3"/>
    <s v="Company V"/>
    <s v="Tablet"/>
    <s v="50 mg"/>
    <n v="60"/>
    <n v="1178"/>
    <n v="26564"/>
    <d v="2024-01-01T00:00:00"/>
    <x v="2"/>
    <x v="501"/>
    <x v="3"/>
    <x v="7"/>
    <x v="0"/>
    <s v="Medium"/>
    <n v="0.95"/>
    <n v="25235.8"/>
    <n v="1.0526315789473684"/>
    <x v="1"/>
  </r>
  <r>
    <x v="2"/>
    <s v="Company Y"/>
    <s v="Syrup"/>
    <s v="10 mg"/>
    <n v="30"/>
    <n v="136"/>
    <n v="28942"/>
    <d v="2023-10-31T00:00:00"/>
    <x v="3"/>
    <x v="502"/>
    <x v="4"/>
    <x v="10"/>
    <x v="3"/>
    <s v="Medium"/>
    <n v="1.1000000000000001"/>
    <n v="31836.200000000004"/>
    <n v="0.90909090909090895"/>
    <x v="0"/>
  </r>
  <r>
    <x v="2"/>
    <s v="Company W"/>
    <s v="Tablet"/>
    <s v="250 mg"/>
    <s v="50 g"/>
    <n v="177"/>
    <n v="38415"/>
    <d v="2024-01-20T00:00:00"/>
    <x v="3"/>
    <x v="503"/>
    <x v="4"/>
    <x v="7"/>
    <x v="0"/>
    <s v="Medium"/>
    <n v="1.1000000000000001"/>
    <n v="42256.5"/>
    <n v="0.90909090909090906"/>
    <x v="0"/>
  </r>
  <r>
    <x v="2"/>
    <s v="Company V"/>
    <s v="Capsule"/>
    <s v="500 mg"/>
    <s v="10 ml"/>
    <n v="267"/>
    <n v="37982"/>
    <d v="2024-02-25T00:00:00"/>
    <x v="1"/>
    <x v="504"/>
    <x v="3"/>
    <x v="0"/>
    <x v="0"/>
    <s v="Medium"/>
    <n v="0.9"/>
    <n v="34183.800000000003"/>
    <n v="1.1111111111111109"/>
    <x v="1"/>
  </r>
  <r>
    <x v="3"/>
    <s v="Company Y"/>
    <s v="Syrup"/>
    <s v="10 mg"/>
    <s v="10 ml"/>
    <n v="539"/>
    <n v="28332"/>
    <d v="2024-06-23T00:00:00"/>
    <x v="0"/>
    <x v="505"/>
    <x v="1"/>
    <x v="2"/>
    <x v="2"/>
    <s v="Medium"/>
    <n v="1.1000000000000001"/>
    <n v="31165.200000000001"/>
    <n v="0.90909090909090906"/>
    <x v="0"/>
  </r>
  <r>
    <x v="0"/>
    <s v="Company Y"/>
    <s v="Cream"/>
    <s v="100 mg/ml"/>
    <s v="100 ml"/>
    <n v="1637"/>
    <n v="28078"/>
    <d v="2023-12-20T00:00:00"/>
    <x v="0"/>
    <x v="506"/>
    <x v="2"/>
    <x v="4"/>
    <x v="3"/>
    <s v="Medium"/>
    <n v="1.1000000000000001"/>
    <n v="30885.800000000003"/>
    <n v="0.90909090909090906"/>
    <x v="0"/>
  </r>
  <r>
    <x v="1"/>
    <s v="Company V"/>
    <s v="Injection"/>
    <s v="100 mg/ml"/>
    <s v="50 g"/>
    <n v="895"/>
    <n v="1117"/>
    <d v="2024-04-16T00:00:00"/>
    <x v="1"/>
    <x v="507"/>
    <x v="1"/>
    <x v="11"/>
    <x v="2"/>
    <s v="Low"/>
    <n v="0.9"/>
    <n v="1005.3000000000001"/>
    <n v="1.1111111111111109"/>
    <x v="1"/>
  </r>
  <r>
    <x v="3"/>
    <s v="Company Z"/>
    <s v="Syrup"/>
    <s v="100 mg/ml"/>
    <s v="50 g"/>
    <n v="545"/>
    <n v="7812"/>
    <d v="2024-03-15T00:00:00"/>
    <x v="1"/>
    <x v="508"/>
    <x v="0"/>
    <x v="8"/>
    <x v="0"/>
    <s v="Low"/>
    <n v="0.9"/>
    <n v="7030.8"/>
    <n v="1.1111111111111112"/>
    <x v="1"/>
  </r>
  <r>
    <x v="4"/>
    <s v="Company Y"/>
    <s v="Syrup"/>
    <s v="10 mg"/>
    <n v="60"/>
    <n v="809"/>
    <n v="34972"/>
    <d v="2023-08-24T00:00:00"/>
    <x v="2"/>
    <x v="509"/>
    <x v="1"/>
    <x v="1"/>
    <x v="1"/>
    <s v="Medium"/>
    <n v="0.95"/>
    <n v="33223.4"/>
    <n v="1.0526315789473684"/>
    <x v="1"/>
  </r>
  <r>
    <x v="1"/>
    <s v="Company X"/>
    <s v="Capsule"/>
    <s v="50 mg"/>
    <s v="50 g"/>
    <n v="251"/>
    <n v="33441"/>
    <d v="2023-08-07T00:00:00"/>
    <x v="3"/>
    <x v="510"/>
    <x v="2"/>
    <x v="1"/>
    <x v="1"/>
    <s v="Medium"/>
    <n v="1.1000000000000001"/>
    <n v="36785.100000000006"/>
    <n v="0.90909090909090895"/>
    <x v="0"/>
  </r>
  <r>
    <x v="4"/>
    <s v="Company X"/>
    <s v="Cream"/>
    <s v="100 mg/ml"/>
    <s v="50 g"/>
    <n v="954"/>
    <n v="6130"/>
    <d v="2023-08-20T00:00:00"/>
    <x v="1"/>
    <x v="511"/>
    <x v="2"/>
    <x v="1"/>
    <x v="1"/>
    <s v="Low"/>
    <n v="0.9"/>
    <n v="5517"/>
    <n v="1.1111111111111112"/>
    <x v="1"/>
  </r>
  <r>
    <x v="0"/>
    <s v="Company V"/>
    <s v="Syrup"/>
    <s v="500 mg"/>
    <s v="50 g"/>
    <n v="1105"/>
    <n v="9186"/>
    <d v="2023-10-17T00:00:00"/>
    <x v="4"/>
    <x v="512"/>
    <x v="1"/>
    <x v="10"/>
    <x v="3"/>
    <s v="Low"/>
    <n v="1.2"/>
    <n v="11023.199999999999"/>
    <n v="0.83333333333333337"/>
    <x v="0"/>
  </r>
  <r>
    <x v="3"/>
    <s v="Company Z"/>
    <s v="Capsule"/>
    <s v="50 mg"/>
    <s v="50 g"/>
    <n v="280"/>
    <n v="41256"/>
    <d v="2024-04-03T00:00:00"/>
    <x v="2"/>
    <x v="513"/>
    <x v="2"/>
    <x v="11"/>
    <x v="2"/>
    <s v="High"/>
    <n v="0.95"/>
    <n v="39193.199999999997"/>
    <n v="1.0526315789473686"/>
    <x v="1"/>
  </r>
  <r>
    <x v="2"/>
    <s v="Company Z"/>
    <s v="Syrup"/>
    <s v="250 mg"/>
    <n v="30"/>
    <n v="357"/>
    <n v="2350"/>
    <d v="2024-06-02T00:00:00"/>
    <x v="0"/>
    <x v="514"/>
    <x v="3"/>
    <x v="2"/>
    <x v="2"/>
    <s v="Low"/>
    <n v="1.1000000000000001"/>
    <n v="2585"/>
    <n v="0.90909090909090906"/>
    <x v="0"/>
  </r>
  <r>
    <x v="0"/>
    <s v="Company V"/>
    <s v="Cream"/>
    <s v="50 mg"/>
    <n v="60"/>
    <n v="1476"/>
    <n v="21861"/>
    <d v="2023-09-19T00:00:00"/>
    <x v="2"/>
    <x v="515"/>
    <x v="2"/>
    <x v="9"/>
    <x v="1"/>
    <s v="Medium"/>
    <n v="0.95"/>
    <n v="20767.95"/>
    <n v="1.0526315789473684"/>
    <x v="1"/>
  </r>
  <r>
    <x v="1"/>
    <s v="Company V"/>
    <s v="Cream"/>
    <s v="10 mg"/>
    <s v="100 ml"/>
    <n v="1448"/>
    <n v="37724"/>
    <d v="2023-12-08T00:00:00"/>
    <x v="3"/>
    <x v="516"/>
    <x v="0"/>
    <x v="4"/>
    <x v="3"/>
    <s v="Medium"/>
    <n v="1.1000000000000001"/>
    <n v="41496.400000000001"/>
    <n v="0.90909090909090906"/>
    <x v="0"/>
  </r>
  <r>
    <x v="4"/>
    <s v="Company Y"/>
    <s v="Syrup"/>
    <s v="100 mg/ml"/>
    <s v="50 g"/>
    <n v="1191"/>
    <n v="27570"/>
    <d v="2023-11-21T00:00:00"/>
    <x v="3"/>
    <x v="517"/>
    <x v="1"/>
    <x v="5"/>
    <x v="3"/>
    <s v="Medium"/>
    <n v="1.1000000000000001"/>
    <n v="30327.000000000004"/>
    <n v="0.90909090909090895"/>
    <x v="0"/>
  </r>
  <r>
    <x v="0"/>
    <s v="Company X"/>
    <s v="Cream"/>
    <s v="250 mg"/>
    <s v="50 g"/>
    <n v="451"/>
    <n v="18899"/>
    <d v="2024-04-06T00:00:00"/>
    <x v="4"/>
    <x v="518"/>
    <x v="2"/>
    <x v="11"/>
    <x v="2"/>
    <s v="Low"/>
    <n v="1.2"/>
    <n v="22678.799999999999"/>
    <n v="0.83333333333333337"/>
    <x v="0"/>
  </r>
  <r>
    <x v="0"/>
    <s v="Company W"/>
    <s v="Capsule"/>
    <s v="50 mg"/>
    <n v="60"/>
    <n v="1978"/>
    <n v="23993"/>
    <d v="2024-06-04T00:00:00"/>
    <x v="3"/>
    <x v="114"/>
    <x v="2"/>
    <x v="2"/>
    <x v="2"/>
    <s v="Medium"/>
    <n v="1.1000000000000001"/>
    <n v="26392.300000000003"/>
    <n v="0.90909090909090895"/>
    <x v="0"/>
  </r>
  <r>
    <x v="4"/>
    <s v="Company V"/>
    <s v="Injection"/>
    <s v="10 mg"/>
    <s v="100 ml"/>
    <n v="403"/>
    <n v="4075"/>
    <d v="2024-03-16T00:00:00"/>
    <x v="0"/>
    <x v="519"/>
    <x v="1"/>
    <x v="8"/>
    <x v="0"/>
    <s v="Low"/>
    <n v="1.1000000000000001"/>
    <n v="4482.5"/>
    <n v="0.90909090909090906"/>
    <x v="0"/>
  </r>
  <r>
    <x v="4"/>
    <s v="Company X"/>
    <s v="Cream"/>
    <s v="10 mg"/>
    <s v="50 g"/>
    <n v="309"/>
    <n v="38835"/>
    <d v="2024-03-08T00:00:00"/>
    <x v="4"/>
    <x v="520"/>
    <x v="1"/>
    <x v="8"/>
    <x v="0"/>
    <s v="Medium"/>
    <n v="1.2"/>
    <n v="46602"/>
    <n v="0.83333333333333337"/>
    <x v="0"/>
  </r>
  <r>
    <x v="2"/>
    <s v="Company W"/>
    <s v="Injection"/>
    <s v="10 mg"/>
    <s v="10 ml"/>
    <n v="1448"/>
    <n v="13865"/>
    <d v="2023-12-08T00:00:00"/>
    <x v="0"/>
    <x v="521"/>
    <x v="4"/>
    <x v="4"/>
    <x v="3"/>
    <s v="Low"/>
    <n v="1.1000000000000001"/>
    <n v="15251.500000000002"/>
    <n v="0.90909090909090895"/>
    <x v="0"/>
  </r>
  <r>
    <x v="4"/>
    <s v="Company W"/>
    <s v="Cream"/>
    <s v="100 mg/ml"/>
    <s v="50 g"/>
    <n v="704"/>
    <n v="12836"/>
    <d v="2024-01-17T00:00:00"/>
    <x v="1"/>
    <x v="522"/>
    <x v="0"/>
    <x v="7"/>
    <x v="0"/>
    <s v="Low"/>
    <n v="0.9"/>
    <n v="11552.4"/>
    <n v="1.1111111111111112"/>
    <x v="1"/>
  </r>
  <r>
    <x v="0"/>
    <s v="Company Y"/>
    <s v="Syrup"/>
    <s v="10 mg"/>
    <n v="30"/>
    <n v="165"/>
    <n v="32484"/>
    <d v="2024-07-11T00:00:00"/>
    <x v="1"/>
    <x v="523"/>
    <x v="2"/>
    <x v="3"/>
    <x v="1"/>
    <s v="Medium"/>
    <n v="0.9"/>
    <n v="29235.600000000002"/>
    <n v="1.1111111111111109"/>
    <x v="1"/>
  </r>
  <r>
    <x v="0"/>
    <s v="Company W"/>
    <s v="Capsule"/>
    <s v="250 mg"/>
    <s v="10 ml"/>
    <n v="1824"/>
    <n v="12594"/>
    <d v="2023-12-11T00:00:00"/>
    <x v="0"/>
    <x v="524"/>
    <x v="1"/>
    <x v="4"/>
    <x v="3"/>
    <s v="Low"/>
    <n v="1.1000000000000001"/>
    <n v="13853.400000000001"/>
    <n v="0.90909090909090895"/>
    <x v="0"/>
  </r>
  <r>
    <x v="3"/>
    <s v="Company Y"/>
    <s v="Tablet"/>
    <s v="50 mg"/>
    <s v="10 ml"/>
    <n v="1553"/>
    <n v="35920"/>
    <d v="2023-08-16T00:00:00"/>
    <x v="3"/>
    <x v="525"/>
    <x v="2"/>
    <x v="1"/>
    <x v="1"/>
    <s v="Medium"/>
    <n v="1.1000000000000001"/>
    <n v="39512"/>
    <n v="0.90909090909090906"/>
    <x v="0"/>
  </r>
  <r>
    <x v="1"/>
    <s v="Company W"/>
    <s v="Tablet"/>
    <s v="250 mg"/>
    <n v="30"/>
    <n v="1114"/>
    <n v="45080"/>
    <d v="2023-10-14T00:00:00"/>
    <x v="1"/>
    <x v="526"/>
    <x v="1"/>
    <x v="10"/>
    <x v="3"/>
    <s v="High"/>
    <n v="0.9"/>
    <n v="40572"/>
    <n v="1.1111111111111112"/>
    <x v="1"/>
  </r>
  <r>
    <x v="2"/>
    <s v="Company Y"/>
    <s v="Cream"/>
    <s v="100 mg/ml"/>
    <n v="60"/>
    <n v="1746"/>
    <n v="7097"/>
    <d v="2023-11-07T00:00:00"/>
    <x v="2"/>
    <x v="527"/>
    <x v="4"/>
    <x v="5"/>
    <x v="3"/>
    <s v="Low"/>
    <n v="0.95"/>
    <n v="6742.15"/>
    <n v="1.0526315789473686"/>
    <x v="1"/>
  </r>
  <r>
    <x v="4"/>
    <s v="Company V"/>
    <s v="Capsule"/>
    <s v="10 mg"/>
    <n v="30"/>
    <n v="1468"/>
    <n v="32272"/>
    <d v="2024-04-21T00:00:00"/>
    <x v="0"/>
    <x v="528"/>
    <x v="4"/>
    <x v="11"/>
    <x v="2"/>
    <s v="Medium"/>
    <n v="1.1000000000000001"/>
    <n v="35499.200000000004"/>
    <n v="0.90909090909090895"/>
    <x v="0"/>
  </r>
  <r>
    <x v="0"/>
    <s v="Company V"/>
    <s v="Injection"/>
    <s v="500 mg"/>
    <s v="50 g"/>
    <n v="230"/>
    <n v="41305"/>
    <d v="2024-04-09T00:00:00"/>
    <x v="3"/>
    <x v="529"/>
    <x v="0"/>
    <x v="11"/>
    <x v="2"/>
    <s v="High"/>
    <n v="1.1000000000000001"/>
    <n v="45435.500000000007"/>
    <n v="0.90909090909090895"/>
    <x v="0"/>
  </r>
  <r>
    <x v="1"/>
    <s v="Company X"/>
    <s v="Capsule"/>
    <s v="500 mg"/>
    <s v="50 g"/>
    <n v="776"/>
    <n v="6165"/>
    <d v="2024-04-14T00:00:00"/>
    <x v="2"/>
    <x v="530"/>
    <x v="1"/>
    <x v="11"/>
    <x v="2"/>
    <s v="Low"/>
    <n v="0.95"/>
    <n v="5856.75"/>
    <n v="1.0526315789473684"/>
    <x v="1"/>
  </r>
  <r>
    <x v="1"/>
    <s v="Company W"/>
    <s v="Tablet"/>
    <s v="500 mg"/>
    <s v="50 g"/>
    <n v="1071"/>
    <n v="3760"/>
    <d v="2023-09-09T00:00:00"/>
    <x v="3"/>
    <x v="531"/>
    <x v="1"/>
    <x v="9"/>
    <x v="1"/>
    <s v="Low"/>
    <n v="1.1000000000000001"/>
    <n v="4136"/>
    <n v="0.90909090909090906"/>
    <x v="0"/>
  </r>
  <r>
    <x v="0"/>
    <s v="Company Z"/>
    <s v="Capsule"/>
    <s v="500 mg"/>
    <s v="50 g"/>
    <n v="1137"/>
    <n v="1699"/>
    <d v="2023-11-23T00:00:00"/>
    <x v="3"/>
    <x v="532"/>
    <x v="4"/>
    <x v="5"/>
    <x v="3"/>
    <s v="Low"/>
    <n v="1.1000000000000001"/>
    <n v="1868.9"/>
    <n v="0.90909090909090906"/>
    <x v="0"/>
  </r>
  <r>
    <x v="3"/>
    <s v="Company Y"/>
    <s v="Capsule"/>
    <s v="10 mg"/>
    <n v="60"/>
    <n v="787"/>
    <n v="47912"/>
    <d v="2024-06-09T00:00:00"/>
    <x v="0"/>
    <x v="533"/>
    <x v="3"/>
    <x v="2"/>
    <x v="2"/>
    <s v="High"/>
    <n v="1.1000000000000001"/>
    <n v="52703.200000000004"/>
    <n v="0.90909090909090906"/>
    <x v="0"/>
  </r>
  <r>
    <x v="4"/>
    <s v="Company Y"/>
    <s v="Injection"/>
    <s v="250 mg"/>
    <n v="30"/>
    <n v="1479"/>
    <n v="33505"/>
    <d v="2024-06-30T00:00:00"/>
    <x v="0"/>
    <x v="534"/>
    <x v="2"/>
    <x v="2"/>
    <x v="2"/>
    <s v="Medium"/>
    <n v="1.1000000000000001"/>
    <n v="36855.5"/>
    <n v="0.90909090909090906"/>
    <x v="0"/>
  </r>
  <r>
    <x v="2"/>
    <s v="Company V"/>
    <s v="Capsule"/>
    <s v="500 mg"/>
    <s v="100 ml"/>
    <n v="405"/>
    <n v="23360"/>
    <d v="2023-11-03T00:00:00"/>
    <x v="0"/>
    <x v="535"/>
    <x v="3"/>
    <x v="5"/>
    <x v="3"/>
    <s v="Medium"/>
    <n v="1.1000000000000001"/>
    <n v="25696.000000000004"/>
    <n v="0.90909090909090895"/>
    <x v="0"/>
  </r>
  <r>
    <x v="2"/>
    <s v="Company W"/>
    <s v="Cream"/>
    <s v="50 mg"/>
    <s v="10 ml"/>
    <n v="470"/>
    <n v="45836"/>
    <d v="2023-11-02T00:00:00"/>
    <x v="0"/>
    <x v="536"/>
    <x v="3"/>
    <x v="5"/>
    <x v="3"/>
    <s v="High"/>
    <n v="1.1000000000000001"/>
    <n v="50419.600000000006"/>
    <n v="0.90909090909090895"/>
    <x v="0"/>
  </r>
  <r>
    <x v="4"/>
    <s v="Company W"/>
    <s v="Capsule"/>
    <s v="10 mg"/>
    <s v="50 g"/>
    <n v="1864"/>
    <n v="26663"/>
    <d v="2024-04-21T00:00:00"/>
    <x v="0"/>
    <x v="537"/>
    <x v="2"/>
    <x v="11"/>
    <x v="2"/>
    <s v="Medium"/>
    <n v="1.1000000000000001"/>
    <n v="29329.300000000003"/>
    <n v="0.90909090909090895"/>
    <x v="0"/>
  </r>
  <r>
    <x v="0"/>
    <s v="Company X"/>
    <s v="Tablet"/>
    <s v="500 mg"/>
    <s v="50 g"/>
    <n v="1610"/>
    <n v="22700"/>
    <d v="2023-10-16T00:00:00"/>
    <x v="3"/>
    <x v="538"/>
    <x v="0"/>
    <x v="10"/>
    <x v="3"/>
    <s v="Medium"/>
    <n v="1.1000000000000001"/>
    <n v="24970.000000000004"/>
    <n v="0.90909090909090895"/>
    <x v="0"/>
  </r>
  <r>
    <x v="3"/>
    <s v="Company X"/>
    <s v="Cream"/>
    <s v="10 mg"/>
    <s v="10 ml"/>
    <n v="1247"/>
    <n v="23054"/>
    <d v="2023-11-13T00:00:00"/>
    <x v="1"/>
    <x v="539"/>
    <x v="1"/>
    <x v="5"/>
    <x v="3"/>
    <s v="Medium"/>
    <n v="0.9"/>
    <n v="20748.600000000002"/>
    <n v="1.1111111111111109"/>
    <x v="1"/>
  </r>
  <r>
    <x v="1"/>
    <s v="Company W"/>
    <s v="Injection"/>
    <s v="50 mg"/>
    <n v="60"/>
    <n v="1515"/>
    <n v="37393"/>
    <d v="2023-12-30T00:00:00"/>
    <x v="4"/>
    <x v="540"/>
    <x v="1"/>
    <x v="4"/>
    <x v="3"/>
    <s v="Medium"/>
    <n v="1.2"/>
    <n v="44871.6"/>
    <n v="0.83333333333333337"/>
    <x v="0"/>
  </r>
  <r>
    <x v="1"/>
    <s v="Company X"/>
    <s v="Syrup"/>
    <s v="500 mg"/>
    <n v="30"/>
    <n v="1064"/>
    <n v="11558"/>
    <d v="2024-07-12T00:00:00"/>
    <x v="3"/>
    <x v="541"/>
    <x v="3"/>
    <x v="3"/>
    <x v="1"/>
    <s v="Low"/>
    <n v="1.1000000000000001"/>
    <n v="12713.800000000001"/>
    <n v="0.90909090909090906"/>
    <x v="0"/>
  </r>
  <r>
    <x v="3"/>
    <s v="Company Z"/>
    <s v="Syrup"/>
    <s v="100 mg/ml"/>
    <s v="50 g"/>
    <n v="336"/>
    <n v="7855"/>
    <d v="2023-08-28T00:00:00"/>
    <x v="2"/>
    <x v="542"/>
    <x v="4"/>
    <x v="1"/>
    <x v="1"/>
    <s v="Low"/>
    <n v="0.95"/>
    <n v="7462.25"/>
    <n v="1.0526315789473684"/>
    <x v="1"/>
  </r>
  <r>
    <x v="2"/>
    <s v="Company V"/>
    <s v="Tablet"/>
    <s v="500 mg"/>
    <s v="50 g"/>
    <n v="1334"/>
    <n v="30566"/>
    <d v="2023-12-19T00:00:00"/>
    <x v="4"/>
    <x v="543"/>
    <x v="2"/>
    <x v="4"/>
    <x v="3"/>
    <s v="Medium"/>
    <n v="1.2"/>
    <n v="36679.199999999997"/>
    <n v="0.83333333333333337"/>
    <x v="0"/>
  </r>
  <r>
    <x v="4"/>
    <s v="Company X"/>
    <s v="Cream"/>
    <s v="500 mg"/>
    <s v="100 ml"/>
    <n v="472"/>
    <n v="23247"/>
    <d v="2023-12-20T00:00:00"/>
    <x v="2"/>
    <x v="544"/>
    <x v="1"/>
    <x v="4"/>
    <x v="3"/>
    <s v="Medium"/>
    <n v="0.95"/>
    <n v="22084.649999999998"/>
    <n v="1.0526315789473686"/>
    <x v="1"/>
  </r>
  <r>
    <x v="4"/>
    <s v="Company V"/>
    <s v="Capsule"/>
    <s v="50 mg"/>
    <s v="100 ml"/>
    <n v="169"/>
    <n v="18665"/>
    <d v="2024-01-31T00:00:00"/>
    <x v="3"/>
    <x v="545"/>
    <x v="2"/>
    <x v="7"/>
    <x v="0"/>
    <s v="Low"/>
    <n v="1.1000000000000001"/>
    <n v="20531.5"/>
    <n v="0.90909090909090906"/>
    <x v="0"/>
  </r>
  <r>
    <x v="2"/>
    <s v="Company Y"/>
    <s v="Syrup"/>
    <s v="100 mg/ml"/>
    <s v="100 ml"/>
    <n v="150"/>
    <n v="8735"/>
    <d v="2023-10-18T00:00:00"/>
    <x v="4"/>
    <x v="546"/>
    <x v="4"/>
    <x v="10"/>
    <x v="3"/>
    <s v="Low"/>
    <n v="1.2"/>
    <n v="10482"/>
    <n v="0.83333333333333337"/>
    <x v="0"/>
  </r>
  <r>
    <x v="4"/>
    <s v="Company V"/>
    <s v="Injection"/>
    <s v="100 mg/ml"/>
    <s v="10 ml"/>
    <n v="1503"/>
    <n v="19148"/>
    <d v="2023-10-10T00:00:00"/>
    <x v="4"/>
    <x v="547"/>
    <x v="0"/>
    <x v="10"/>
    <x v="3"/>
    <s v="Low"/>
    <n v="1.2"/>
    <n v="22977.599999999999"/>
    <n v="0.83333333333333337"/>
    <x v="0"/>
  </r>
  <r>
    <x v="3"/>
    <s v="Company X"/>
    <s v="Syrup"/>
    <s v="100 mg/ml"/>
    <s v="50 g"/>
    <n v="355"/>
    <n v="33093"/>
    <d v="2024-05-18T00:00:00"/>
    <x v="4"/>
    <x v="548"/>
    <x v="1"/>
    <x v="6"/>
    <x v="2"/>
    <s v="Medium"/>
    <n v="1.2"/>
    <n v="39711.599999999999"/>
    <n v="0.83333333333333337"/>
    <x v="0"/>
  </r>
  <r>
    <x v="3"/>
    <s v="Company W"/>
    <s v="Injection"/>
    <s v="100 mg/ml"/>
    <s v="50 g"/>
    <n v="1215"/>
    <n v="12727"/>
    <d v="2023-11-30T00:00:00"/>
    <x v="4"/>
    <x v="549"/>
    <x v="2"/>
    <x v="5"/>
    <x v="3"/>
    <s v="Low"/>
    <n v="1.2"/>
    <n v="15272.4"/>
    <n v="0.83333333333333337"/>
    <x v="0"/>
  </r>
  <r>
    <x v="4"/>
    <s v="Company V"/>
    <s v="Tablet"/>
    <s v="50 mg"/>
    <s v="50 g"/>
    <n v="857"/>
    <n v="26479"/>
    <d v="2023-08-25T00:00:00"/>
    <x v="2"/>
    <x v="550"/>
    <x v="2"/>
    <x v="1"/>
    <x v="1"/>
    <s v="Medium"/>
    <n v="0.95"/>
    <n v="25155.05"/>
    <n v="1.0526315789473684"/>
    <x v="1"/>
  </r>
  <r>
    <x v="1"/>
    <s v="Company W"/>
    <s v="Cream"/>
    <s v="250 mg"/>
    <s v="100 ml"/>
    <n v="914"/>
    <n v="28345"/>
    <d v="2024-02-21T00:00:00"/>
    <x v="1"/>
    <x v="551"/>
    <x v="1"/>
    <x v="0"/>
    <x v="0"/>
    <s v="Medium"/>
    <n v="0.9"/>
    <n v="25510.5"/>
    <n v="1.1111111111111112"/>
    <x v="1"/>
  </r>
  <r>
    <x v="1"/>
    <s v="Company V"/>
    <s v="Tablet"/>
    <s v="100 mg/ml"/>
    <s v="100 ml"/>
    <n v="1513"/>
    <n v="16791"/>
    <d v="2024-07-28T00:00:00"/>
    <x v="0"/>
    <x v="552"/>
    <x v="4"/>
    <x v="3"/>
    <x v="1"/>
    <s v="Low"/>
    <n v="1.1000000000000001"/>
    <n v="18470.100000000002"/>
    <n v="0.90909090909090895"/>
    <x v="0"/>
  </r>
  <r>
    <x v="4"/>
    <s v="Company V"/>
    <s v="Injection"/>
    <s v="500 mg"/>
    <s v="100 ml"/>
    <n v="809"/>
    <n v="1788"/>
    <d v="2023-09-19T00:00:00"/>
    <x v="0"/>
    <x v="553"/>
    <x v="3"/>
    <x v="9"/>
    <x v="1"/>
    <s v="Low"/>
    <n v="1.1000000000000001"/>
    <n v="1966.8000000000002"/>
    <n v="0.90909090909090906"/>
    <x v="0"/>
  </r>
  <r>
    <x v="3"/>
    <s v="Company X"/>
    <s v="Tablet"/>
    <s v="10 mg"/>
    <s v="10 ml"/>
    <n v="1696"/>
    <n v="42076"/>
    <d v="2024-03-27T00:00:00"/>
    <x v="1"/>
    <x v="554"/>
    <x v="2"/>
    <x v="8"/>
    <x v="0"/>
    <s v="High"/>
    <n v="0.9"/>
    <n v="37868.400000000001"/>
    <n v="1.1111111111111112"/>
    <x v="1"/>
  </r>
  <r>
    <x v="4"/>
    <s v="Company V"/>
    <s v="Cream"/>
    <s v="500 mg"/>
    <s v="50 g"/>
    <n v="1943"/>
    <n v="42637"/>
    <d v="2024-04-13T00:00:00"/>
    <x v="4"/>
    <x v="555"/>
    <x v="3"/>
    <x v="11"/>
    <x v="2"/>
    <s v="High"/>
    <n v="1.2"/>
    <n v="51164.4"/>
    <n v="0.83333333333333326"/>
    <x v="0"/>
  </r>
  <r>
    <x v="0"/>
    <s v="Company W"/>
    <s v="Cream"/>
    <s v="100 mg/ml"/>
    <s v="10 ml"/>
    <n v="794"/>
    <n v="5918"/>
    <d v="2024-04-14T00:00:00"/>
    <x v="1"/>
    <x v="556"/>
    <x v="1"/>
    <x v="11"/>
    <x v="2"/>
    <s v="Low"/>
    <n v="0.9"/>
    <n v="5326.2"/>
    <n v="1.1111111111111112"/>
    <x v="1"/>
  </r>
  <r>
    <x v="3"/>
    <s v="Company Y"/>
    <s v="Cream"/>
    <s v="500 mg"/>
    <n v="60"/>
    <n v="601"/>
    <n v="7096"/>
    <d v="2024-06-28T00:00:00"/>
    <x v="3"/>
    <x v="557"/>
    <x v="2"/>
    <x v="2"/>
    <x v="2"/>
    <s v="Low"/>
    <n v="1.1000000000000001"/>
    <n v="7805.6"/>
    <n v="0.90909090909090906"/>
    <x v="0"/>
  </r>
  <r>
    <x v="4"/>
    <s v="Company W"/>
    <s v="Cream"/>
    <s v="100 mg/ml"/>
    <n v="30"/>
    <n v="1954"/>
    <n v="14676"/>
    <d v="2023-12-20T00:00:00"/>
    <x v="1"/>
    <x v="558"/>
    <x v="3"/>
    <x v="4"/>
    <x v="3"/>
    <s v="Low"/>
    <n v="0.9"/>
    <n v="13208.4"/>
    <n v="1.1111111111111112"/>
    <x v="1"/>
  </r>
  <r>
    <x v="4"/>
    <s v="Company Y"/>
    <s v="Tablet"/>
    <s v="10 mg"/>
    <n v="30"/>
    <n v="301"/>
    <n v="28337"/>
    <d v="2023-10-10T00:00:00"/>
    <x v="1"/>
    <x v="559"/>
    <x v="2"/>
    <x v="10"/>
    <x v="3"/>
    <s v="Medium"/>
    <n v="0.9"/>
    <n v="25503.3"/>
    <n v="1.1111111111111112"/>
    <x v="1"/>
  </r>
  <r>
    <x v="4"/>
    <s v="Company Z"/>
    <s v="Cream"/>
    <s v="250 mg"/>
    <s v="50 g"/>
    <n v="648"/>
    <n v="34565"/>
    <d v="2024-06-10T00:00:00"/>
    <x v="0"/>
    <x v="560"/>
    <x v="3"/>
    <x v="2"/>
    <x v="2"/>
    <s v="Medium"/>
    <n v="1.1000000000000001"/>
    <n v="38021.5"/>
    <n v="0.90909090909090906"/>
    <x v="0"/>
  </r>
  <r>
    <x v="1"/>
    <s v="Company W"/>
    <s v="Injection"/>
    <s v="10 mg"/>
    <s v="50 g"/>
    <n v="508"/>
    <n v="9190"/>
    <d v="2023-10-26T00:00:00"/>
    <x v="1"/>
    <x v="561"/>
    <x v="1"/>
    <x v="10"/>
    <x v="3"/>
    <s v="Low"/>
    <n v="0.9"/>
    <n v="8271"/>
    <n v="1.1111111111111112"/>
    <x v="1"/>
  </r>
  <r>
    <x v="1"/>
    <s v="Company Y"/>
    <s v="Injection"/>
    <s v="100 mg/ml"/>
    <n v="30"/>
    <n v="1259"/>
    <n v="21505"/>
    <d v="2023-10-05T00:00:00"/>
    <x v="3"/>
    <x v="562"/>
    <x v="3"/>
    <x v="10"/>
    <x v="3"/>
    <s v="Medium"/>
    <n v="1.1000000000000001"/>
    <n v="23655.500000000004"/>
    <n v="0.90909090909090895"/>
    <x v="0"/>
  </r>
  <r>
    <x v="2"/>
    <s v="Company Y"/>
    <s v="Injection"/>
    <s v="100 mg/ml"/>
    <n v="60"/>
    <n v="1922"/>
    <n v="5404"/>
    <d v="2023-12-27T00:00:00"/>
    <x v="1"/>
    <x v="563"/>
    <x v="1"/>
    <x v="4"/>
    <x v="3"/>
    <s v="Low"/>
    <n v="0.9"/>
    <n v="4863.6000000000004"/>
    <n v="1.1111111111111109"/>
    <x v="1"/>
  </r>
  <r>
    <x v="2"/>
    <s v="Company W"/>
    <s v="Tablet"/>
    <s v="100 mg/ml"/>
    <s v="100 ml"/>
    <n v="1769"/>
    <n v="49043"/>
    <d v="2023-10-07T00:00:00"/>
    <x v="0"/>
    <x v="564"/>
    <x v="3"/>
    <x v="10"/>
    <x v="3"/>
    <s v="High"/>
    <n v="1.1000000000000001"/>
    <n v="53947.3"/>
    <n v="0.90909090909090906"/>
    <x v="0"/>
  </r>
  <r>
    <x v="0"/>
    <s v="Company Y"/>
    <s v="Capsule"/>
    <s v="50 mg"/>
    <s v="100 ml"/>
    <n v="348"/>
    <n v="40962"/>
    <d v="2023-08-07T00:00:00"/>
    <x v="0"/>
    <x v="565"/>
    <x v="1"/>
    <x v="1"/>
    <x v="1"/>
    <s v="High"/>
    <n v="1.1000000000000001"/>
    <n v="45058.200000000004"/>
    <n v="0.90909090909090895"/>
    <x v="0"/>
  </r>
  <r>
    <x v="2"/>
    <s v="Company Y"/>
    <s v="Cream"/>
    <s v="50 mg"/>
    <s v="50 g"/>
    <n v="317"/>
    <n v="17536"/>
    <d v="2024-02-29T00:00:00"/>
    <x v="1"/>
    <x v="566"/>
    <x v="4"/>
    <x v="0"/>
    <x v="0"/>
    <s v="Low"/>
    <n v="0.9"/>
    <n v="15782.4"/>
    <n v="1.1111111111111112"/>
    <x v="1"/>
  </r>
  <r>
    <x v="4"/>
    <s v="Company X"/>
    <s v="Tablet"/>
    <s v="250 mg"/>
    <s v="100 ml"/>
    <n v="832"/>
    <n v="14813"/>
    <d v="2023-11-01T00:00:00"/>
    <x v="4"/>
    <x v="567"/>
    <x v="4"/>
    <x v="5"/>
    <x v="3"/>
    <s v="Low"/>
    <n v="1.2"/>
    <n v="17775.599999999999"/>
    <n v="0.83333333333333337"/>
    <x v="0"/>
  </r>
  <r>
    <x v="0"/>
    <s v="Company W"/>
    <s v="Injection"/>
    <s v="50 mg"/>
    <s v="50 g"/>
    <n v="1217"/>
    <n v="44230"/>
    <d v="2023-08-25T00:00:00"/>
    <x v="2"/>
    <x v="568"/>
    <x v="0"/>
    <x v="1"/>
    <x v="1"/>
    <s v="High"/>
    <n v="0.95"/>
    <n v="42018.5"/>
    <n v="1.0526315789473684"/>
    <x v="1"/>
  </r>
  <r>
    <x v="0"/>
    <s v="Company V"/>
    <s v="Tablet"/>
    <s v="10 mg"/>
    <n v="30"/>
    <n v="987"/>
    <n v="46351"/>
    <d v="2024-04-13T00:00:00"/>
    <x v="2"/>
    <x v="569"/>
    <x v="2"/>
    <x v="11"/>
    <x v="2"/>
    <s v="High"/>
    <n v="0.95"/>
    <n v="44033.45"/>
    <n v="1.0526315789473686"/>
    <x v="1"/>
  </r>
  <r>
    <x v="2"/>
    <s v="Company V"/>
    <s v="Cream"/>
    <s v="100 mg/ml"/>
    <n v="30"/>
    <n v="1544"/>
    <n v="28088"/>
    <d v="2024-04-14T00:00:00"/>
    <x v="0"/>
    <x v="570"/>
    <x v="1"/>
    <x v="11"/>
    <x v="2"/>
    <s v="Medium"/>
    <n v="1.1000000000000001"/>
    <n v="30896.800000000003"/>
    <n v="0.90909090909090906"/>
    <x v="0"/>
  </r>
  <r>
    <x v="2"/>
    <s v="Company Y"/>
    <s v="Injection"/>
    <s v="10 mg"/>
    <s v="50 g"/>
    <n v="1500"/>
    <n v="33627"/>
    <d v="2023-11-05T00:00:00"/>
    <x v="1"/>
    <x v="571"/>
    <x v="1"/>
    <x v="5"/>
    <x v="3"/>
    <s v="Medium"/>
    <n v="0.9"/>
    <n v="30264.3"/>
    <n v="1.1111111111111112"/>
    <x v="1"/>
  </r>
  <r>
    <x v="0"/>
    <s v="Company V"/>
    <s v="Syrup"/>
    <s v="250 mg"/>
    <s v="100 ml"/>
    <n v="1406"/>
    <n v="38824"/>
    <d v="2023-12-29T00:00:00"/>
    <x v="3"/>
    <x v="572"/>
    <x v="2"/>
    <x v="4"/>
    <x v="3"/>
    <s v="Medium"/>
    <n v="1.1000000000000001"/>
    <n v="42706.400000000001"/>
    <n v="0.90909090909090906"/>
    <x v="0"/>
  </r>
  <r>
    <x v="0"/>
    <s v="Company Z"/>
    <s v="Injection"/>
    <s v="500 mg"/>
    <s v="50 g"/>
    <n v="1176"/>
    <n v="3089"/>
    <d v="2023-08-02T00:00:00"/>
    <x v="3"/>
    <x v="573"/>
    <x v="0"/>
    <x v="1"/>
    <x v="1"/>
    <s v="Low"/>
    <n v="1.1000000000000001"/>
    <n v="3397.9"/>
    <n v="0.90909090909090906"/>
    <x v="0"/>
  </r>
  <r>
    <x v="0"/>
    <s v="Company W"/>
    <s v="Syrup"/>
    <s v="500 mg"/>
    <s v="10 ml"/>
    <n v="1806"/>
    <n v="24517"/>
    <d v="2024-04-16T00:00:00"/>
    <x v="0"/>
    <x v="574"/>
    <x v="3"/>
    <x v="11"/>
    <x v="2"/>
    <s v="Medium"/>
    <n v="1.1000000000000001"/>
    <n v="26968.7"/>
    <n v="0.90909090909090906"/>
    <x v="0"/>
  </r>
  <r>
    <x v="3"/>
    <s v="Company V"/>
    <s v="Syrup"/>
    <s v="250 mg"/>
    <n v="30"/>
    <n v="1187"/>
    <n v="25578"/>
    <d v="2023-10-21T00:00:00"/>
    <x v="4"/>
    <x v="575"/>
    <x v="0"/>
    <x v="10"/>
    <x v="3"/>
    <s v="Medium"/>
    <n v="1.2"/>
    <n v="30693.599999999999"/>
    <n v="0.83333333333333337"/>
    <x v="0"/>
  </r>
  <r>
    <x v="3"/>
    <s v="Company W"/>
    <s v="Cream"/>
    <s v="250 mg"/>
    <s v="10 ml"/>
    <n v="606"/>
    <n v="19299"/>
    <d v="2024-03-07T00:00:00"/>
    <x v="4"/>
    <x v="576"/>
    <x v="3"/>
    <x v="8"/>
    <x v="0"/>
    <s v="Low"/>
    <n v="1.2"/>
    <n v="23158.799999999999"/>
    <n v="0.83333333333333337"/>
    <x v="0"/>
  </r>
  <r>
    <x v="4"/>
    <s v="Company Y"/>
    <s v="Injection"/>
    <s v="50 mg"/>
    <n v="30"/>
    <n v="1824"/>
    <n v="35974"/>
    <d v="2023-08-03T00:00:00"/>
    <x v="3"/>
    <x v="577"/>
    <x v="1"/>
    <x v="1"/>
    <x v="1"/>
    <s v="Medium"/>
    <n v="1.1000000000000001"/>
    <n v="39571.4"/>
    <n v="0.90909090909090906"/>
    <x v="0"/>
  </r>
  <r>
    <x v="0"/>
    <s v="Company Y"/>
    <s v="Tablet"/>
    <s v="100 mg/ml"/>
    <n v="30"/>
    <n v="1082"/>
    <n v="1598"/>
    <d v="2023-09-28T00:00:00"/>
    <x v="4"/>
    <x v="578"/>
    <x v="4"/>
    <x v="9"/>
    <x v="1"/>
    <s v="Low"/>
    <n v="1.2"/>
    <n v="1917.6"/>
    <n v="0.83333333333333337"/>
    <x v="0"/>
  </r>
  <r>
    <x v="0"/>
    <s v="Company W"/>
    <s v="Injection"/>
    <s v="500 mg"/>
    <s v="50 g"/>
    <n v="1738"/>
    <n v="46460"/>
    <d v="2024-03-29T00:00:00"/>
    <x v="0"/>
    <x v="579"/>
    <x v="3"/>
    <x v="8"/>
    <x v="0"/>
    <s v="High"/>
    <n v="1.1000000000000001"/>
    <n v="51106.000000000007"/>
    <n v="0.90909090909090895"/>
    <x v="0"/>
  </r>
  <r>
    <x v="3"/>
    <s v="Company Y"/>
    <s v="Capsule"/>
    <s v="250 mg"/>
    <s v="100 ml"/>
    <n v="566"/>
    <n v="7773"/>
    <d v="2023-09-23T00:00:00"/>
    <x v="3"/>
    <x v="580"/>
    <x v="2"/>
    <x v="9"/>
    <x v="1"/>
    <s v="Low"/>
    <n v="1.1000000000000001"/>
    <n v="8550.3000000000011"/>
    <n v="0.90909090909090895"/>
    <x v="0"/>
  </r>
  <r>
    <x v="4"/>
    <s v="Company Y"/>
    <s v="Tablet"/>
    <s v="50 mg"/>
    <s v="100 ml"/>
    <n v="1542"/>
    <n v="18211"/>
    <d v="2023-10-19T00:00:00"/>
    <x v="3"/>
    <x v="581"/>
    <x v="2"/>
    <x v="10"/>
    <x v="3"/>
    <s v="Low"/>
    <n v="1.1000000000000001"/>
    <n v="20032.100000000002"/>
    <n v="0.90909090909090895"/>
    <x v="0"/>
  </r>
  <r>
    <x v="0"/>
    <s v="Company Z"/>
    <s v="Capsule"/>
    <s v="250 mg"/>
    <s v="100 ml"/>
    <n v="1818"/>
    <n v="24007"/>
    <d v="2024-05-15T00:00:00"/>
    <x v="2"/>
    <x v="582"/>
    <x v="4"/>
    <x v="6"/>
    <x v="2"/>
    <s v="Medium"/>
    <n v="0.95"/>
    <n v="22806.649999999998"/>
    <n v="1.0526315789473686"/>
    <x v="1"/>
  </r>
  <r>
    <x v="2"/>
    <s v="Company X"/>
    <s v="Cream"/>
    <s v="500 mg"/>
    <s v="10 ml"/>
    <n v="380"/>
    <n v="19627"/>
    <d v="2024-04-26T00:00:00"/>
    <x v="1"/>
    <x v="583"/>
    <x v="0"/>
    <x v="11"/>
    <x v="2"/>
    <s v="Low"/>
    <n v="0.9"/>
    <n v="17664.3"/>
    <n v="1.1111111111111112"/>
    <x v="1"/>
  </r>
  <r>
    <x v="2"/>
    <s v="Company Y"/>
    <s v="Cream"/>
    <s v="500 mg"/>
    <n v="30"/>
    <n v="1258"/>
    <n v="32636"/>
    <d v="2023-10-06T00:00:00"/>
    <x v="0"/>
    <x v="584"/>
    <x v="0"/>
    <x v="10"/>
    <x v="3"/>
    <s v="Medium"/>
    <n v="1.1000000000000001"/>
    <n v="35899.600000000006"/>
    <n v="0.90909090909090895"/>
    <x v="0"/>
  </r>
  <r>
    <x v="0"/>
    <s v="Company X"/>
    <s v="Injection"/>
    <s v="500 mg"/>
    <s v="10 ml"/>
    <n v="271"/>
    <n v="42665"/>
    <d v="2024-07-23T00:00:00"/>
    <x v="3"/>
    <x v="585"/>
    <x v="2"/>
    <x v="3"/>
    <x v="1"/>
    <s v="High"/>
    <n v="1.1000000000000001"/>
    <n v="46931.500000000007"/>
    <n v="0.90909090909090895"/>
    <x v="0"/>
  </r>
  <r>
    <x v="2"/>
    <s v="Company Z"/>
    <s v="Cream"/>
    <s v="100 mg/ml"/>
    <n v="60"/>
    <n v="1450"/>
    <n v="41272"/>
    <d v="2023-09-25T00:00:00"/>
    <x v="1"/>
    <x v="586"/>
    <x v="3"/>
    <x v="9"/>
    <x v="1"/>
    <s v="High"/>
    <n v="0.9"/>
    <n v="37144.800000000003"/>
    <n v="1.1111111111111109"/>
    <x v="1"/>
  </r>
  <r>
    <x v="0"/>
    <s v="Company W"/>
    <s v="Capsule"/>
    <s v="500 mg"/>
    <s v="10 ml"/>
    <n v="880"/>
    <n v="41888"/>
    <d v="2024-02-01T00:00:00"/>
    <x v="4"/>
    <x v="587"/>
    <x v="3"/>
    <x v="0"/>
    <x v="0"/>
    <s v="High"/>
    <n v="1.2"/>
    <n v="50265.599999999999"/>
    <n v="0.83333333333333337"/>
    <x v="0"/>
  </r>
  <r>
    <x v="3"/>
    <s v="Company Z"/>
    <s v="Syrup"/>
    <s v="10 mg"/>
    <s v="100 ml"/>
    <n v="946"/>
    <n v="11455"/>
    <d v="2023-11-19T00:00:00"/>
    <x v="3"/>
    <x v="588"/>
    <x v="2"/>
    <x v="5"/>
    <x v="3"/>
    <s v="Low"/>
    <n v="1.1000000000000001"/>
    <n v="12600.500000000002"/>
    <n v="0.90909090909090895"/>
    <x v="0"/>
  </r>
  <r>
    <x v="1"/>
    <s v="Company W"/>
    <s v="Injection"/>
    <s v="100 mg/ml"/>
    <s v="50 g"/>
    <n v="1435"/>
    <n v="5947"/>
    <d v="2024-06-16T00:00:00"/>
    <x v="4"/>
    <x v="589"/>
    <x v="1"/>
    <x v="2"/>
    <x v="2"/>
    <s v="Low"/>
    <n v="1.2"/>
    <n v="7136.4"/>
    <n v="0.83333333333333337"/>
    <x v="0"/>
  </r>
  <r>
    <x v="2"/>
    <s v="Company Y"/>
    <s v="Capsule"/>
    <s v="100 mg/ml"/>
    <s v="50 g"/>
    <n v="662"/>
    <n v="42968"/>
    <d v="2024-05-04T00:00:00"/>
    <x v="2"/>
    <x v="590"/>
    <x v="1"/>
    <x v="6"/>
    <x v="2"/>
    <s v="High"/>
    <n v="0.95"/>
    <n v="40819.599999999999"/>
    <n v="1.0526315789473684"/>
    <x v="1"/>
  </r>
  <r>
    <x v="3"/>
    <s v="Company Z"/>
    <s v="Syrup"/>
    <s v="10 mg"/>
    <s v="10 ml"/>
    <n v="974"/>
    <n v="1233"/>
    <d v="2023-12-12T00:00:00"/>
    <x v="2"/>
    <x v="591"/>
    <x v="3"/>
    <x v="4"/>
    <x v="3"/>
    <s v="Low"/>
    <n v="0.95"/>
    <n v="1171.3499999999999"/>
    <n v="1.0526315789473686"/>
    <x v="1"/>
  </r>
  <r>
    <x v="0"/>
    <s v="Company Y"/>
    <s v="Capsule"/>
    <s v="500 mg"/>
    <s v="100 ml"/>
    <n v="375"/>
    <n v="48490"/>
    <d v="2023-09-10T00:00:00"/>
    <x v="2"/>
    <x v="592"/>
    <x v="3"/>
    <x v="9"/>
    <x v="1"/>
    <s v="High"/>
    <n v="0.95"/>
    <n v="46065.5"/>
    <n v="1.0526315789473684"/>
    <x v="1"/>
  </r>
  <r>
    <x v="4"/>
    <s v="Company Z"/>
    <s v="Cream"/>
    <s v="100 mg/ml"/>
    <n v="60"/>
    <n v="1174"/>
    <n v="45203"/>
    <d v="2023-09-16T00:00:00"/>
    <x v="2"/>
    <x v="593"/>
    <x v="1"/>
    <x v="9"/>
    <x v="1"/>
    <s v="High"/>
    <n v="0.95"/>
    <n v="42942.85"/>
    <n v="1.0526315789473684"/>
    <x v="1"/>
  </r>
  <r>
    <x v="0"/>
    <s v="Company W"/>
    <s v="Cream"/>
    <s v="100 mg/ml"/>
    <s v="50 g"/>
    <n v="826"/>
    <n v="38948"/>
    <d v="2024-05-13T00:00:00"/>
    <x v="2"/>
    <x v="594"/>
    <x v="2"/>
    <x v="6"/>
    <x v="2"/>
    <s v="Medium"/>
    <n v="0.95"/>
    <n v="37000.6"/>
    <n v="1.0526315789473684"/>
    <x v="1"/>
  </r>
  <r>
    <x v="4"/>
    <s v="Company W"/>
    <s v="Cream"/>
    <s v="500 mg"/>
    <s v="100 ml"/>
    <n v="1991"/>
    <n v="22125"/>
    <d v="2023-12-29T00:00:00"/>
    <x v="1"/>
    <x v="595"/>
    <x v="2"/>
    <x v="4"/>
    <x v="3"/>
    <s v="Medium"/>
    <n v="0.9"/>
    <n v="19912.5"/>
    <n v="1.1111111111111112"/>
    <x v="1"/>
  </r>
  <r>
    <x v="3"/>
    <s v="Company V"/>
    <s v="Tablet"/>
    <s v="10 mg"/>
    <n v="30"/>
    <n v="1847"/>
    <n v="3341"/>
    <d v="2024-01-28T00:00:00"/>
    <x v="3"/>
    <x v="596"/>
    <x v="0"/>
    <x v="7"/>
    <x v="0"/>
    <s v="Low"/>
    <n v="1.1000000000000001"/>
    <n v="3675.1000000000004"/>
    <n v="0.90909090909090895"/>
    <x v="0"/>
  </r>
  <r>
    <x v="0"/>
    <s v="Company W"/>
    <s v="Tablet"/>
    <s v="10 mg"/>
    <s v="50 g"/>
    <n v="1902"/>
    <n v="30721"/>
    <d v="2023-10-07T00:00:00"/>
    <x v="1"/>
    <x v="597"/>
    <x v="3"/>
    <x v="10"/>
    <x v="3"/>
    <s v="Medium"/>
    <n v="0.9"/>
    <n v="27648.9"/>
    <n v="1.1111111111111112"/>
    <x v="1"/>
  </r>
  <r>
    <x v="2"/>
    <s v="Company V"/>
    <s v="Capsule"/>
    <s v="250 mg"/>
    <n v="30"/>
    <n v="1565"/>
    <n v="44406"/>
    <d v="2024-05-01T00:00:00"/>
    <x v="4"/>
    <x v="598"/>
    <x v="2"/>
    <x v="6"/>
    <x v="2"/>
    <s v="High"/>
    <n v="1.2"/>
    <n v="53287.199999999997"/>
    <n v="0.83333333333333337"/>
    <x v="0"/>
  </r>
  <r>
    <x v="3"/>
    <s v="Company Z"/>
    <s v="Syrup"/>
    <s v="10 mg"/>
    <n v="60"/>
    <n v="202"/>
    <n v="29359"/>
    <d v="2024-04-26T00:00:00"/>
    <x v="3"/>
    <x v="599"/>
    <x v="0"/>
    <x v="11"/>
    <x v="2"/>
    <s v="Medium"/>
    <n v="1.1000000000000001"/>
    <n v="32294.9"/>
    <n v="0.90909090909090906"/>
    <x v="0"/>
  </r>
  <r>
    <x v="1"/>
    <s v="Company W"/>
    <s v="Cream"/>
    <s v="500 mg"/>
    <s v="100 ml"/>
    <n v="1154"/>
    <n v="43230"/>
    <d v="2023-09-28T00:00:00"/>
    <x v="2"/>
    <x v="600"/>
    <x v="3"/>
    <x v="9"/>
    <x v="1"/>
    <s v="High"/>
    <n v="0.95"/>
    <n v="41068.5"/>
    <n v="1.0526315789473684"/>
    <x v="1"/>
  </r>
  <r>
    <x v="3"/>
    <s v="Company Y"/>
    <s v="Syrup"/>
    <s v="100 mg/ml"/>
    <s v="50 g"/>
    <n v="1979"/>
    <n v="44423"/>
    <d v="2024-02-07T00:00:00"/>
    <x v="2"/>
    <x v="601"/>
    <x v="4"/>
    <x v="0"/>
    <x v="0"/>
    <s v="High"/>
    <n v="0.95"/>
    <n v="42201.85"/>
    <n v="1.0526315789473684"/>
    <x v="1"/>
  </r>
  <r>
    <x v="1"/>
    <s v="Company Z"/>
    <s v="Syrup"/>
    <s v="250 mg"/>
    <n v="60"/>
    <n v="1572"/>
    <n v="45926"/>
    <d v="2024-04-11T00:00:00"/>
    <x v="1"/>
    <x v="602"/>
    <x v="0"/>
    <x v="11"/>
    <x v="2"/>
    <s v="High"/>
    <n v="0.9"/>
    <n v="41333.4"/>
    <n v="1.1111111111111112"/>
    <x v="1"/>
  </r>
  <r>
    <x v="4"/>
    <s v="Company V"/>
    <s v="Injection"/>
    <s v="100 mg/ml"/>
    <n v="60"/>
    <n v="1732"/>
    <n v="15706"/>
    <d v="2024-02-29T00:00:00"/>
    <x v="1"/>
    <x v="603"/>
    <x v="4"/>
    <x v="0"/>
    <x v="0"/>
    <s v="Low"/>
    <n v="0.9"/>
    <n v="14135.4"/>
    <n v="1.1111111111111112"/>
    <x v="1"/>
  </r>
  <r>
    <x v="4"/>
    <s v="Company X"/>
    <s v="Capsule"/>
    <s v="50 mg"/>
    <s v="100 ml"/>
    <n v="994"/>
    <n v="28766"/>
    <d v="2024-06-05T00:00:00"/>
    <x v="1"/>
    <x v="604"/>
    <x v="4"/>
    <x v="2"/>
    <x v="2"/>
    <s v="Medium"/>
    <n v="0.9"/>
    <n v="25889.4"/>
    <n v="1.1111111111111109"/>
    <x v="1"/>
  </r>
  <r>
    <x v="1"/>
    <s v="Company Z"/>
    <s v="Tablet"/>
    <s v="250 mg"/>
    <s v="10 ml"/>
    <n v="524"/>
    <n v="29230"/>
    <d v="2023-12-20T00:00:00"/>
    <x v="4"/>
    <x v="605"/>
    <x v="4"/>
    <x v="4"/>
    <x v="3"/>
    <s v="Medium"/>
    <n v="1.2"/>
    <n v="35076"/>
    <n v="0.83333333333333337"/>
    <x v="0"/>
  </r>
  <r>
    <x v="0"/>
    <s v="Company Y"/>
    <s v="Injection"/>
    <s v="50 mg"/>
    <s v="100 ml"/>
    <n v="255"/>
    <n v="10654"/>
    <d v="2024-01-23T00:00:00"/>
    <x v="4"/>
    <x v="606"/>
    <x v="0"/>
    <x v="7"/>
    <x v="0"/>
    <s v="Low"/>
    <n v="1.2"/>
    <n v="12784.8"/>
    <n v="0.83333333333333337"/>
    <x v="0"/>
  </r>
  <r>
    <x v="1"/>
    <s v="Company W"/>
    <s v="Cream"/>
    <s v="250 mg"/>
    <s v="50 g"/>
    <n v="347"/>
    <n v="13939"/>
    <d v="2024-04-14T00:00:00"/>
    <x v="4"/>
    <x v="607"/>
    <x v="1"/>
    <x v="11"/>
    <x v="2"/>
    <s v="Low"/>
    <n v="1.2"/>
    <n v="16726.8"/>
    <n v="0.83333333333333337"/>
    <x v="0"/>
  </r>
  <r>
    <x v="1"/>
    <s v="Company W"/>
    <s v="Injection"/>
    <s v="100 mg/ml"/>
    <s v="10 ml"/>
    <n v="884"/>
    <n v="29077"/>
    <d v="2024-03-23T00:00:00"/>
    <x v="4"/>
    <x v="608"/>
    <x v="2"/>
    <x v="8"/>
    <x v="0"/>
    <s v="Medium"/>
    <n v="1.2"/>
    <n v="34892.400000000001"/>
    <n v="0.83333333333333326"/>
    <x v="0"/>
  </r>
  <r>
    <x v="0"/>
    <s v="Company Z"/>
    <s v="Capsule"/>
    <s v="50 mg"/>
    <s v="10 ml"/>
    <n v="1415"/>
    <n v="35744"/>
    <d v="2024-06-06T00:00:00"/>
    <x v="3"/>
    <x v="609"/>
    <x v="1"/>
    <x v="2"/>
    <x v="2"/>
    <s v="Medium"/>
    <n v="1.1000000000000001"/>
    <n v="39318.400000000001"/>
    <n v="0.90909090909090906"/>
    <x v="0"/>
  </r>
  <r>
    <x v="0"/>
    <s v="Company X"/>
    <s v="Tablet"/>
    <s v="10 mg"/>
    <s v="100 ml"/>
    <n v="600"/>
    <n v="22592"/>
    <d v="2024-05-13T00:00:00"/>
    <x v="4"/>
    <x v="610"/>
    <x v="1"/>
    <x v="6"/>
    <x v="2"/>
    <s v="Medium"/>
    <n v="1.2"/>
    <n v="27110.399999999998"/>
    <n v="0.83333333333333337"/>
    <x v="0"/>
  </r>
  <r>
    <x v="1"/>
    <s v="Company Y"/>
    <s v="Tablet"/>
    <s v="500 mg"/>
    <n v="30"/>
    <n v="1568"/>
    <n v="22730"/>
    <d v="2023-10-23T00:00:00"/>
    <x v="0"/>
    <x v="611"/>
    <x v="0"/>
    <x v="10"/>
    <x v="3"/>
    <s v="Medium"/>
    <n v="1.1000000000000001"/>
    <n v="25003.000000000004"/>
    <n v="0.90909090909090895"/>
    <x v="0"/>
  </r>
  <r>
    <x v="2"/>
    <s v="Company X"/>
    <s v="Syrup"/>
    <s v="100 mg/ml"/>
    <n v="30"/>
    <n v="1383"/>
    <n v="7696"/>
    <d v="2024-06-27T00:00:00"/>
    <x v="4"/>
    <x v="612"/>
    <x v="1"/>
    <x v="2"/>
    <x v="2"/>
    <s v="Low"/>
    <n v="1.2"/>
    <n v="9235.1999999999989"/>
    <n v="0.83333333333333348"/>
    <x v="0"/>
  </r>
  <r>
    <x v="1"/>
    <s v="Company X"/>
    <s v="Injection"/>
    <s v="100 mg/ml"/>
    <s v="100 ml"/>
    <n v="1066"/>
    <n v="30159"/>
    <d v="2023-10-16T00:00:00"/>
    <x v="3"/>
    <x v="613"/>
    <x v="1"/>
    <x v="10"/>
    <x v="3"/>
    <s v="Medium"/>
    <n v="1.1000000000000001"/>
    <n v="33174.9"/>
    <n v="0.90909090909090906"/>
    <x v="0"/>
  </r>
  <r>
    <x v="3"/>
    <s v="Company Y"/>
    <s v="Syrup"/>
    <s v="250 mg"/>
    <s v="10 ml"/>
    <n v="1759"/>
    <n v="31641"/>
    <d v="2024-07-07T00:00:00"/>
    <x v="1"/>
    <x v="614"/>
    <x v="2"/>
    <x v="3"/>
    <x v="1"/>
    <s v="Medium"/>
    <n v="0.9"/>
    <n v="28476.9"/>
    <n v="1.1111111111111112"/>
    <x v="1"/>
  </r>
  <r>
    <x v="3"/>
    <s v="Company V"/>
    <s v="Capsule"/>
    <s v="50 mg"/>
    <n v="30"/>
    <n v="1040"/>
    <n v="45896"/>
    <d v="2023-11-09T00:00:00"/>
    <x v="1"/>
    <x v="615"/>
    <x v="3"/>
    <x v="5"/>
    <x v="3"/>
    <s v="High"/>
    <n v="0.9"/>
    <n v="41306.400000000001"/>
    <n v="1.1111111111111112"/>
    <x v="1"/>
  </r>
  <r>
    <x v="2"/>
    <s v="Company X"/>
    <s v="Injection"/>
    <s v="500 mg"/>
    <n v="60"/>
    <n v="1796"/>
    <n v="15290"/>
    <d v="2023-12-18T00:00:00"/>
    <x v="1"/>
    <x v="616"/>
    <x v="2"/>
    <x v="4"/>
    <x v="3"/>
    <s v="Low"/>
    <n v="0.9"/>
    <n v="13761"/>
    <n v="1.1111111111111112"/>
    <x v="1"/>
  </r>
  <r>
    <x v="4"/>
    <s v="Company W"/>
    <s v="Syrup"/>
    <s v="250 mg"/>
    <s v="100 ml"/>
    <n v="1545"/>
    <n v="2653"/>
    <d v="2024-07-26T00:00:00"/>
    <x v="0"/>
    <x v="617"/>
    <x v="1"/>
    <x v="3"/>
    <x v="1"/>
    <s v="Low"/>
    <n v="1.1000000000000001"/>
    <n v="2918.3"/>
    <n v="0.90909090909090906"/>
    <x v="0"/>
  </r>
  <r>
    <x v="3"/>
    <s v="Company X"/>
    <s v="Tablet"/>
    <s v="50 mg"/>
    <n v="60"/>
    <n v="1615"/>
    <n v="48316"/>
    <d v="2024-05-19T00:00:00"/>
    <x v="4"/>
    <x v="618"/>
    <x v="4"/>
    <x v="6"/>
    <x v="2"/>
    <s v="High"/>
    <n v="1.2"/>
    <n v="57979.199999999997"/>
    <n v="0.83333333333333337"/>
    <x v="0"/>
  </r>
  <r>
    <x v="2"/>
    <s v="Company V"/>
    <s v="Syrup"/>
    <s v="100 mg/ml"/>
    <s v="100 ml"/>
    <n v="1793"/>
    <n v="3737"/>
    <d v="2023-11-29T00:00:00"/>
    <x v="2"/>
    <x v="619"/>
    <x v="1"/>
    <x v="5"/>
    <x v="3"/>
    <s v="Low"/>
    <n v="0.95"/>
    <n v="3550.1499999999996"/>
    <n v="1.0526315789473686"/>
    <x v="1"/>
  </r>
  <r>
    <x v="1"/>
    <s v="Company V"/>
    <s v="Cream"/>
    <s v="250 mg"/>
    <s v="50 g"/>
    <n v="1283"/>
    <n v="30409"/>
    <d v="2024-04-05T00:00:00"/>
    <x v="1"/>
    <x v="620"/>
    <x v="1"/>
    <x v="11"/>
    <x v="2"/>
    <s v="Medium"/>
    <n v="0.9"/>
    <n v="27368.100000000002"/>
    <n v="1.1111111111111109"/>
    <x v="1"/>
  </r>
  <r>
    <x v="3"/>
    <s v="Company Y"/>
    <s v="Cream"/>
    <s v="50 mg"/>
    <s v="10 ml"/>
    <n v="635"/>
    <n v="8357"/>
    <d v="2023-09-26T00:00:00"/>
    <x v="4"/>
    <x v="621"/>
    <x v="3"/>
    <x v="9"/>
    <x v="1"/>
    <s v="Low"/>
    <n v="1.2"/>
    <n v="10028.4"/>
    <n v="0.83333333333333337"/>
    <x v="0"/>
  </r>
  <r>
    <x v="0"/>
    <s v="Company W"/>
    <s v="Injection"/>
    <s v="50 mg"/>
    <n v="60"/>
    <n v="1700"/>
    <n v="25492"/>
    <d v="2024-05-03T00:00:00"/>
    <x v="3"/>
    <x v="622"/>
    <x v="3"/>
    <x v="6"/>
    <x v="2"/>
    <s v="Medium"/>
    <n v="1.1000000000000001"/>
    <n v="28041.200000000001"/>
    <n v="0.90909090909090906"/>
    <x v="0"/>
  </r>
  <r>
    <x v="0"/>
    <s v="Company Y"/>
    <s v="Capsule"/>
    <s v="50 mg"/>
    <n v="60"/>
    <n v="1428"/>
    <n v="22964"/>
    <d v="2023-12-23T00:00:00"/>
    <x v="2"/>
    <x v="623"/>
    <x v="0"/>
    <x v="4"/>
    <x v="3"/>
    <s v="Medium"/>
    <n v="0.95"/>
    <n v="21815.8"/>
    <n v="1.0526315789473684"/>
    <x v="1"/>
  </r>
  <r>
    <x v="0"/>
    <s v="Company Z"/>
    <s v="Syrup"/>
    <s v="50 mg"/>
    <n v="60"/>
    <n v="786"/>
    <n v="11656"/>
    <d v="2024-01-07T00:00:00"/>
    <x v="1"/>
    <x v="624"/>
    <x v="2"/>
    <x v="7"/>
    <x v="0"/>
    <s v="Low"/>
    <n v="0.9"/>
    <n v="10490.4"/>
    <n v="1.1111111111111112"/>
    <x v="1"/>
  </r>
  <r>
    <x v="3"/>
    <s v="Company Z"/>
    <s v="Syrup"/>
    <s v="500 mg"/>
    <n v="60"/>
    <n v="973"/>
    <n v="3690"/>
    <d v="2024-05-01T00:00:00"/>
    <x v="3"/>
    <x v="625"/>
    <x v="2"/>
    <x v="6"/>
    <x v="2"/>
    <s v="Low"/>
    <n v="1.1000000000000001"/>
    <n v="4059.0000000000005"/>
    <n v="0.90909090909090895"/>
    <x v="0"/>
  </r>
  <r>
    <x v="2"/>
    <s v="Company Y"/>
    <s v="Cream"/>
    <s v="10 mg"/>
    <s v="50 g"/>
    <n v="1841"/>
    <n v="5308"/>
    <d v="2023-12-04T00:00:00"/>
    <x v="3"/>
    <x v="626"/>
    <x v="2"/>
    <x v="4"/>
    <x v="3"/>
    <s v="Low"/>
    <n v="1.1000000000000001"/>
    <n v="5838.8"/>
    <n v="0.90909090909090906"/>
    <x v="0"/>
  </r>
  <r>
    <x v="4"/>
    <s v="Company X"/>
    <s v="Injection"/>
    <s v="100 mg/ml"/>
    <s v="100 ml"/>
    <n v="852"/>
    <n v="21947"/>
    <d v="2024-03-17T00:00:00"/>
    <x v="0"/>
    <x v="627"/>
    <x v="4"/>
    <x v="8"/>
    <x v="0"/>
    <s v="Medium"/>
    <n v="1.1000000000000001"/>
    <n v="24141.7"/>
    <n v="0.90909090909090906"/>
    <x v="0"/>
  </r>
  <r>
    <x v="4"/>
    <s v="Company X"/>
    <s v="Capsule"/>
    <s v="10 mg"/>
    <s v="50 g"/>
    <n v="1005"/>
    <n v="20706"/>
    <d v="2023-12-13T00:00:00"/>
    <x v="3"/>
    <x v="628"/>
    <x v="0"/>
    <x v="4"/>
    <x v="3"/>
    <s v="Medium"/>
    <n v="1.1000000000000001"/>
    <n v="22776.600000000002"/>
    <n v="0.90909090909090895"/>
    <x v="0"/>
  </r>
  <r>
    <x v="1"/>
    <s v="Company Y"/>
    <s v="Syrup"/>
    <s v="500 mg"/>
    <s v="100 ml"/>
    <n v="1746"/>
    <n v="9959"/>
    <d v="2024-03-26T00:00:00"/>
    <x v="3"/>
    <x v="629"/>
    <x v="0"/>
    <x v="8"/>
    <x v="0"/>
    <s v="Low"/>
    <n v="1.1000000000000001"/>
    <n v="10954.900000000001"/>
    <n v="0.90909090909090895"/>
    <x v="0"/>
  </r>
  <r>
    <x v="4"/>
    <s v="Company Y"/>
    <s v="Capsule"/>
    <s v="250 mg"/>
    <n v="30"/>
    <n v="1257"/>
    <n v="23476"/>
    <d v="2023-12-31T00:00:00"/>
    <x v="2"/>
    <x v="630"/>
    <x v="4"/>
    <x v="4"/>
    <x v="3"/>
    <s v="Medium"/>
    <n v="0.95"/>
    <n v="22302.2"/>
    <n v="1.0526315789473684"/>
    <x v="1"/>
  </r>
  <r>
    <x v="3"/>
    <s v="Company X"/>
    <s v="Tablet"/>
    <s v="10 mg"/>
    <s v="50 g"/>
    <n v="1082"/>
    <n v="35390"/>
    <d v="2024-03-30T00:00:00"/>
    <x v="2"/>
    <x v="631"/>
    <x v="2"/>
    <x v="8"/>
    <x v="0"/>
    <s v="Medium"/>
    <n v="0.95"/>
    <n v="33620.5"/>
    <n v="1.0526315789473684"/>
    <x v="1"/>
  </r>
  <r>
    <x v="2"/>
    <s v="Company Y"/>
    <s v="Injection"/>
    <s v="10 mg"/>
    <s v="50 g"/>
    <n v="428"/>
    <n v="3153"/>
    <d v="2024-02-07T00:00:00"/>
    <x v="0"/>
    <x v="632"/>
    <x v="3"/>
    <x v="0"/>
    <x v="0"/>
    <s v="Low"/>
    <n v="1.1000000000000001"/>
    <n v="3468.3"/>
    <n v="0.90909090909090906"/>
    <x v="0"/>
  </r>
  <r>
    <x v="2"/>
    <s v="Company Y"/>
    <s v="Syrup"/>
    <s v="100 mg/ml"/>
    <n v="60"/>
    <n v="793"/>
    <n v="30051"/>
    <d v="2024-05-25T00:00:00"/>
    <x v="2"/>
    <x v="633"/>
    <x v="1"/>
    <x v="6"/>
    <x v="2"/>
    <s v="Medium"/>
    <n v="0.95"/>
    <n v="28548.449999999997"/>
    <n v="1.0526315789473686"/>
    <x v="1"/>
  </r>
  <r>
    <x v="3"/>
    <s v="Company V"/>
    <s v="Cream"/>
    <s v="100 mg/ml"/>
    <n v="60"/>
    <n v="140"/>
    <n v="31617"/>
    <d v="2023-10-22T00:00:00"/>
    <x v="2"/>
    <x v="634"/>
    <x v="4"/>
    <x v="10"/>
    <x v="3"/>
    <s v="Medium"/>
    <n v="0.95"/>
    <n v="30036.149999999998"/>
    <n v="1.0526315789473686"/>
    <x v="1"/>
  </r>
  <r>
    <x v="0"/>
    <s v="Company Y"/>
    <s v="Injection"/>
    <s v="500 mg"/>
    <n v="30"/>
    <n v="862"/>
    <n v="42692"/>
    <d v="2024-05-02T00:00:00"/>
    <x v="3"/>
    <x v="635"/>
    <x v="2"/>
    <x v="6"/>
    <x v="2"/>
    <s v="High"/>
    <n v="1.1000000000000001"/>
    <n v="46961.200000000004"/>
    <n v="0.90909090909090906"/>
    <x v="0"/>
  </r>
  <r>
    <x v="0"/>
    <s v="Company V"/>
    <s v="Cream"/>
    <s v="250 mg"/>
    <n v="30"/>
    <n v="1888"/>
    <n v="35394"/>
    <d v="2023-08-18T00:00:00"/>
    <x v="3"/>
    <x v="636"/>
    <x v="3"/>
    <x v="1"/>
    <x v="1"/>
    <s v="Medium"/>
    <n v="1.1000000000000001"/>
    <n v="38933.4"/>
    <n v="0.90909090909090906"/>
    <x v="0"/>
  </r>
  <r>
    <x v="1"/>
    <s v="Company X"/>
    <s v="Cream"/>
    <s v="100 mg/ml"/>
    <s v="50 g"/>
    <n v="1623"/>
    <n v="26804"/>
    <d v="2024-06-16T00:00:00"/>
    <x v="1"/>
    <x v="637"/>
    <x v="0"/>
    <x v="2"/>
    <x v="2"/>
    <s v="Medium"/>
    <n v="0.9"/>
    <n v="24123.600000000002"/>
    <n v="1.1111111111111109"/>
    <x v="1"/>
  </r>
  <r>
    <x v="4"/>
    <s v="Company Z"/>
    <s v="Cream"/>
    <s v="500 mg"/>
    <n v="60"/>
    <n v="1641"/>
    <n v="7106"/>
    <d v="2023-08-10T00:00:00"/>
    <x v="3"/>
    <x v="638"/>
    <x v="1"/>
    <x v="1"/>
    <x v="1"/>
    <s v="Low"/>
    <n v="1.1000000000000001"/>
    <n v="7816.6"/>
    <n v="0.90909090909090906"/>
    <x v="0"/>
  </r>
  <r>
    <x v="0"/>
    <s v="Company W"/>
    <s v="Cream"/>
    <s v="500 mg"/>
    <n v="60"/>
    <n v="622"/>
    <n v="30194"/>
    <d v="2024-03-09T00:00:00"/>
    <x v="4"/>
    <x v="639"/>
    <x v="1"/>
    <x v="8"/>
    <x v="0"/>
    <s v="Medium"/>
    <n v="1.2"/>
    <n v="36232.799999999996"/>
    <n v="0.83333333333333348"/>
    <x v="0"/>
  </r>
  <r>
    <x v="1"/>
    <s v="Company V"/>
    <s v="Syrup"/>
    <s v="250 mg"/>
    <s v="50 g"/>
    <n v="1529"/>
    <n v="22974"/>
    <d v="2024-04-26T00:00:00"/>
    <x v="0"/>
    <x v="640"/>
    <x v="1"/>
    <x v="11"/>
    <x v="2"/>
    <s v="Medium"/>
    <n v="1.1000000000000001"/>
    <n v="25271.4"/>
    <n v="0.90909090909090906"/>
    <x v="0"/>
  </r>
  <r>
    <x v="0"/>
    <s v="Company W"/>
    <s v="Tablet"/>
    <s v="10 mg"/>
    <s v="50 g"/>
    <n v="1868"/>
    <n v="14793"/>
    <d v="2024-06-22T00:00:00"/>
    <x v="0"/>
    <x v="641"/>
    <x v="1"/>
    <x v="2"/>
    <x v="2"/>
    <s v="Low"/>
    <n v="1.1000000000000001"/>
    <n v="16272.300000000001"/>
    <n v="0.90909090909090906"/>
    <x v="0"/>
  </r>
  <r>
    <x v="3"/>
    <s v="Company X"/>
    <s v="Tablet"/>
    <s v="250 mg"/>
    <n v="30"/>
    <n v="421"/>
    <n v="11743"/>
    <d v="2024-04-24T00:00:00"/>
    <x v="2"/>
    <x v="642"/>
    <x v="0"/>
    <x v="11"/>
    <x v="2"/>
    <s v="Low"/>
    <n v="0.95"/>
    <n v="11155.85"/>
    <n v="1.0526315789473684"/>
    <x v="1"/>
  </r>
  <r>
    <x v="0"/>
    <s v="Company Y"/>
    <s v="Injection"/>
    <s v="250 mg"/>
    <s v="50 g"/>
    <n v="1140"/>
    <n v="11932"/>
    <d v="2023-08-09T00:00:00"/>
    <x v="1"/>
    <x v="643"/>
    <x v="1"/>
    <x v="1"/>
    <x v="1"/>
    <s v="Low"/>
    <n v="0.9"/>
    <n v="10738.800000000001"/>
    <n v="1.1111111111111109"/>
    <x v="1"/>
  </r>
  <r>
    <x v="0"/>
    <s v="Company V"/>
    <s v="Syrup"/>
    <s v="10 mg"/>
    <s v="100 ml"/>
    <n v="1689"/>
    <n v="48095"/>
    <d v="2024-01-31T00:00:00"/>
    <x v="0"/>
    <x v="644"/>
    <x v="1"/>
    <x v="7"/>
    <x v="0"/>
    <s v="High"/>
    <n v="1.1000000000000001"/>
    <n v="52904.500000000007"/>
    <n v="0.90909090909090895"/>
    <x v="0"/>
  </r>
  <r>
    <x v="0"/>
    <s v="Company Z"/>
    <s v="Syrup"/>
    <s v="10 mg"/>
    <n v="30"/>
    <n v="899"/>
    <n v="30188"/>
    <d v="2024-01-01T00:00:00"/>
    <x v="4"/>
    <x v="645"/>
    <x v="1"/>
    <x v="7"/>
    <x v="0"/>
    <s v="Medium"/>
    <n v="1.2"/>
    <n v="36225.599999999999"/>
    <n v="0.83333333333333337"/>
    <x v="0"/>
  </r>
  <r>
    <x v="0"/>
    <s v="Company Z"/>
    <s v="Cream"/>
    <s v="250 mg"/>
    <s v="10 ml"/>
    <n v="1631"/>
    <n v="1499"/>
    <d v="2024-06-06T00:00:00"/>
    <x v="0"/>
    <x v="646"/>
    <x v="2"/>
    <x v="2"/>
    <x v="2"/>
    <s v="Low"/>
    <n v="1.1000000000000001"/>
    <n v="1648.9"/>
    <n v="0.90909090909090906"/>
    <x v="0"/>
  </r>
  <r>
    <x v="0"/>
    <s v="Company Z"/>
    <s v="Cream"/>
    <s v="250 mg"/>
    <s v="50 g"/>
    <n v="319"/>
    <n v="13155"/>
    <d v="2024-05-13T00:00:00"/>
    <x v="2"/>
    <x v="647"/>
    <x v="3"/>
    <x v="6"/>
    <x v="2"/>
    <s v="Low"/>
    <n v="0.95"/>
    <n v="12497.25"/>
    <n v="1.0526315789473684"/>
    <x v="1"/>
  </r>
  <r>
    <x v="2"/>
    <s v="Company W"/>
    <s v="Syrup"/>
    <s v="500 mg"/>
    <s v="10 ml"/>
    <n v="152"/>
    <n v="12327"/>
    <d v="2023-10-31T00:00:00"/>
    <x v="4"/>
    <x v="648"/>
    <x v="3"/>
    <x v="10"/>
    <x v="3"/>
    <s v="Low"/>
    <n v="1.2"/>
    <n v="14792.4"/>
    <n v="0.83333333333333337"/>
    <x v="0"/>
  </r>
  <r>
    <x v="2"/>
    <s v="Company W"/>
    <s v="Cream"/>
    <s v="250 mg"/>
    <s v="50 g"/>
    <n v="1283"/>
    <n v="2668"/>
    <d v="2024-05-13T00:00:00"/>
    <x v="0"/>
    <x v="649"/>
    <x v="0"/>
    <x v="6"/>
    <x v="2"/>
    <s v="Low"/>
    <n v="1.1000000000000001"/>
    <n v="2934.8"/>
    <n v="0.90909090909090906"/>
    <x v="0"/>
  </r>
  <r>
    <x v="3"/>
    <s v="Company W"/>
    <s v="Injection"/>
    <s v="100 mg/ml"/>
    <s v="100 ml"/>
    <n v="1508"/>
    <n v="41269"/>
    <d v="2023-12-25T00:00:00"/>
    <x v="4"/>
    <x v="650"/>
    <x v="1"/>
    <x v="4"/>
    <x v="3"/>
    <s v="High"/>
    <n v="1.2"/>
    <n v="49522.799999999996"/>
    <n v="0.83333333333333337"/>
    <x v="0"/>
  </r>
  <r>
    <x v="1"/>
    <s v="Company Y"/>
    <s v="Capsule"/>
    <s v="100 mg/ml"/>
    <n v="30"/>
    <n v="774"/>
    <n v="26648"/>
    <d v="2024-05-30T00:00:00"/>
    <x v="0"/>
    <x v="651"/>
    <x v="1"/>
    <x v="6"/>
    <x v="2"/>
    <s v="Medium"/>
    <n v="1.1000000000000001"/>
    <n v="29312.800000000003"/>
    <n v="0.90909090909090895"/>
    <x v="0"/>
  </r>
  <r>
    <x v="3"/>
    <s v="Company Z"/>
    <s v="Syrup"/>
    <s v="50 mg"/>
    <n v="30"/>
    <n v="255"/>
    <n v="47763"/>
    <d v="2024-03-30T00:00:00"/>
    <x v="1"/>
    <x v="652"/>
    <x v="4"/>
    <x v="8"/>
    <x v="0"/>
    <s v="High"/>
    <n v="0.9"/>
    <n v="42986.700000000004"/>
    <n v="1.1111111111111109"/>
    <x v="1"/>
  </r>
  <r>
    <x v="4"/>
    <s v="Company Z"/>
    <s v="Tablet"/>
    <s v="10 mg"/>
    <s v="10 ml"/>
    <n v="1460"/>
    <n v="22865"/>
    <d v="2023-10-10T00:00:00"/>
    <x v="0"/>
    <x v="653"/>
    <x v="0"/>
    <x v="10"/>
    <x v="3"/>
    <s v="Medium"/>
    <n v="1.1000000000000001"/>
    <n v="25151.500000000004"/>
    <n v="0.90909090909090895"/>
    <x v="0"/>
  </r>
  <r>
    <x v="0"/>
    <s v="Company W"/>
    <s v="Cream"/>
    <s v="100 mg/ml"/>
    <n v="30"/>
    <n v="879"/>
    <n v="6810"/>
    <d v="2024-04-13T00:00:00"/>
    <x v="1"/>
    <x v="654"/>
    <x v="1"/>
    <x v="11"/>
    <x v="2"/>
    <s v="Low"/>
    <n v="0.9"/>
    <n v="6129"/>
    <n v="1.1111111111111112"/>
    <x v="1"/>
  </r>
  <r>
    <x v="0"/>
    <s v="Company V"/>
    <s v="Injection"/>
    <s v="500 mg"/>
    <s v="50 g"/>
    <n v="634"/>
    <n v="15232"/>
    <d v="2024-07-20T00:00:00"/>
    <x v="2"/>
    <x v="655"/>
    <x v="2"/>
    <x v="3"/>
    <x v="1"/>
    <s v="Low"/>
    <n v="0.95"/>
    <n v="14470.4"/>
    <n v="1.0526315789473684"/>
    <x v="1"/>
  </r>
  <r>
    <x v="2"/>
    <s v="Company X"/>
    <s v="Cream"/>
    <s v="500 mg"/>
    <s v="100 ml"/>
    <n v="1589"/>
    <n v="28963"/>
    <d v="2024-02-15T00:00:00"/>
    <x v="1"/>
    <x v="656"/>
    <x v="2"/>
    <x v="0"/>
    <x v="0"/>
    <s v="Medium"/>
    <n v="0.9"/>
    <n v="26066.7"/>
    <n v="1.1111111111111112"/>
    <x v="1"/>
  </r>
  <r>
    <x v="3"/>
    <s v="Company Z"/>
    <s v="Syrup"/>
    <s v="100 mg/ml"/>
    <s v="100 ml"/>
    <n v="288"/>
    <n v="10918"/>
    <d v="2023-11-21T00:00:00"/>
    <x v="1"/>
    <x v="657"/>
    <x v="0"/>
    <x v="5"/>
    <x v="3"/>
    <s v="Low"/>
    <n v="0.9"/>
    <n v="9826.2000000000007"/>
    <n v="1.1111111111111109"/>
    <x v="1"/>
  </r>
  <r>
    <x v="2"/>
    <s v="Company V"/>
    <s v="Capsule"/>
    <s v="500 mg"/>
    <s v="50 g"/>
    <n v="161"/>
    <n v="15335"/>
    <d v="2024-07-15T00:00:00"/>
    <x v="0"/>
    <x v="658"/>
    <x v="3"/>
    <x v="3"/>
    <x v="1"/>
    <s v="Low"/>
    <n v="1.1000000000000001"/>
    <n v="16868.5"/>
    <n v="0.90909090909090906"/>
    <x v="0"/>
  </r>
  <r>
    <x v="1"/>
    <s v="Company Y"/>
    <s v="Cream"/>
    <s v="500 mg"/>
    <s v="50 g"/>
    <n v="855"/>
    <n v="29393"/>
    <d v="2023-09-04T00:00:00"/>
    <x v="0"/>
    <x v="659"/>
    <x v="0"/>
    <x v="9"/>
    <x v="1"/>
    <s v="Medium"/>
    <n v="1.1000000000000001"/>
    <n v="32332.300000000003"/>
    <n v="0.90909090909090906"/>
    <x v="0"/>
  </r>
  <r>
    <x v="1"/>
    <s v="Company Y"/>
    <s v="Syrup"/>
    <s v="10 mg"/>
    <s v="10 ml"/>
    <n v="488"/>
    <n v="48696"/>
    <d v="2023-12-13T00:00:00"/>
    <x v="3"/>
    <x v="660"/>
    <x v="0"/>
    <x v="4"/>
    <x v="3"/>
    <s v="High"/>
    <n v="1.1000000000000001"/>
    <n v="53565.600000000006"/>
    <n v="0.90909090909090895"/>
    <x v="0"/>
  </r>
  <r>
    <x v="2"/>
    <s v="Company W"/>
    <s v="Cream"/>
    <s v="50 mg"/>
    <s v="100 ml"/>
    <n v="1119"/>
    <n v="17664"/>
    <d v="2024-02-21T00:00:00"/>
    <x v="1"/>
    <x v="661"/>
    <x v="1"/>
    <x v="0"/>
    <x v="0"/>
    <s v="Low"/>
    <n v="0.9"/>
    <n v="15897.6"/>
    <n v="1.1111111111111112"/>
    <x v="1"/>
  </r>
  <r>
    <x v="4"/>
    <s v="Company V"/>
    <s v="Tablet"/>
    <s v="250 mg"/>
    <n v="30"/>
    <n v="105"/>
    <n v="10114"/>
    <d v="2023-09-28T00:00:00"/>
    <x v="2"/>
    <x v="662"/>
    <x v="0"/>
    <x v="9"/>
    <x v="1"/>
    <s v="Low"/>
    <n v="0.95"/>
    <n v="9608.2999999999993"/>
    <n v="1.0526315789473686"/>
    <x v="1"/>
  </r>
  <r>
    <x v="4"/>
    <s v="Company X"/>
    <s v="Injection"/>
    <s v="100 mg/ml"/>
    <s v="100 ml"/>
    <n v="1425"/>
    <n v="49691"/>
    <d v="2023-11-22T00:00:00"/>
    <x v="1"/>
    <x v="663"/>
    <x v="2"/>
    <x v="5"/>
    <x v="3"/>
    <s v="High"/>
    <n v="0.9"/>
    <n v="44721.9"/>
    <n v="1.1111111111111112"/>
    <x v="1"/>
  </r>
  <r>
    <x v="0"/>
    <s v="Company Y"/>
    <s v="Syrup"/>
    <s v="100 mg/ml"/>
    <s v="10 ml"/>
    <n v="908"/>
    <n v="12202"/>
    <d v="2024-03-11T00:00:00"/>
    <x v="3"/>
    <x v="664"/>
    <x v="1"/>
    <x v="8"/>
    <x v="0"/>
    <s v="Low"/>
    <n v="1.1000000000000001"/>
    <n v="13422.2"/>
    <n v="0.90909090909090906"/>
    <x v="0"/>
  </r>
  <r>
    <x v="2"/>
    <s v="Company Y"/>
    <s v="Cream"/>
    <s v="250 mg"/>
    <n v="30"/>
    <n v="1479"/>
    <n v="39296"/>
    <d v="2024-05-29T00:00:00"/>
    <x v="1"/>
    <x v="665"/>
    <x v="2"/>
    <x v="6"/>
    <x v="2"/>
    <s v="Medium"/>
    <n v="0.9"/>
    <n v="35366.400000000001"/>
    <n v="1.1111111111111112"/>
    <x v="1"/>
  </r>
  <r>
    <x v="4"/>
    <s v="Company Y"/>
    <s v="Injection"/>
    <s v="10 mg"/>
    <n v="30"/>
    <n v="1271"/>
    <n v="24977"/>
    <d v="2023-11-03T00:00:00"/>
    <x v="1"/>
    <x v="666"/>
    <x v="0"/>
    <x v="5"/>
    <x v="3"/>
    <s v="Medium"/>
    <n v="0.9"/>
    <n v="22479.3"/>
    <n v="1.1111111111111112"/>
    <x v="1"/>
  </r>
  <r>
    <x v="0"/>
    <s v="Company Y"/>
    <s v="Capsule"/>
    <s v="50 mg"/>
    <n v="60"/>
    <n v="255"/>
    <n v="3422"/>
    <d v="2024-07-26T00:00:00"/>
    <x v="3"/>
    <x v="667"/>
    <x v="1"/>
    <x v="3"/>
    <x v="1"/>
    <s v="Low"/>
    <n v="1.1000000000000001"/>
    <n v="3764.2000000000003"/>
    <n v="0.90909090909090906"/>
    <x v="0"/>
  </r>
  <r>
    <x v="0"/>
    <s v="Company Z"/>
    <s v="Injection"/>
    <s v="50 mg"/>
    <s v="100 ml"/>
    <n v="1258"/>
    <n v="40096"/>
    <d v="2024-01-24T00:00:00"/>
    <x v="4"/>
    <x v="668"/>
    <x v="0"/>
    <x v="7"/>
    <x v="0"/>
    <s v="High"/>
    <n v="1.2"/>
    <n v="48115.199999999997"/>
    <n v="0.83333333333333337"/>
    <x v="0"/>
  </r>
  <r>
    <x v="0"/>
    <s v="Company Z"/>
    <s v="Capsule"/>
    <s v="500 mg"/>
    <s v="100 ml"/>
    <n v="1633"/>
    <n v="49748"/>
    <d v="2023-08-02T00:00:00"/>
    <x v="0"/>
    <x v="669"/>
    <x v="4"/>
    <x v="1"/>
    <x v="1"/>
    <s v="High"/>
    <n v="1.1000000000000001"/>
    <n v="54722.8"/>
    <n v="0.90909090909090906"/>
    <x v="0"/>
  </r>
  <r>
    <x v="3"/>
    <s v="Company Z"/>
    <s v="Cream"/>
    <s v="10 mg"/>
    <s v="100 ml"/>
    <n v="115"/>
    <n v="42746"/>
    <d v="2024-06-27T00:00:00"/>
    <x v="0"/>
    <x v="670"/>
    <x v="0"/>
    <x v="2"/>
    <x v="2"/>
    <s v="High"/>
    <n v="1.1000000000000001"/>
    <n v="47020.600000000006"/>
    <n v="0.90909090909090895"/>
    <x v="0"/>
  </r>
  <r>
    <x v="1"/>
    <s v="Company Z"/>
    <s v="Injection"/>
    <s v="500 mg"/>
    <n v="30"/>
    <n v="1666"/>
    <n v="31902"/>
    <d v="2024-01-05T00:00:00"/>
    <x v="0"/>
    <x v="671"/>
    <x v="2"/>
    <x v="7"/>
    <x v="0"/>
    <s v="Medium"/>
    <n v="1.1000000000000001"/>
    <n v="35092.200000000004"/>
    <n v="0.90909090909090895"/>
    <x v="0"/>
  </r>
  <r>
    <x v="1"/>
    <s v="Company Y"/>
    <s v="Injection"/>
    <s v="10 mg"/>
    <s v="100 ml"/>
    <n v="1141"/>
    <n v="14925"/>
    <d v="2024-04-28T00:00:00"/>
    <x v="1"/>
    <x v="672"/>
    <x v="1"/>
    <x v="11"/>
    <x v="2"/>
    <s v="Low"/>
    <n v="0.9"/>
    <n v="13432.5"/>
    <n v="1.1111111111111112"/>
    <x v="1"/>
  </r>
  <r>
    <x v="3"/>
    <s v="Company X"/>
    <s v="Capsule"/>
    <s v="500 mg"/>
    <s v="50 g"/>
    <n v="684"/>
    <n v="49285"/>
    <d v="2024-02-26T00:00:00"/>
    <x v="3"/>
    <x v="673"/>
    <x v="3"/>
    <x v="0"/>
    <x v="0"/>
    <s v="High"/>
    <n v="1.1000000000000001"/>
    <n v="54213.500000000007"/>
    <n v="0.90909090909090895"/>
    <x v="0"/>
  </r>
  <r>
    <x v="2"/>
    <s v="Company W"/>
    <s v="Tablet"/>
    <s v="100 mg/ml"/>
    <s v="100 ml"/>
    <n v="125"/>
    <n v="27122"/>
    <d v="2023-08-25T00:00:00"/>
    <x v="2"/>
    <x v="674"/>
    <x v="1"/>
    <x v="1"/>
    <x v="1"/>
    <s v="Medium"/>
    <n v="0.95"/>
    <n v="25765.899999999998"/>
    <n v="1.0526315789473686"/>
    <x v="1"/>
  </r>
  <r>
    <x v="0"/>
    <s v="Company Y"/>
    <s v="Syrup"/>
    <s v="10 mg"/>
    <s v="100 ml"/>
    <n v="1257"/>
    <n v="9065"/>
    <d v="2024-02-13T00:00:00"/>
    <x v="0"/>
    <x v="675"/>
    <x v="3"/>
    <x v="0"/>
    <x v="0"/>
    <s v="Low"/>
    <n v="1.1000000000000001"/>
    <n v="9971.5"/>
    <n v="0.90909090909090906"/>
    <x v="0"/>
  </r>
  <r>
    <x v="3"/>
    <s v="Company W"/>
    <s v="Syrup"/>
    <s v="250 mg"/>
    <s v="10 ml"/>
    <n v="512"/>
    <n v="38483"/>
    <d v="2023-11-29T00:00:00"/>
    <x v="1"/>
    <x v="676"/>
    <x v="1"/>
    <x v="5"/>
    <x v="3"/>
    <s v="Medium"/>
    <n v="0.9"/>
    <n v="34634.700000000004"/>
    <n v="1.1111111111111109"/>
    <x v="1"/>
  </r>
  <r>
    <x v="0"/>
    <s v="Company Z"/>
    <s v="Tablet"/>
    <s v="500 mg"/>
    <n v="60"/>
    <n v="1978"/>
    <n v="35271"/>
    <d v="2023-12-25T00:00:00"/>
    <x v="4"/>
    <x v="677"/>
    <x v="4"/>
    <x v="4"/>
    <x v="3"/>
    <s v="Medium"/>
    <n v="1.2"/>
    <n v="42325.2"/>
    <n v="0.83333333333333337"/>
    <x v="0"/>
  </r>
  <r>
    <x v="0"/>
    <s v="Company Z"/>
    <s v="Syrup"/>
    <s v="50 mg"/>
    <s v="10 ml"/>
    <n v="452"/>
    <n v="27833"/>
    <d v="2023-11-01T00:00:00"/>
    <x v="3"/>
    <x v="678"/>
    <x v="2"/>
    <x v="5"/>
    <x v="3"/>
    <s v="Medium"/>
    <n v="1.1000000000000001"/>
    <n v="30616.300000000003"/>
    <n v="0.90909090909090895"/>
    <x v="0"/>
  </r>
  <r>
    <x v="2"/>
    <s v="Company Y"/>
    <s v="Cream"/>
    <s v="50 mg"/>
    <s v="100 ml"/>
    <n v="1464"/>
    <n v="13450"/>
    <d v="2023-10-04T00:00:00"/>
    <x v="4"/>
    <x v="679"/>
    <x v="1"/>
    <x v="10"/>
    <x v="3"/>
    <s v="Low"/>
    <n v="1.2"/>
    <n v="16140"/>
    <n v="0.83333333333333337"/>
    <x v="0"/>
  </r>
  <r>
    <x v="1"/>
    <s v="Company V"/>
    <s v="Cream"/>
    <s v="100 mg/ml"/>
    <n v="60"/>
    <n v="1259"/>
    <n v="34258"/>
    <d v="2023-10-21T00:00:00"/>
    <x v="4"/>
    <x v="680"/>
    <x v="3"/>
    <x v="10"/>
    <x v="3"/>
    <s v="Medium"/>
    <n v="1.2"/>
    <n v="41109.599999999999"/>
    <n v="0.83333333333333337"/>
    <x v="0"/>
  </r>
  <r>
    <x v="0"/>
    <s v="Company Z"/>
    <s v="Injection"/>
    <s v="50 mg"/>
    <s v="10 ml"/>
    <n v="997"/>
    <n v="6288"/>
    <d v="2024-07-17T00:00:00"/>
    <x v="4"/>
    <x v="681"/>
    <x v="4"/>
    <x v="3"/>
    <x v="1"/>
    <s v="Low"/>
    <n v="1.2"/>
    <n v="7545.5999999999995"/>
    <n v="0.83333333333333337"/>
    <x v="0"/>
  </r>
  <r>
    <x v="3"/>
    <s v="Company V"/>
    <s v="Cream"/>
    <s v="50 mg"/>
    <n v="60"/>
    <n v="324"/>
    <n v="16995"/>
    <d v="2023-10-26T00:00:00"/>
    <x v="3"/>
    <x v="682"/>
    <x v="2"/>
    <x v="10"/>
    <x v="3"/>
    <s v="Low"/>
    <n v="1.1000000000000001"/>
    <n v="18694.5"/>
    <n v="0.90909090909090906"/>
    <x v="0"/>
  </r>
  <r>
    <x v="3"/>
    <s v="Company X"/>
    <s v="Syrup"/>
    <s v="10 mg"/>
    <s v="100 ml"/>
    <n v="153"/>
    <n v="48959"/>
    <d v="2024-05-31T00:00:00"/>
    <x v="3"/>
    <x v="683"/>
    <x v="0"/>
    <x v="6"/>
    <x v="2"/>
    <s v="High"/>
    <n v="1.1000000000000001"/>
    <n v="53854.9"/>
    <n v="0.90909090909090906"/>
    <x v="0"/>
  </r>
  <r>
    <x v="1"/>
    <s v="Company Y"/>
    <s v="Cream"/>
    <s v="10 mg"/>
    <s v="50 g"/>
    <n v="1927"/>
    <n v="36009"/>
    <d v="2023-08-09T00:00:00"/>
    <x v="1"/>
    <x v="684"/>
    <x v="1"/>
    <x v="1"/>
    <x v="1"/>
    <s v="Medium"/>
    <n v="0.9"/>
    <n v="32408.100000000002"/>
    <n v="1.1111111111111109"/>
    <x v="1"/>
  </r>
  <r>
    <x v="0"/>
    <s v="Company X"/>
    <s v="Cream"/>
    <s v="100 mg/ml"/>
    <n v="60"/>
    <n v="463"/>
    <n v="7692"/>
    <d v="2023-07-30T00:00:00"/>
    <x v="1"/>
    <x v="685"/>
    <x v="0"/>
    <x v="3"/>
    <x v="1"/>
    <s v="Low"/>
    <n v="0.9"/>
    <n v="6922.8"/>
    <n v="1.1111111111111112"/>
    <x v="1"/>
  </r>
  <r>
    <x v="0"/>
    <s v="Company V"/>
    <s v="Capsule"/>
    <s v="10 mg"/>
    <n v="30"/>
    <n v="1767"/>
    <n v="37875"/>
    <d v="2024-01-28T00:00:00"/>
    <x v="3"/>
    <x v="686"/>
    <x v="0"/>
    <x v="7"/>
    <x v="0"/>
    <s v="Medium"/>
    <n v="1.1000000000000001"/>
    <n v="41662.5"/>
    <n v="0.90909090909090906"/>
    <x v="0"/>
  </r>
  <r>
    <x v="4"/>
    <s v="Company W"/>
    <s v="Injection"/>
    <s v="250 mg"/>
    <s v="100 ml"/>
    <n v="1906"/>
    <n v="37464"/>
    <d v="2023-08-04T00:00:00"/>
    <x v="2"/>
    <x v="687"/>
    <x v="2"/>
    <x v="1"/>
    <x v="1"/>
    <s v="Medium"/>
    <n v="0.95"/>
    <n v="35590.799999999996"/>
    <n v="1.0526315789473686"/>
    <x v="1"/>
  </r>
  <r>
    <x v="2"/>
    <s v="Company X"/>
    <s v="Tablet"/>
    <s v="100 mg/ml"/>
    <n v="30"/>
    <n v="1155"/>
    <n v="27188"/>
    <d v="2023-09-19T00:00:00"/>
    <x v="1"/>
    <x v="688"/>
    <x v="3"/>
    <x v="9"/>
    <x v="1"/>
    <s v="Medium"/>
    <n v="0.9"/>
    <n v="24469.200000000001"/>
    <n v="1.1111111111111112"/>
    <x v="1"/>
  </r>
  <r>
    <x v="0"/>
    <s v="Company X"/>
    <s v="Capsule"/>
    <s v="50 mg"/>
    <s v="100 ml"/>
    <n v="752"/>
    <n v="2969"/>
    <d v="2024-05-01T00:00:00"/>
    <x v="4"/>
    <x v="689"/>
    <x v="3"/>
    <x v="6"/>
    <x v="2"/>
    <s v="Low"/>
    <n v="1.2"/>
    <n v="3562.7999999999997"/>
    <n v="0.83333333333333337"/>
    <x v="0"/>
  </r>
  <r>
    <x v="3"/>
    <s v="Company W"/>
    <s v="Injection"/>
    <s v="10 mg"/>
    <n v="30"/>
    <n v="1723"/>
    <n v="43091"/>
    <d v="2023-08-17T00:00:00"/>
    <x v="1"/>
    <x v="690"/>
    <x v="1"/>
    <x v="1"/>
    <x v="1"/>
    <s v="High"/>
    <n v="0.9"/>
    <n v="38781.9"/>
    <n v="1.1111111111111112"/>
    <x v="1"/>
  </r>
  <r>
    <x v="2"/>
    <s v="Company Z"/>
    <s v="Capsule"/>
    <s v="100 mg/ml"/>
    <n v="60"/>
    <n v="1337"/>
    <n v="22675"/>
    <d v="2023-08-05T00:00:00"/>
    <x v="1"/>
    <x v="691"/>
    <x v="0"/>
    <x v="1"/>
    <x v="1"/>
    <s v="Medium"/>
    <n v="0.9"/>
    <n v="20407.5"/>
    <n v="1.1111111111111112"/>
    <x v="1"/>
  </r>
  <r>
    <x v="4"/>
    <s v="Company Y"/>
    <s v="Capsule"/>
    <s v="50 mg"/>
    <n v="60"/>
    <n v="1430"/>
    <n v="41328"/>
    <d v="2023-08-06T00:00:00"/>
    <x v="0"/>
    <x v="692"/>
    <x v="4"/>
    <x v="1"/>
    <x v="1"/>
    <s v="High"/>
    <n v="1.1000000000000001"/>
    <n v="45460.800000000003"/>
    <n v="0.90909090909090906"/>
    <x v="0"/>
  </r>
  <r>
    <x v="3"/>
    <s v="Company Y"/>
    <s v="Capsule"/>
    <s v="50 mg"/>
    <s v="100 ml"/>
    <n v="1184"/>
    <n v="27895"/>
    <d v="2024-04-29T00:00:00"/>
    <x v="0"/>
    <x v="693"/>
    <x v="0"/>
    <x v="11"/>
    <x v="2"/>
    <s v="Medium"/>
    <n v="1.1000000000000001"/>
    <n v="30684.500000000004"/>
    <n v="0.90909090909090895"/>
    <x v="0"/>
  </r>
  <r>
    <x v="1"/>
    <s v="Company Y"/>
    <s v="Syrup"/>
    <s v="10 mg"/>
    <n v="30"/>
    <n v="506"/>
    <n v="17762"/>
    <d v="2024-06-20T00:00:00"/>
    <x v="2"/>
    <x v="694"/>
    <x v="2"/>
    <x v="2"/>
    <x v="2"/>
    <s v="Low"/>
    <n v="0.95"/>
    <n v="16873.899999999998"/>
    <n v="1.0526315789473686"/>
    <x v="1"/>
  </r>
  <r>
    <x v="4"/>
    <s v="Company Z"/>
    <s v="Capsule"/>
    <s v="500 mg"/>
    <s v="10 ml"/>
    <n v="1085"/>
    <n v="1367"/>
    <d v="2024-03-05T00:00:00"/>
    <x v="1"/>
    <x v="695"/>
    <x v="2"/>
    <x v="8"/>
    <x v="0"/>
    <s v="Low"/>
    <n v="0.9"/>
    <n v="1230.3"/>
    <n v="1.1111111111111112"/>
    <x v="1"/>
  </r>
  <r>
    <x v="2"/>
    <s v="Company V"/>
    <s v="Injection"/>
    <s v="50 mg"/>
    <s v="10 ml"/>
    <n v="1151"/>
    <n v="23237"/>
    <d v="2024-03-28T00:00:00"/>
    <x v="3"/>
    <x v="696"/>
    <x v="1"/>
    <x v="8"/>
    <x v="0"/>
    <s v="Medium"/>
    <n v="1.1000000000000001"/>
    <n v="25560.7"/>
    <n v="0.90909090909090906"/>
    <x v="0"/>
  </r>
  <r>
    <x v="2"/>
    <s v="Company Z"/>
    <s v="Capsule"/>
    <s v="250 mg"/>
    <s v="100 ml"/>
    <n v="157"/>
    <n v="17373"/>
    <d v="2024-04-06T00:00:00"/>
    <x v="4"/>
    <x v="697"/>
    <x v="0"/>
    <x v="11"/>
    <x v="2"/>
    <s v="Low"/>
    <n v="1.2"/>
    <n v="20847.599999999999"/>
    <n v="0.83333333333333337"/>
    <x v="0"/>
  </r>
  <r>
    <x v="4"/>
    <s v="Company W"/>
    <s v="Injection"/>
    <s v="500 mg"/>
    <s v="10 ml"/>
    <n v="1665"/>
    <n v="49986"/>
    <d v="2023-08-29T00:00:00"/>
    <x v="4"/>
    <x v="698"/>
    <x v="3"/>
    <x v="1"/>
    <x v="1"/>
    <s v="High"/>
    <n v="1.2"/>
    <n v="59983.199999999997"/>
    <n v="0.83333333333333337"/>
    <x v="0"/>
  </r>
  <r>
    <x v="4"/>
    <s v="Company Y"/>
    <s v="Cream"/>
    <s v="50 mg"/>
    <n v="30"/>
    <n v="206"/>
    <n v="35133"/>
    <d v="2024-03-15T00:00:00"/>
    <x v="1"/>
    <x v="699"/>
    <x v="1"/>
    <x v="8"/>
    <x v="0"/>
    <s v="Medium"/>
    <n v="0.9"/>
    <n v="31619.7"/>
    <n v="1.1111111111111112"/>
    <x v="1"/>
  </r>
  <r>
    <x v="2"/>
    <s v="Company V"/>
    <s v="Tablet"/>
    <s v="100 mg/ml"/>
    <n v="30"/>
    <n v="1348"/>
    <n v="37823"/>
    <d v="2024-06-24T00:00:00"/>
    <x v="1"/>
    <x v="700"/>
    <x v="4"/>
    <x v="2"/>
    <x v="2"/>
    <s v="Medium"/>
    <n v="0.9"/>
    <n v="34040.700000000004"/>
    <n v="1.1111111111111109"/>
    <x v="1"/>
  </r>
  <r>
    <x v="4"/>
    <s v="Company V"/>
    <s v="Tablet"/>
    <s v="500 mg"/>
    <n v="60"/>
    <n v="1397"/>
    <n v="45903"/>
    <d v="2023-10-26T00:00:00"/>
    <x v="2"/>
    <x v="701"/>
    <x v="0"/>
    <x v="10"/>
    <x v="3"/>
    <s v="High"/>
    <n v="0.95"/>
    <n v="43607.85"/>
    <n v="1.0526315789473684"/>
    <x v="1"/>
  </r>
  <r>
    <x v="0"/>
    <s v="Company V"/>
    <s v="Tablet"/>
    <s v="50 mg"/>
    <s v="100 ml"/>
    <n v="1514"/>
    <n v="24056"/>
    <d v="2024-04-16T00:00:00"/>
    <x v="3"/>
    <x v="702"/>
    <x v="0"/>
    <x v="11"/>
    <x v="2"/>
    <s v="Medium"/>
    <n v="1.1000000000000001"/>
    <n v="26461.600000000002"/>
    <n v="0.90909090909090906"/>
    <x v="0"/>
  </r>
  <r>
    <x v="0"/>
    <s v="Company V"/>
    <s v="Tablet"/>
    <s v="50 mg"/>
    <n v="30"/>
    <n v="160"/>
    <n v="14104"/>
    <d v="2023-10-30T00:00:00"/>
    <x v="4"/>
    <x v="703"/>
    <x v="0"/>
    <x v="10"/>
    <x v="3"/>
    <s v="Low"/>
    <n v="1.2"/>
    <n v="16924.8"/>
    <n v="0.83333333333333337"/>
    <x v="0"/>
  </r>
  <r>
    <x v="2"/>
    <s v="Company V"/>
    <s v="Injection"/>
    <s v="500 mg"/>
    <n v="60"/>
    <n v="1386"/>
    <n v="21572"/>
    <d v="2024-02-04T00:00:00"/>
    <x v="2"/>
    <x v="704"/>
    <x v="1"/>
    <x v="0"/>
    <x v="0"/>
    <s v="Medium"/>
    <n v="0.95"/>
    <n v="20493.399999999998"/>
    <n v="1.0526315789473686"/>
    <x v="1"/>
  </r>
  <r>
    <x v="2"/>
    <s v="Company Y"/>
    <s v="Cream"/>
    <s v="500 mg"/>
    <n v="60"/>
    <n v="348"/>
    <n v="3487"/>
    <d v="2024-03-05T00:00:00"/>
    <x v="1"/>
    <x v="705"/>
    <x v="2"/>
    <x v="8"/>
    <x v="0"/>
    <s v="Low"/>
    <n v="0.9"/>
    <n v="3138.3"/>
    <n v="1.1111111111111109"/>
    <x v="1"/>
  </r>
  <r>
    <x v="4"/>
    <s v="Company W"/>
    <s v="Capsule"/>
    <s v="10 mg"/>
    <s v="50 g"/>
    <n v="1100"/>
    <n v="3858"/>
    <d v="2024-04-17T00:00:00"/>
    <x v="2"/>
    <x v="706"/>
    <x v="1"/>
    <x v="11"/>
    <x v="2"/>
    <s v="Low"/>
    <n v="0.95"/>
    <n v="3665.1"/>
    <n v="1.0526315789473684"/>
    <x v="1"/>
  </r>
  <r>
    <x v="2"/>
    <s v="Company Y"/>
    <s v="Capsule"/>
    <s v="100 mg/ml"/>
    <n v="60"/>
    <n v="514"/>
    <n v="39240"/>
    <d v="2023-11-11T00:00:00"/>
    <x v="1"/>
    <x v="707"/>
    <x v="4"/>
    <x v="5"/>
    <x v="3"/>
    <s v="Medium"/>
    <n v="0.9"/>
    <n v="35316"/>
    <n v="1.1111111111111112"/>
    <x v="1"/>
  </r>
  <r>
    <x v="0"/>
    <s v="Company W"/>
    <s v="Syrup"/>
    <s v="100 mg/ml"/>
    <s v="100 ml"/>
    <n v="1752"/>
    <n v="38068"/>
    <d v="2023-12-29T00:00:00"/>
    <x v="4"/>
    <x v="708"/>
    <x v="3"/>
    <x v="4"/>
    <x v="3"/>
    <s v="Medium"/>
    <n v="1.2"/>
    <n v="45681.599999999999"/>
    <n v="0.83333333333333337"/>
    <x v="0"/>
  </r>
  <r>
    <x v="3"/>
    <s v="Company W"/>
    <s v="Cream"/>
    <s v="100 mg/ml"/>
    <s v="10 ml"/>
    <n v="358"/>
    <n v="13438"/>
    <d v="2024-03-13T00:00:00"/>
    <x v="3"/>
    <x v="709"/>
    <x v="4"/>
    <x v="8"/>
    <x v="0"/>
    <s v="Low"/>
    <n v="1.1000000000000001"/>
    <n v="14781.800000000001"/>
    <n v="0.90909090909090906"/>
    <x v="0"/>
  </r>
  <r>
    <x v="3"/>
    <s v="Company Y"/>
    <s v="Capsule"/>
    <s v="500 mg"/>
    <s v="10 ml"/>
    <n v="506"/>
    <n v="28350"/>
    <d v="2024-04-10T00:00:00"/>
    <x v="2"/>
    <x v="710"/>
    <x v="4"/>
    <x v="11"/>
    <x v="2"/>
    <s v="Medium"/>
    <n v="0.95"/>
    <n v="26932.5"/>
    <n v="1.0526315789473684"/>
    <x v="1"/>
  </r>
  <r>
    <x v="1"/>
    <s v="Company Y"/>
    <s v="Tablet"/>
    <s v="100 mg/ml"/>
    <s v="100 ml"/>
    <n v="1938"/>
    <n v="28072"/>
    <d v="2024-07-12T00:00:00"/>
    <x v="2"/>
    <x v="711"/>
    <x v="3"/>
    <x v="3"/>
    <x v="1"/>
    <s v="Medium"/>
    <n v="0.95"/>
    <n v="26668.399999999998"/>
    <n v="1.0526315789473686"/>
    <x v="1"/>
  </r>
  <r>
    <x v="0"/>
    <s v="Company V"/>
    <s v="Capsule"/>
    <s v="500 mg"/>
    <s v="10 ml"/>
    <n v="794"/>
    <n v="29529"/>
    <d v="2023-11-26T00:00:00"/>
    <x v="4"/>
    <x v="712"/>
    <x v="0"/>
    <x v="5"/>
    <x v="3"/>
    <s v="Medium"/>
    <n v="1.2"/>
    <n v="35434.799999999996"/>
    <n v="0.83333333333333348"/>
    <x v="0"/>
  </r>
  <r>
    <x v="3"/>
    <s v="Company X"/>
    <s v="Injection"/>
    <s v="500 mg"/>
    <s v="10 ml"/>
    <n v="483"/>
    <n v="26712"/>
    <d v="2023-12-22T00:00:00"/>
    <x v="4"/>
    <x v="713"/>
    <x v="2"/>
    <x v="4"/>
    <x v="3"/>
    <s v="Medium"/>
    <n v="1.2"/>
    <n v="32054.399999999998"/>
    <n v="0.83333333333333337"/>
    <x v="0"/>
  </r>
  <r>
    <x v="4"/>
    <s v="Company V"/>
    <s v="Cream"/>
    <s v="100 mg/ml"/>
    <s v="50 g"/>
    <n v="1884"/>
    <n v="23635"/>
    <d v="2024-05-11T00:00:00"/>
    <x v="2"/>
    <x v="714"/>
    <x v="4"/>
    <x v="6"/>
    <x v="2"/>
    <s v="Medium"/>
    <n v="0.95"/>
    <n v="22453.25"/>
    <n v="1.0526315789473684"/>
    <x v="1"/>
  </r>
  <r>
    <x v="4"/>
    <s v="Company Y"/>
    <s v="Cream"/>
    <s v="50 mg"/>
    <s v="10 ml"/>
    <n v="735"/>
    <n v="40658"/>
    <d v="2023-10-12T00:00:00"/>
    <x v="1"/>
    <x v="715"/>
    <x v="3"/>
    <x v="10"/>
    <x v="3"/>
    <s v="High"/>
    <n v="0.9"/>
    <n v="36592.200000000004"/>
    <n v="1.1111111111111109"/>
    <x v="1"/>
  </r>
  <r>
    <x v="0"/>
    <s v="Company V"/>
    <s v="Syrup"/>
    <s v="100 mg/ml"/>
    <s v="50 g"/>
    <n v="274"/>
    <n v="30681"/>
    <d v="2024-05-19T00:00:00"/>
    <x v="2"/>
    <x v="716"/>
    <x v="4"/>
    <x v="6"/>
    <x v="2"/>
    <s v="Medium"/>
    <n v="0.95"/>
    <n v="29146.949999999997"/>
    <n v="1.0526315789473686"/>
    <x v="1"/>
  </r>
  <r>
    <x v="2"/>
    <s v="Company V"/>
    <s v="Tablet"/>
    <s v="500 mg"/>
    <s v="50 g"/>
    <n v="1805"/>
    <n v="40381"/>
    <d v="2024-04-10T00:00:00"/>
    <x v="4"/>
    <x v="717"/>
    <x v="1"/>
    <x v="11"/>
    <x v="2"/>
    <s v="High"/>
    <n v="1.2"/>
    <n v="48457.2"/>
    <n v="0.83333333333333337"/>
    <x v="0"/>
  </r>
  <r>
    <x v="0"/>
    <s v="Company Y"/>
    <s v="Capsule"/>
    <s v="10 mg"/>
    <s v="50 g"/>
    <n v="873"/>
    <n v="28594"/>
    <d v="2024-02-10T00:00:00"/>
    <x v="3"/>
    <x v="718"/>
    <x v="0"/>
    <x v="0"/>
    <x v="0"/>
    <s v="Medium"/>
    <n v="1.1000000000000001"/>
    <n v="31453.4"/>
    <n v="0.90909090909090906"/>
    <x v="0"/>
  </r>
  <r>
    <x v="3"/>
    <s v="Company W"/>
    <s v="Syrup"/>
    <s v="500 mg"/>
    <s v="100 ml"/>
    <n v="132"/>
    <n v="44778"/>
    <d v="2024-04-18T00:00:00"/>
    <x v="2"/>
    <x v="719"/>
    <x v="1"/>
    <x v="11"/>
    <x v="2"/>
    <s v="High"/>
    <n v="0.95"/>
    <n v="42539.1"/>
    <n v="1.0526315789473684"/>
    <x v="1"/>
  </r>
  <r>
    <x v="3"/>
    <s v="Company W"/>
    <s v="Tablet"/>
    <s v="250 mg"/>
    <s v="50 g"/>
    <n v="1420"/>
    <n v="14853"/>
    <d v="2024-01-23T00:00:00"/>
    <x v="3"/>
    <x v="720"/>
    <x v="4"/>
    <x v="7"/>
    <x v="0"/>
    <s v="Low"/>
    <n v="1.1000000000000001"/>
    <n v="16338.300000000001"/>
    <n v="0.90909090909090906"/>
    <x v="0"/>
  </r>
  <r>
    <x v="3"/>
    <s v="Company W"/>
    <s v="Injection"/>
    <s v="100 mg/ml"/>
    <s v="50 g"/>
    <n v="1683"/>
    <n v="29645"/>
    <d v="2023-10-03T00:00:00"/>
    <x v="3"/>
    <x v="721"/>
    <x v="3"/>
    <x v="10"/>
    <x v="3"/>
    <s v="Medium"/>
    <n v="1.1000000000000001"/>
    <n v="32609.500000000004"/>
    <n v="0.90909090909090895"/>
    <x v="0"/>
  </r>
  <r>
    <x v="1"/>
    <s v="Company Y"/>
    <s v="Injection"/>
    <s v="250 mg"/>
    <n v="60"/>
    <n v="1143"/>
    <n v="43589"/>
    <d v="2024-04-25T00:00:00"/>
    <x v="2"/>
    <x v="722"/>
    <x v="4"/>
    <x v="11"/>
    <x v="2"/>
    <s v="High"/>
    <n v="0.95"/>
    <n v="41409.549999999996"/>
    <n v="1.0526315789473686"/>
    <x v="1"/>
  </r>
  <r>
    <x v="0"/>
    <s v="Company Z"/>
    <s v="Cream"/>
    <s v="500 mg"/>
    <n v="30"/>
    <n v="223"/>
    <n v="2979"/>
    <d v="2024-05-04T00:00:00"/>
    <x v="3"/>
    <x v="723"/>
    <x v="0"/>
    <x v="6"/>
    <x v="2"/>
    <s v="Low"/>
    <n v="1.1000000000000001"/>
    <n v="3276.9"/>
    <n v="0.90909090909090906"/>
    <x v="0"/>
  </r>
  <r>
    <x v="2"/>
    <s v="Company X"/>
    <s v="Syrup"/>
    <s v="10 mg"/>
    <n v="60"/>
    <n v="1324"/>
    <n v="4688"/>
    <d v="2023-10-06T00:00:00"/>
    <x v="2"/>
    <x v="724"/>
    <x v="0"/>
    <x v="10"/>
    <x v="3"/>
    <s v="Low"/>
    <n v="0.95"/>
    <n v="4453.5999999999995"/>
    <n v="1.0526315789473686"/>
    <x v="1"/>
  </r>
  <r>
    <x v="1"/>
    <s v="Company V"/>
    <s v="Injection"/>
    <s v="250 mg"/>
    <s v="100 ml"/>
    <n v="194"/>
    <n v="24534"/>
    <d v="2024-04-03T00:00:00"/>
    <x v="3"/>
    <x v="725"/>
    <x v="3"/>
    <x v="11"/>
    <x v="2"/>
    <s v="Medium"/>
    <n v="1.1000000000000001"/>
    <n v="26987.4"/>
    <n v="0.90909090909090906"/>
    <x v="0"/>
  </r>
  <r>
    <x v="2"/>
    <s v="Company Y"/>
    <s v="Tablet"/>
    <s v="10 mg"/>
    <n v="60"/>
    <n v="661"/>
    <n v="23684"/>
    <d v="2024-01-20T00:00:00"/>
    <x v="1"/>
    <x v="726"/>
    <x v="3"/>
    <x v="7"/>
    <x v="0"/>
    <s v="Medium"/>
    <n v="0.9"/>
    <n v="21315.600000000002"/>
    <n v="1.1111111111111109"/>
    <x v="1"/>
  </r>
  <r>
    <x v="0"/>
    <s v="Company Y"/>
    <s v="Tablet"/>
    <s v="10 mg"/>
    <s v="50 g"/>
    <n v="751"/>
    <n v="19968"/>
    <d v="2024-03-16T00:00:00"/>
    <x v="0"/>
    <x v="727"/>
    <x v="2"/>
    <x v="8"/>
    <x v="0"/>
    <s v="Low"/>
    <n v="1.1000000000000001"/>
    <n v="21964.800000000003"/>
    <n v="0.90909090909090895"/>
    <x v="0"/>
  </r>
  <r>
    <x v="0"/>
    <s v="Company V"/>
    <s v="Cream"/>
    <s v="250 mg"/>
    <s v="100 ml"/>
    <n v="1257"/>
    <n v="23292"/>
    <d v="2024-07-26T00:00:00"/>
    <x v="4"/>
    <x v="728"/>
    <x v="2"/>
    <x v="3"/>
    <x v="1"/>
    <s v="Medium"/>
    <n v="1.2"/>
    <n v="27950.399999999998"/>
    <n v="0.83333333333333337"/>
    <x v="0"/>
  </r>
  <r>
    <x v="4"/>
    <s v="Company V"/>
    <s v="Injection"/>
    <s v="500 mg"/>
    <n v="60"/>
    <n v="302"/>
    <n v="13102"/>
    <d v="2024-01-10T00:00:00"/>
    <x v="1"/>
    <x v="729"/>
    <x v="3"/>
    <x v="7"/>
    <x v="0"/>
    <s v="Low"/>
    <n v="0.9"/>
    <n v="11791.800000000001"/>
    <n v="1.1111111111111109"/>
    <x v="1"/>
  </r>
  <r>
    <x v="4"/>
    <s v="Company Y"/>
    <s v="Capsule"/>
    <s v="500 mg"/>
    <s v="100 ml"/>
    <n v="952"/>
    <n v="24617"/>
    <d v="2024-06-05T00:00:00"/>
    <x v="4"/>
    <x v="730"/>
    <x v="2"/>
    <x v="2"/>
    <x v="2"/>
    <s v="Medium"/>
    <n v="1.2"/>
    <n v="29540.399999999998"/>
    <n v="0.83333333333333337"/>
    <x v="0"/>
  </r>
  <r>
    <x v="3"/>
    <s v="Company X"/>
    <s v="Capsule"/>
    <s v="10 mg"/>
    <s v="100 ml"/>
    <n v="507"/>
    <n v="10837"/>
    <d v="2023-12-09T00:00:00"/>
    <x v="2"/>
    <x v="731"/>
    <x v="3"/>
    <x v="4"/>
    <x v="3"/>
    <s v="Low"/>
    <n v="0.95"/>
    <n v="10295.15"/>
    <n v="1.0526315789473684"/>
    <x v="1"/>
  </r>
  <r>
    <x v="0"/>
    <s v="Company V"/>
    <s v="Cream"/>
    <s v="10 mg"/>
    <s v="50 g"/>
    <n v="1325"/>
    <n v="29008"/>
    <d v="2023-09-18T00:00:00"/>
    <x v="0"/>
    <x v="732"/>
    <x v="0"/>
    <x v="9"/>
    <x v="1"/>
    <s v="Medium"/>
    <n v="1.1000000000000001"/>
    <n v="31908.800000000003"/>
    <n v="0.90909090909090906"/>
    <x v="0"/>
  </r>
  <r>
    <x v="0"/>
    <s v="Company V"/>
    <s v="Tablet"/>
    <s v="10 mg"/>
    <s v="50 g"/>
    <n v="970"/>
    <n v="30738"/>
    <d v="2024-05-27T00:00:00"/>
    <x v="1"/>
    <x v="733"/>
    <x v="2"/>
    <x v="6"/>
    <x v="2"/>
    <s v="Medium"/>
    <n v="0.9"/>
    <n v="27664.2"/>
    <n v="1.1111111111111112"/>
    <x v="1"/>
  </r>
  <r>
    <x v="1"/>
    <s v="Company W"/>
    <s v="Capsule"/>
    <s v="500 mg"/>
    <s v="50 g"/>
    <n v="1034"/>
    <n v="9255"/>
    <d v="2024-03-17T00:00:00"/>
    <x v="2"/>
    <x v="734"/>
    <x v="4"/>
    <x v="8"/>
    <x v="0"/>
    <s v="Low"/>
    <n v="0.95"/>
    <n v="8792.25"/>
    <n v="1.0526315789473684"/>
    <x v="1"/>
  </r>
  <r>
    <x v="1"/>
    <s v="Company Z"/>
    <s v="Capsule"/>
    <s v="100 mg/ml"/>
    <s v="100 ml"/>
    <n v="1127"/>
    <n v="3828"/>
    <d v="2024-06-24T00:00:00"/>
    <x v="0"/>
    <x v="735"/>
    <x v="1"/>
    <x v="2"/>
    <x v="2"/>
    <s v="Low"/>
    <n v="1.1000000000000001"/>
    <n v="4210.8"/>
    <n v="0.90909090909090906"/>
    <x v="0"/>
  </r>
  <r>
    <x v="1"/>
    <s v="Company Z"/>
    <s v="Syrup"/>
    <s v="250 mg"/>
    <n v="30"/>
    <n v="347"/>
    <n v="46219"/>
    <d v="2024-05-09T00:00:00"/>
    <x v="1"/>
    <x v="736"/>
    <x v="2"/>
    <x v="6"/>
    <x v="2"/>
    <s v="High"/>
    <n v="0.9"/>
    <n v="41597.1"/>
    <n v="1.1111111111111112"/>
    <x v="1"/>
  </r>
  <r>
    <x v="2"/>
    <s v="Company Y"/>
    <s v="Syrup"/>
    <s v="10 mg"/>
    <s v="50 g"/>
    <n v="1032"/>
    <n v="37678"/>
    <d v="2024-01-20T00:00:00"/>
    <x v="4"/>
    <x v="737"/>
    <x v="0"/>
    <x v="7"/>
    <x v="0"/>
    <s v="Medium"/>
    <n v="1.2"/>
    <n v="45213.599999999999"/>
    <n v="0.83333333333333337"/>
    <x v="0"/>
  </r>
  <r>
    <x v="0"/>
    <s v="Company Z"/>
    <s v="Tablet"/>
    <s v="50 mg"/>
    <n v="30"/>
    <n v="1105"/>
    <n v="35389"/>
    <d v="2023-11-23T00:00:00"/>
    <x v="2"/>
    <x v="738"/>
    <x v="2"/>
    <x v="5"/>
    <x v="3"/>
    <s v="Medium"/>
    <n v="0.95"/>
    <n v="33619.549999999996"/>
    <n v="1.0526315789473686"/>
    <x v="1"/>
  </r>
  <r>
    <x v="0"/>
    <s v="Company V"/>
    <s v="Syrup"/>
    <s v="250 mg"/>
    <s v="100 ml"/>
    <n v="107"/>
    <n v="11533"/>
    <d v="2024-01-26T00:00:00"/>
    <x v="0"/>
    <x v="739"/>
    <x v="3"/>
    <x v="7"/>
    <x v="0"/>
    <s v="Low"/>
    <n v="1.1000000000000001"/>
    <n v="12686.300000000001"/>
    <n v="0.90909090909090906"/>
    <x v="0"/>
  </r>
  <r>
    <x v="1"/>
    <s v="Company Z"/>
    <s v="Cream"/>
    <s v="100 mg/ml"/>
    <n v="60"/>
    <n v="585"/>
    <n v="37206"/>
    <d v="2024-02-18T00:00:00"/>
    <x v="4"/>
    <x v="740"/>
    <x v="3"/>
    <x v="0"/>
    <x v="0"/>
    <s v="Medium"/>
    <n v="1.2"/>
    <n v="44647.199999999997"/>
    <n v="0.83333333333333337"/>
    <x v="0"/>
  </r>
  <r>
    <x v="1"/>
    <s v="Company X"/>
    <s v="Tablet"/>
    <s v="500 mg"/>
    <n v="30"/>
    <n v="1915"/>
    <n v="6442"/>
    <d v="2024-05-16T00:00:00"/>
    <x v="0"/>
    <x v="741"/>
    <x v="3"/>
    <x v="6"/>
    <x v="2"/>
    <s v="Low"/>
    <n v="1.1000000000000001"/>
    <n v="7086.2000000000007"/>
    <n v="0.90909090909090895"/>
    <x v="0"/>
  </r>
  <r>
    <x v="0"/>
    <s v="Company W"/>
    <s v="Cream"/>
    <s v="250 mg"/>
    <s v="100 ml"/>
    <n v="1228"/>
    <n v="47317"/>
    <d v="2024-05-12T00:00:00"/>
    <x v="3"/>
    <x v="742"/>
    <x v="2"/>
    <x v="6"/>
    <x v="2"/>
    <s v="High"/>
    <n v="1.1000000000000001"/>
    <n v="52048.700000000004"/>
    <n v="0.90909090909090906"/>
    <x v="0"/>
  </r>
  <r>
    <x v="4"/>
    <s v="Company X"/>
    <s v="Injection"/>
    <s v="10 mg"/>
    <n v="60"/>
    <n v="728"/>
    <n v="17927"/>
    <d v="2024-07-08T00:00:00"/>
    <x v="4"/>
    <x v="743"/>
    <x v="3"/>
    <x v="3"/>
    <x v="1"/>
    <s v="Low"/>
    <n v="1.2"/>
    <n v="21512.399999999998"/>
    <n v="0.83333333333333337"/>
    <x v="0"/>
  </r>
  <r>
    <x v="2"/>
    <s v="Company X"/>
    <s v="Injection"/>
    <s v="50 mg"/>
    <s v="100 ml"/>
    <n v="938"/>
    <n v="49452"/>
    <d v="2023-12-20T00:00:00"/>
    <x v="3"/>
    <x v="744"/>
    <x v="1"/>
    <x v="4"/>
    <x v="3"/>
    <s v="High"/>
    <n v="1.1000000000000001"/>
    <n v="54397.200000000004"/>
    <n v="0.90909090909090906"/>
    <x v="0"/>
  </r>
  <r>
    <x v="0"/>
    <s v="Company W"/>
    <s v="Injection"/>
    <s v="100 mg/ml"/>
    <s v="50 g"/>
    <n v="1140"/>
    <n v="37493"/>
    <d v="2023-09-01T00:00:00"/>
    <x v="4"/>
    <x v="745"/>
    <x v="1"/>
    <x v="9"/>
    <x v="1"/>
    <s v="Medium"/>
    <n v="1.2"/>
    <n v="44991.6"/>
    <n v="0.83333333333333337"/>
    <x v="0"/>
  </r>
  <r>
    <x v="4"/>
    <s v="Company V"/>
    <s v="Cream"/>
    <s v="250 mg"/>
    <s v="10 ml"/>
    <n v="493"/>
    <n v="37610"/>
    <d v="2023-09-21T00:00:00"/>
    <x v="3"/>
    <x v="746"/>
    <x v="1"/>
    <x v="9"/>
    <x v="1"/>
    <s v="Medium"/>
    <n v="1.1000000000000001"/>
    <n v="41371"/>
    <n v="0.90909090909090906"/>
    <x v="0"/>
  </r>
  <r>
    <x v="4"/>
    <s v="Company Y"/>
    <s v="Syrup"/>
    <s v="250 mg"/>
    <s v="10 ml"/>
    <n v="1358"/>
    <n v="3735"/>
    <d v="2024-07-09T00:00:00"/>
    <x v="3"/>
    <x v="747"/>
    <x v="0"/>
    <x v="3"/>
    <x v="1"/>
    <s v="Low"/>
    <n v="1.1000000000000001"/>
    <n v="4108.5"/>
    <n v="0.90909090909090906"/>
    <x v="0"/>
  </r>
  <r>
    <x v="3"/>
    <s v="Company Z"/>
    <s v="Cream"/>
    <s v="500 mg"/>
    <s v="50 g"/>
    <n v="269"/>
    <n v="43198"/>
    <d v="2023-10-10T00:00:00"/>
    <x v="2"/>
    <x v="748"/>
    <x v="2"/>
    <x v="10"/>
    <x v="3"/>
    <s v="High"/>
    <n v="0.95"/>
    <n v="41038.1"/>
    <n v="1.0526315789473684"/>
    <x v="1"/>
  </r>
  <r>
    <x v="0"/>
    <s v="Company X"/>
    <s v="Cream"/>
    <s v="250 mg"/>
    <n v="30"/>
    <n v="201"/>
    <n v="24265"/>
    <d v="2023-10-17T00:00:00"/>
    <x v="2"/>
    <x v="749"/>
    <x v="3"/>
    <x v="10"/>
    <x v="3"/>
    <s v="Medium"/>
    <n v="0.95"/>
    <n v="23051.75"/>
    <n v="1.0526315789473684"/>
    <x v="1"/>
  </r>
  <r>
    <x v="1"/>
    <s v="Company Y"/>
    <s v="Cream"/>
    <s v="50 mg"/>
    <n v="30"/>
    <n v="1918"/>
    <n v="16223"/>
    <d v="2024-02-28T00:00:00"/>
    <x v="2"/>
    <x v="750"/>
    <x v="1"/>
    <x v="0"/>
    <x v="0"/>
    <s v="Low"/>
    <n v="0.95"/>
    <n v="15411.849999999999"/>
    <n v="1.0526315789473686"/>
    <x v="1"/>
  </r>
  <r>
    <x v="4"/>
    <s v="Company W"/>
    <s v="Injection"/>
    <s v="100 mg/ml"/>
    <n v="60"/>
    <n v="1337"/>
    <n v="12997"/>
    <d v="2024-06-26T00:00:00"/>
    <x v="3"/>
    <x v="751"/>
    <x v="4"/>
    <x v="2"/>
    <x v="2"/>
    <s v="Low"/>
    <n v="1.1000000000000001"/>
    <n v="14296.7"/>
    <n v="0.90909090909090906"/>
    <x v="0"/>
  </r>
  <r>
    <x v="4"/>
    <s v="Company X"/>
    <s v="Syrup"/>
    <s v="100 mg/ml"/>
    <s v="100 ml"/>
    <n v="483"/>
    <n v="25162"/>
    <d v="2023-07-31T00:00:00"/>
    <x v="1"/>
    <x v="752"/>
    <x v="4"/>
    <x v="3"/>
    <x v="1"/>
    <s v="Medium"/>
    <n v="0.9"/>
    <n v="22645.8"/>
    <n v="1.1111111111111112"/>
    <x v="1"/>
  </r>
  <r>
    <x v="3"/>
    <s v="Company Y"/>
    <s v="Injection"/>
    <s v="500 mg"/>
    <s v="50 g"/>
    <n v="105"/>
    <n v="31985"/>
    <d v="2024-07-17T00:00:00"/>
    <x v="0"/>
    <x v="753"/>
    <x v="4"/>
    <x v="3"/>
    <x v="1"/>
    <s v="Medium"/>
    <n v="1.1000000000000001"/>
    <n v="35183.5"/>
    <n v="0.90909090909090906"/>
    <x v="0"/>
  </r>
  <r>
    <x v="1"/>
    <s v="Company V"/>
    <s v="Cream"/>
    <s v="50 mg"/>
    <n v="60"/>
    <n v="1760"/>
    <n v="24924"/>
    <d v="2023-11-27T00:00:00"/>
    <x v="3"/>
    <x v="754"/>
    <x v="3"/>
    <x v="5"/>
    <x v="3"/>
    <s v="Medium"/>
    <n v="1.1000000000000001"/>
    <n v="27416.400000000001"/>
    <n v="0.90909090909090906"/>
    <x v="0"/>
  </r>
  <r>
    <x v="3"/>
    <s v="Company X"/>
    <s v="Cream"/>
    <s v="10 mg"/>
    <n v="60"/>
    <n v="835"/>
    <n v="35184"/>
    <d v="2024-07-16T00:00:00"/>
    <x v="4"/>
    <x v="755"/>
    <x v="4"/>
    <x v="3"/>
    <x v="1"/>
    <s v="Medium"/>
    <n v="1.2"/>
    <n v="42220.799999999996"/>
    <n v="0.83333333333333337"/>
    <x v="0"/>
  </r>
  <r>
    <x v="0"/>
    <s v="Company Y"/>
    <s v="Injection"/>
    <s v="50 mg"/>
    <s v="10 ml"/>
    <n v="122"/>
    <n v="7349"/>
    <d v="2024-01-19T00:00:00"/>
    <x v="3"/>
    <x v="756"/>
    <x v="2"/>
    <x v="7"/>
    <x v="0"/>
    <s v="Low"/>
    <n v="1.1000000000000001"/>
    <n v="8083.9000000000005"/>
    <n v="0.90909090909090906"/>
    <x v="0"/>
  </r>
  <r>
    <x v="2"/>
    <s v="Company Y"/>
    <s v="Syrup"/>
    <s v="250 mg"/>
    <n v="30"/>
    <n v="1415"/>
    <n v="41330"/>
    <d v="2024-05-05T00:00:00"/>
    <x v="3"/>
    <x v="757"/>
    <x v="2"/>
    <x v="6"/>
    <x v="2"/>
    <s v="High"/>
    <n v="1.1000000000000001"/>
    <n v="45463.000000000007"/>
    <n v="0.90909090909090895"/>
    <x v="0"/>
  </r>
  <r>
    <x v="1"/>
    <s v="Company W"/>
    <s v="Tablet"/>
    <s v="100 mg/ml"/>
    <s v="50 g"/>
    <n v="1993"/>
    <n v="5212"/>
    <d v="2024-03-04T00:00:00"/>
    <x v="1"/>
    <x v="758"/>
    <x v="0"/>
    <x v="8"/>
    <x v="0"/>
    <s v="Low"/>
    <n v="0.9"/>
    <n v="4690.8"/>
    <n v="1.1111111111111112"/>
    <x v="1"/>
  </r>
  <r>
    <x v="1"/>
    <s v="Company X"/>
    <s v="Tablet"/>
    <s v="500 mg"/>
    <s v="50 g"/>
    <n v="958"/>
    <n v="15537"/>
    <d v="2024-05-03T00:00:00"/>
    <x v="4"/>
    <x v="759"/>
    <x v="0"/>
    <x v="6"/>
    <x v="2"/>
    <s v="Low"/>
    <n v="1.2"/>
    <n v="18644.399999999998"/>
    <n v="0.83333333333333348"/>
    <x v="0"/>
  </r>
  <r>
    <x v="3"/>
    <s v="Company W"/>
    <s v="Injection"/>
    <s v="50 mg"/>
    <s v="10 ml"/>
    <n v="1616"/>
    <n v="15777"/>
    <d v="2023-08-10T00:00:00"/>
    <x v="4"/>
    <x v="760"/>
    <x v="0"/>
    <x v="1"/>
    <x v="1"/>
    <s v="Low"/>
    <n v="1.2"/>
    <n v="18932.399999999998"/>
    <n v="0.83333333333333348"/>
    <x v="0"/>
  </r>
  <r>
    <x v="1"/>
    <s v="Company W"/>
    <s v="Syrup"/>
    <s v="100 mg/ml"/>
    <s v="50 g"/>
    <n v="922"/>
    <n v="32819"/>
    <d v="2024-01-24T00:00:00"/>
    <x v="3"/>
    <x v="761"/>
    <x v="2"/>
    <x v="7"/>
    <x v="0"/>
    <s v="Medium"/>
    <n v="1.1000000000000001"/>
    <n v="36100.9"/>
    <n v="0.90909090909090906"/>
    <x v="0"/>
  </r>
  <r>
    <x v="0"/>
    <s v="Company W"/>
    <s v="Cream"/>
    <s v="10 mg"/>
    <n v="30"/>
    <n v="580"/>
    <n v="41566"/>
    <d v="2024-06-23T00:00:00"/>
    <x v="1"/>
    <x v="762"/>
    <x v="1"/>
    <x v="2"/>
    <x v="2"/>
    <s v="High"/>
    <n v="0.9"/>
    <n v="37409.4"/>
    <n v="1.1111111111111112"/>
    <x v="1"/>
  </r>
  <r>
    <x v="0"/>
    <s v="Company X"/>
    <s v="Tablet"/>
    <s v="250 mg"/>
    <s v="100 ml"/>
    <n v="561"/>
    <n v="42268"/>
    <d v="2024-05-12T00:00:00"/>
    <x v="2"/>
    <x v="763"/>
    <x v="4"/>
    <x v="6"/>
    <x v="2"/>
    <s v="High"/>
    <n v="0.95"/>
    <n v="40154.6"/>
    <n v="1.0526315789473684"/>
    <x v="1"/>
  </r>
  <r>
    <x v="2"/>
    <s v="Company W"/>
    <s v="Capsule"/>
    <s v="50 mg"/>
    <n v="30"/>
    <n v="1709"/>
    <n v="28361"/>
    <d v="2024-05-04T00:00:00"/>
    <x v="0"/>
    <x v="764"/>
    <x v="2"/>
    <x v="6"/>
    <x v="2"/>
    <s v="Medium"/>
    <n v="1.1000000000000001"/>
    <n v="31197.100000000002"/>
    <n v="0.90909090909090906"/>
    <x v="0"/>
  </r>
  <r>
    <x v="2"/>
    <s v="Company Y"/>
    <s v="Tablet"/>
    <s v="500 mg"/>
    <s v="50 g"/>
    <n v="1662"/>
    <n v="43524"/>
    <d v="2024-04-22T00:00:00"/>
    <x v="3"/>
    <x v="765"/>
    <x v="2"/>
    <x v="11"/>
    <x v="2"/>
    <s v="High"/>
    <n v="1.1000000000000001"/>
    <n v="47876.4"/>
    <n v="0.90909090909090906"/>
    <x v="0"/>
  </r>
  <r>
    <x v="4"/>
    <s v="Company X"/>
    <s v="Syrup"/>
    <s v="500 mg"/>
    <n v="30"/>
    <n v="643"/>
    <n v="42567"/>
    <d v="2023-11-07T00:00:00"/>
    <x v="0"/>
    <x v="766"/>
    <x v="1"/>
    <x v="5"/>
    <x v="3"/>
    <s v="High"/>
    <n v="1.1000000000000001"/>
    <n v="46823.700000000004"/>
    <n v="0.90909090909090906"/>
    <x v="0"/>
  </r>
  <r>
    <x v="3"/>
    <s v="Company X"/>
    <s v="Capsule"/>
    <s v="100 mg/ml"/>
    <s v="10 ml"/>
    <n v="1618"/>
    <n v="11577"/>
    <d v="2024-07-05T00:00:00"/>
    <x v="4"/>
    <x v="767"/>
    <x v="3"/>
    <x v="3"/>
    <x v="1"/>
    <s v="Low"/>
    <n v="1.2"/>
    <n v="13892.4"/>
    <n v="0.83333333333333337"/>
    <x v="0"/>
  </r>
  <r>
    <x v="0"/>
    <s v="Company W"/>
    <s v="Cream"/>
    <s v="500 mg"/>
    <n v="60"/>
    <n v="1616"/>
    <n v="21763"/>
    <d v="2024-07-15T00:00:00"/>
    <x v="3"/>
    <x v="768"/>
    <x v="0"/>
    <x v="3"/>
    <x v="1"/>
    <s v="Medium"/>
    <n v="1.1000000000000001"/>
    <n v="23939.300000000003"/>
    <n v="0.90909090909090895"/>
    <x v="0"/>
  </r>
  <r>
    <x v="0"/>
    <s v="Company X"/>
    <s v="Injection"/>
    <s v="50 mg"/>
    <n v="60"/>
    <n v="1817"/>
    <n v="36872"/>
    <d v="2024-06-11T00:00:00"/>
    <x v="4"/>
    <x v="769"/>
    <x v="1"/>
    <x v="2"/>
    <x v="2"/>
    <s v="Medium"/>
    <n v="1.2"/>
    <n v="44246.400000000001"/>
    <n v="0.83333333333333326"/>
    <x v="0"/>
  </r>
  <r>
    <x v="4"/>
    <s v="Company Z"/>
    <s v="Syrup"/>
    <s v="10 mg"/>
    <s v="100 ml"/>
    <n v="280"/>
    <n v="29505"/>
    <d v="2023-07-29T00:00:00"/>
    <x v="4"/>
    <x v="770"/>
    <x v="4"/>
    <x v="3"/>
    <x v="1"/>
    <s v="Medium"/>
    <n v="1.2"/>
    <n v="35406"/>
    <n v="0.83333333333333337"/>
    <x v="0"/>
  </r>
  <r>
    <x v="2"/>
    <s v="Company W"/>
    <s v="Cream"/>
    <s v="100 mg/ml"/>
    <s v="10 ml"/>
    <n v="519"/>
    <n v="3961"/>
    <d v="2023-10-01T00:00:00"/>
    <x v="4"/>
    <x v="771"/>
    <x v="3"/>
    <x v="10"/>
    <x v="3"/>
    <s v="Low"/>
    <n v="1.2"/>
    <n v="4753.2"/>
    <n v="0.83333333333333337"/>
    <x v="0"/>
  </r>
  <r>
    <x v="2"/>
    <s v="Company W"/>
    <s v="Capsule"/>
    <s v="250 mg"/>
    <s v="10 ml"/>
    <n v="1355"/>
    <n v="9822"/>
    <d v="2023-10-05T00:00:00"/>
    <x v="1"/>
    <x v="772"/>
    <x v="0"/>
    <x v="10"/>
    <x v="3"/>
    <s v="Low"/>
    <n v="0.9"/>
    <n v="8839.8000000000011"/>
    <n v="1.1111111111111109"/>
    <x v="1"/>
  </r>
  <r>
    <x v="4"/>
    <s v="Company V"/>
    <s v="Cream"/>
    <s v="500 mg"/>
    <s v="100 ml"/>
    <n v="1289"/>
    <n v="40553"/>
    <d v="2024-07-28T00:00:00"/>
    <x v="3"/>
    <x v="773"/>
    <x v="1"/>
    <x v="3"/>
    <x v="1"/>
    <s v="High"/>
    <n v="1.1000000000000001"/>
    <n v="44608.3"/>
    <n v="0.90909090909090906"/>
    <x v="0"/>
  </r>
  <r>
    <x v="4"/>
    <s v="Company Y"/>
    <s v="Injection"/>
    <s v="10 mg"/>
    <n v="60"/>
    <n v="1578"/>
    <n v="18160"/>
    <d v="2023-12-03T00:00:00"/>
    <x v="2"/>
    <x v="774"/>
    <x v="2"/>
    <x v="4"/>
    <x v="3"/>
    <s v="Low"/>
    <n v="0.95"/>
    <n v="17252"/>
    <n v="1.0526315789473684"/>
    <x v="1"/>
  </r>
  <r>
    <x v="4"/>
    <s v="Company Z"/>
    <s v="Cream"/>
    <s v="10 mg"/>
    <s v="100 ml"/>
    <n v="854"/>
    <n v="45168"/>
    <d v="2024-05-16T00:00:00"/>
    <x v="4"/>
    <x v="775"/>
    <x v="2"/>
    <x v="6"/>
    <x v="2"/>
    <s v="High"/>
    <n v="1.2"/>
    <n v="54201.599999999999"/>
    <n v="0.83333333333333337"/>
    <x v="0"/>
  </r>
  <r>
    <x v="2"/>
    <s v="Company X"/>
    <s v="Injection"/>
    <s v="250 mg"/>
    <n v="30"/>
    <n v="1875"/>
    <n v="19837"/>
    <d v="2023-10-11T00:00:00"/>
    <x v="0"/>
    <x v="776"/>
    <x v="0"/>
    <x v="10"/>
    <x v="3"/>
    <s v="Low"/>
    <n v="1.1000000000000001"/>
    <n v="21820.7"/>
    <n v="0.90909090909090906"/>
    <x v="0"/>
  </r>
  <r>
    <x v="2"/>
    <s v="Company Z"/>
    <s v="Cream"/>
    <s v="250 mg"/>
    <s v="50 g"/>
    <n v="1105"/>
    <n v="16306"/>
    <d v="2024-04-03T00:00:00"/>
    <x v="0"/>
    <x v="777"/>
    <x v="2"/>
    <x v="11"/>
    <x v="2"/>
    <s v="Low"/>
    <n v="1.1000000000000001"/>
    <n v="17936.600000000002"/>
    <n v="0.90909090909090895"/>
    <x v="0"/>
  </r>
  <r>
    <x v="0"/>
    <s v="Company Z"/>
    <s v="Cream"/>
    <s v="50 mg"/>
    <s v="100 ml"/>
    <n v="503"/>
    <n v="28974"/>
    <d v="2024-04-01T00:00:00"/>
    <x v="0"/>
    <x v="778"/>
    <x v="2"/>
    <x v="11"/>
    <x v="2"/>
    <s v="Medium"/>
    <n v="1.1000000000000001"/>
    <n v="31871.4"/>
    <n v="0.90909090909090906"/>
    <x v="0"/>
  </r>
  <r>
    <x v="1"/>
    <s v="Company V"/>
    <s v="Syrup"/>
    <s v="50 mg"/>
    <n v="60"/>
    <n v="1354"/>
    <n v="28539"/>
    <d v="2024-06-21T00:00:00"/>
    <x v="4"/>
    <x v="779"/>
    <x v="0"/>
    <x v="2"/>
    <x v="2"/>
    <s v="Medium"/>
    <n v="1.2"/>
    <n v="34246.799999999996"/>
    <n v="0.83333333333333348"/>
    <x v="0"/>
  </r>
  <r>
    <x v="2"/>
    <s v="Company V"/>
    <s v="Tablet"/>
    <s v="10 mg"/>
    <s v="100 ml"/>
    <n v="1716"/>
    <n v="40609"/>
    <d v="2024-04-01T00:00:00"/>
    <x v="2"/>
    <x v="780"/>
    <x v="4"/>
    <x v="11"/>
    <x v="2"/>
    <s v="High"/>
    <n v="0.95"/>
    <n v="38578.549999999996"/>
    <n v="1.0526315789473686"/>
    <x v="1"/>
  </r>
  <r>
    <x v="0"/>
    <s v="Company V"/>
    <s v="Tablet"/>
    <s v="250 mg"/>
    <s v="50 g"/>
    <n v="1268"/>
    <n v="38392"/>
    <d v="2024-06-29T00:00:00"/>
    <x v="4"/>
    <x v="781"/>
    <x v="2"/>
    <x v="2"/>
    <x v="2"/>
    <s v="Medium"/>
    <n v="1.2"/>
    <n v="46070.400000000001"/>
    <n v="0.83333333333333326"/>
    <x v="0"/>
  </r>
  <r>
    <x v="0"/>
    <s v="Company Z"/>
    <s v="Tablet"/>
    <s v="500 mg"/>
    <n v="60"/>
    <n v="716"/>
    <n v="38994"/>
    <d v="2024-02-04T00:00:00"/>
    <x v="0"/>
    <x v="782"/>
    <x v="2"/>
    <x v="0"/>
    <x v="0"/>
    <s v="Medium"/>
    <n v="1.1000000000000001"/>
    <n v="42893.4"/>
    <n v="0.90909090909090906"/>
    <x v="0"/>
  </r>
  <r>
    <x v="1"/>
    <s v="Company W"/>
    <s v="Tablet"/>
    <s v="250 mg"/>
    <s v="50 g"/>
    <n v="1467"/>
    <n v="18147"/>
    <d v="2024-06-25T00:00:00"/>
    <x v="2"/>
    <x v="783"/>
    <x v="3"/>
    <x v="2"/>
    <x v="2"/>
    <s v="Low"/>
    <n v="0.95"/>
    <n v="17239.649999999998"/>
    <n v="1.0526315789473686"/>
    <x v="1"/>
  </r>
  <r>
    <x v="0"/>
    <s v="Company X"/>
    <s v="Cream"/>
    <s v="250 mg"/>
    <n v="30"/>
    <n v="501"/>
    <n v="8312"/>
    <d v="2023-11-01T00:00:00"/>
    <x v="2"/>
    <x v="784"/>
    <x v="4"/>
    <x v="5"/>
    <x v="3"/>
    <s v="Low"/>
    <n v="0.95"/>
    <n v="7896.4"/>
    <n v="1.0526315789473684"/>
    <x v="1"/>
  </r>
  <r>
    <x v="0"/>
    <s v="Company V"/>
    <s v="Cream"/>
    <s v="250 mg"/>
    <n v="30"/>
    <n v="1127"/>
    <n v="29324"/>
    <d v="2024-07-02T00:00:00"/>
    <x v="4"/>
    <x v="785"/>
    <x v="1"/>
    <x v="3"/>
    <x v="1"/>
    <s v="Medium"/>
    <n v="1.2"/>
    <n v="35188.799999999996"/>
    <n v="0.83333333333333348"/>
    <x v="0"/>
  </r>
  <r>
    <x v="1"/>
    <s v="Company Y"/>
    <s v="Syrup"/>
    <s v="10 mg"/>
    <s v="10 ml"/>
    <n v="814"/>
    <n v="22816"/>
    <d v="2023-12-16T00:00:00"/>
    <x v="2"/>
    <x v="786"/>
    <x v="0"/>
    <x v="4"/>
    <x v="3"/>
    <s v="Medium"/>
    <n v="0.95"/>
    <n v="21675.200000000001"/>
    <n v="1.0526315789473684"/>
    <x v="1"/>
  </r>
  <r>
    <x v="4"/>
    <s v="Company W"/>
    <s v="Cream"/>
    <s v="10 mg"/>
    <s v="10 ml"/>
    <n v="1056"/>
    <n v="4782"/>
    <d v="2023-10-07T00:00:00"/>
    <x v="1"/>
    <x v="787"/>
    <x v="1"/>
    <x v="10"/>
    <x v="3"/>
    <s v="Low"/>
    <n v="0.9"/>
    <n v="4303.8"/>
    <n v="1.1111111111111112"/>
    <x v="1"/>
  </r>
  <r>
    <x v="4"/>
    <s v="Company X"/>
    <s v="Injection"/>
    <s v="10 mg"/>
    <s v="50 g"/>
    <n v="130"/>
    <n v="3639"/>
    <d v="2023-12-27T00:00:00"/>
    <x v="1"/>
    <x v="788"/>
    <x v="1"/>
    <x v="4"/>
    <x v="3"/>
    <s v="Low"/>
    <n v="0.9"/>
    <n v="3275.1"/>
    <n v="1.1111111111111112"/>
    <x v="1"/>
  </r>
  <r>
    <x v="4"/>
    <s v="Company W"/>
    <s v="Tablet"/>
    <s v="500 mg"/>
    <s v="50 g"/>
    <n v="760"/>
    <n v="16495"/>
    <d v="2024-03-30T00:00:00"/>
    <x v="2"/>
    <x v="789"/>
    <x v="4"/>
    <x v="8"/>
    <x v="0"/>
    <s v="Low"/>
    <n v="0.95"/>
    <n v="15670.25"/>
    <n v="1.0526315789473684"/>
    <x v="1"/>
  </r>
  <r>
    <x v="1"/>
    <s v="Company X"/>
    <s v="Tablet"/>
    <s v="250 mg"/>
    <s v="10 ml"/>
    <n v="961"/>
    <n v="47213"/>
    <d v="2024-06-07T00:00:00"/>
    <x v="1"/>
    <x v="790"/>
    <x v="3"/>
    <x v="2"/>
    <x v="2"/>
    <s v="High"/>
    <n v="0.9"/>
    <n v="42491.700000000004"/>
    <n v="1.1111111111111109"/>
    <x v="1"/>
  </r>
  <r>
    <x v="4"/>
    <s v="Company X"/>
    <s v="Cream"/>
    <s v="100 mg/ml"/>
    <s v="10 ml"/>
    <n v="1410"/>
    <n v="27514"/>
    <d v="2023-10-31T00:00:00"/>
    <x v="0"/>
    <x v="791"/>
    <x v="2"/>
    <x v="10"/>
    <x v="3"/>
    <s v="Medium"/>
    <n v="1.1000000000000001"/>
    <n v="30265.4"/>
    <n v="0.90909090909090906"/>
    <x v="0"/>
  </r>
  <r>
    <x v="2"/>
    <s v="Company X"/>
    <s v="Tablet"/>
    <s v="50 mg"/>
    <n v="60"/>
    <n v="1446"/>
    <n v="22233"/>
    <d v="2023-11-30T00:00:00"/>
    <x v="3"/>
    <x v="792"/>
    <x v="4"/>
    <x v="5"/>
    <x v="3"/>
    <s v="Medium"/>
    <n v="1.1000000000000001"/>
    <n v="24456.300000000003"/>
    <n v="0.90909090909090895"/>
    <x v="0"/>
  </r>
  <r>
    <x v="0"/>
    <s v="Company W"/>
    <s v="Syrup"/>
    <s v="500 mg"/>
    <n v="30"/>
    <n v="1694"/>
    <n v="17518"/>
    <d v="2024-01-12T00:00:00"/>
    <x v="1"/>
    <x v="793"/>
    <x v="1"/>
    <x v="7"/>
    <x v="0"/>
    <s v="Low"/>
    <n v="0.9"/>
    <n v="15766.2"/>
    <n v="1.1111111111111112"/>
    <x v="1"/>
  </r>
  <r>
    <x v="2"/>
    <s v="Company Y"/>
    <s v="Capsule"/>
    <s v="10 mg"/>
    <s v="10 ml"/>
    <n v="1834"/>
    <n v="5964"/>
    <d v="2024-03-02T00:00:00"/>
    <x v="0"/>
    <x v="794"/>
    <x v="2"/>
    <x v="8"/>
    <x v="0"/>
    <s v="Low"/>
    <n v="1.1000000000000001"/>
    <n v="6560.4000000000005"/>
    <n v="0.90909090909090906"/>
    <x v="0"/>
  </r>
  <r>
    <x v="1"/>
    <s v="Company V"/>
    <s v="Capsule"/>
    <s v="250 mg"/>
    <s v="100 ml"/>
    <n v="737"/>
    <n v="33901"/>
    <d v="2024-07-04T00:00:00"/>
    <x v="4"/>
    <x v="795"/>
    <x v="1"/>
    <x v="3"/>
    <x v="1"/>
    <s v="Medium"/>
    <n v="1.2"/>
    <n v="40681.199999999997"/>
    <n v="0.83333333333333337"/>
    <x v="0"/>
  </r>
  <r>
    <x v="3"/>
    <s v="Company V"/>
    <s v="Tablet"/>
    <s v="500 mg"/>
    <s v="100 ml"/>
    <n v="1027"/>
    <n v="9819"/>
    <d v="2024-05-22T00:00:00"/>
    <x v="3"/>
    <x v="796"/>
    <x v="1"/>
    <x v="6"/>
    <x v="2"/>
    <s v="Low"/>
    <n v="1.1000000000000001"/>
    <n v="10800.900000000001"/>
    <n v="0.90909090909090895"/>
    <x v="0"/>
  </r>
  <r>
    <x v="2"/>
    <s v="Company W"/>
    <s v="Tablet"/>
    <s v="500 mg"/>
    <s v="50 g"/>
    <n v="1000"/>
    <n v="34947"/>
    <d v="2023-10-18T00:00:00"/>
    <x v="0"/>
    <x v="797"/>
    <x v="3"/>
    <x v="10"/>
    <x v="3"/>
    <s v="Medium"/>
    <n v="1.1000000000000001"/>
    <n v="38441.700000000004"/>
    <n v="0.90909090909090895"/>
    <x v="0"/>
  </r>
  <r>
    <x v="0"/>
    <s v="Company V"/>
    <s v="Capsule"/>
    <s v="250 mg"/>
    <n v="60"/>
    <n v="1732"/>
    <n v="43643"/>
    <d v="2024-06-15T00:00:00"/>
    <x v="1"/>
    <x v="798"/>
    <x v="0"/>
    <x v="2"/>
    <x v="2"/>
    <s v="High"/>
    <n v="0.9"/>
    <n v="39278.700000000004"/>
    <n v="1.1111111111111109"/>
    <x v="1"/>
  </r>
  <r>
    <x v="1"/>
    <s v="Company Z"/>
    <s v="Cream"/>
    <s v="250 mg"/>
    <n v="30"/>
    <n v="1686"/>
    <n v="38320"/>
    <d v="2024-01-11T00:00:00"/>
    <x v="3"/>
    <x v="799"/>
    <x v="0"/>
    <x v="7"/>
    <x v="0"/>
    <s v="Medium"/>
    <n v="1.1000000000000001"/>
    <n v="42152"/>
    <n v="0.90909090909090906"/>
    <x v="0"/>
  </r>
  <r>
    <x v="2"/>
    <s v="Company Z"/>
    <s v="Tablet"/>
    <s v="50 mg"/>
    <s v="10 ml"/>
    <n v="1880"/>
    <n v="13397"/>
    <d v="2024-01-08T00:00:00"/>
    <x v="0"/>
    <x v="800"/>
    <x v="4"/>
    <x v="7"/>
    <x v="0"/>
    <s v="Low"/>
    <n v="1.1000000000000001"/>
    <n v="14736.7"/>
    <n v="0.90909090909090906"/>
    <x v="0"/>
  </r>
  <r>
    <x v="2"/>
    <s v="Company V"/>
    <s v="Cream"/>
    <s v="10 mg"/>
    <s v="100 ml"/>
    <n v="363"/>
    <n v="3071"/>
    <d v="2024-03-15T00:00:00"/>
    <x v="2"/>
    <x v="801"/>
    <x v="3"/>
    <x v="8"/>
    <x v="0"/>
    <s v="Low"/>
    <n v="0.95"/>
    <n v="2917.45"/>
    <n v="1.0526315789473686"/>
    <x v="1"/>
  </r>
  <r>
    <x v="1"/>
    <s v="Company W"/>
    <s v="Capsule"/>
    <s v="10 mg"/>
    <s v="10 ml"/>
    <n v="152"/>
    <n v="27219"/>
    <d v="2024-02-28T00:00:00"/>
    <x v="4"/>
    <x v="802"/>
    <x v="1"/>
    <x v="0"/>
    <x v="0"/>
    <s v="Medium"/>
    <n v="1.2"/>
    <n v="32662.799999999999"/>
    <n v="0.83333333333333337"/>
    <x v="0"/>
  </r>
  <r>
    <x v="4"/>
    <s v="Company X"/>
    <s v="Capsule"/>
    <s v="50 mg"/>
    <s v="50 g"/>
    <n v="1989"/>
    <n v="39898"/>
    <d v="2023-08-05T00:00:00"/>
    <x v="3"/>
    <x v="803"/>
    <x v="3"/>
    <x v="1"/>
    <x v="1"/>
    <s v="Medium"/>
    <n v="1.1000000000000001"/>
    <n v="43887.8"/>
    <n v="0.90909090909090906"/>
    <x v="0"/>
  </r>
  <r>
    <x v="2"/>
    <s v="Company Z"/>
    <s v="Cream"/>
    <s v="100 mg/ml"/>
    <n v="30"/>
    <n v="729"/>
    <n v="17817"/>
    <d v="2024-03-16T00:00:00"/>
    <x v="4"/>
    <x v="804"/>
    <x v="2"/>
    <x v="8"/>
    <x v="0"/>
    <s v="Low"/>
    <n v="1.2"/>
    <n v="21380.399999999998"/>
    <n v="0.83333333333333337"/>
    <x v="0"/>
  </r>
  <r>
    <x v="1"/>
    <s v="Company X"/>
    <s v="Injection"/>
    <s v="100 mg/ml"/>
    <s v="50 g"/>
    <n v="828"/>
    <n v="3572"/>
    <d v="2024-01-08T00:00:00"/>
    <x v="4"/>
    <x v="805"/>
    <x v="4"/>
    <x v="7"/>
    <x v="0"/>
    <s v="Low"/>
    <n v="1.2"/>
    <n v="4286.3999999999996"/>
    <n v="0.83333333333333337"/>
    <x v="0"/>
  </r>
  <r>
    <x v="1"/>
    <s v="Company Z"/>
    <s v="Cream"/>
    <s v="10 mg"/>
    <n v="60"/>
    <n v="984"/>
    <n v="43213"/>
    <d v="2023-07-31T00:00:00"/>
    <x v="4"/>
    <x v="806"/>
    <x v="3"/>
    <x v="3"/>
    <x v="1"/>
    <s v="High"/>
    <n v="1.2"/>
    <n v="51855.6"/>
    <n v="0.83333333333333337"/>
    <x v="0"/>
  </r>
  <r>
    <x v="1"/>
    <s v="Company Z"/>
    <s v="Syrup"/>
    <s v="10 mg"/>
    <s v="10 ml"/>
    <n v="1911"/>
    <n v="40843"/>
    <d v="2024-01-19T00:00:00"/>
    <x v="2"/>
    <x v="807"/>
    <x v="4"/>
    <x v="7"/>
    <x v="0"/>
    <s v="High"/>
    <n v="0.95"/>
    <n v="38800.85"/>
    <n v="1.0526315789473684"/>
    <x v="1"/>
  </r>
  <r>
    <x v="1"/>
    <s v="Company W"/>
    <s v="Cream"/>
    <s v="10 mg"/>
    <n v="30"/>
    <n v="846"/>
    <n v="18094"/>
    <d v="2024-05-02T00:00:00"/>
    <x v="2"/>
    <x v="808"/>
    <x v="3"/>
    <x v="6"/>
    <x v="2"/>
    <s v="Low"/>
    <n v="0.95"/>
    <n v="17189.3"/>
    <n v="1.0526315789473684"/>
    <x v="1"/>
  </r>
  <r>
    <x v="4"/>
    <s v="Company X"/>
    <s v="Injection"/>
    <s v="10 mg"/>
    <s v="100 ml"/>
    <n v="415"/>
    <n v="30785"/>
    <d v="2024-05-24T00:00:00"/>
    <x v="1"/>
    <x v="809"/>
    <x v="1"/>
    <x v="6"/>
    <x v="2"/>
    <s v="Medium"/>
    <n v="0.9"/>
    <n v="27706.5"/>
    <n v="1.1111111111111112"/>
    <x v="1"/>
  </r>
  <r>
    <x v="4"/>
    <s v="Company V"/>
    <s v="Cream"/>
    <s v="10 mg"/>
    <s v="100 ml"/>
    <n v="1507"/>
    <n v="32408"/>
    <d v="2024-02-02T00:00:00"/>
    <x v="2"/>
    <x v="810"/>
    <x v="0"/>
    <x v="0"/>
    <x v="0"/>
    <s v="Medium"/>
    <n v="0.95"/>
    <n v="30787.599999999999"/>
    <n v="1.0526315789473684"/>
    <x v="1"/>
  </r>
  <r>
    <x v="0"/>
    <s v="Company V"/>
    <s v="Injection"/>
    <s v="500 mg"/>
    <s v="50 g"/>
    <n v="889"/>
    <n v="4285"/>
    <d v="2024-05-06T00:00:00"/>
    <x v="0"/>
    <x v="811"/>
    <x v="0"/>
    <x v="6"/>
    <x v="2"/>
    <s v="Low"/>
    <n v="1.1000000000000001"/>
    <n v="4713.5"/>
    <n v="0.90909090909090906"/>
    <x v="0"/>
  </r>
  <r>
    <x v="3"/>
    <s v="Company V"/>
    <s v="Tablet"/>
    <s v="50 mg"/>
    <n v="30"/>
    <n v="983"/>
    <n v="39307"/>
    <d v="2024-01-26T00:00:00"/>
    <x v="0"/>
    <x v="812"/>
    <x v="3"/>
    <x v="7"/>
    <x v="0"/>
    <s v="Medium"/>
    <n v="1.1000000000000001"/>
    <n v="43237.700000000004"/>
    <n v="0.90909090909090895"/>
    <x v="0"/>
  </r>
  <r>
    <x v="1"/>
    <s v="Company Y"/>
    <s v="Syrup"/>
    <s v="100 mg/ml"/>
    <n v="60"/>
    <n v="743"/>
    <n v="38388"/>
    <d v="2024-07-04T00:00:00"/>
    <x v="4"/>
    <x v="813"/>
    <x v="1"/>
    <x v="3"/>
    <x v="1"/>
    <s v="Medium"/>
    <n v="1.2"/>
    <n v="46065.599999999999"/>
    <n v="0.83333333333333337"/>
    <x v="0"/>
  </r>
  <r>
    <x v="4"/>
    <s v="Company V"/>
    <s v="Capsule"/>
    <s v="250 mg"/>
    <n v="30"/>
    <n v="255"/>
    <n v="27581"/>
    <d v="2024-06-05T00:00:00"/>
    <x v="0"/>
    <x v="509"/>
    <x v="3"/>
    <x v="2"/>
    <x v="2"/>
    <s v="Medium"/>
    <n v="1.1000000000000001"/>
    <n v="30339.100000000002"/>
    <n v="0.90909090909090906"/>
    <x v="0"/>
  </r>
  <r>
    <x v="4"/>
    <s v="Company Y"/>
    <s v="Syrup"/>
    <s v="50 mg"/>
    <n v="30"/>
    <n v="965"/>
    <n v="12117"/>
    <d v="2023-08-30T00:00:00"/>
    <x v="2"/>
    <x v="814"/>
    <x v="2"/>
    <x v="1"/>
    <x v="1"/>
    <s v="Low"/>
    <n v="0.95"/>
    <n v="11511.15"/>
    <n v="1.0526315789473684"/>
    <x v="1"/>
  </r>
  <r>
    <x v="1"/>
    <s v="Company X"/>
    <s v="Capsule"/>
    <s v="50 mg"/>
    <s v="10 ml"/>
    <n v="254"/>
    <n v="2928"/>
    <d v="2023-08-19T00:00:00"/>
    <x v="4"/>
    <x v="815"/>
    <x v="2"/>
    <x v="1"/>
    <x v="1"/>
    <s v="Low"/>
    <n v="1.2"/>
    <n v="3513.6"/>
    <n v="0.83333333333333337"/>
    <x v="0"/>
  </r>
  <r>
    <x v="1"/>
    <s v="Company V"/>
    <s v="Injection"/>
    <s v="100 mg/ml"/>
    <n v="60"/>
    <n v="1006"/>
    <n v="35619"/>
    <d v="2023-12-06T00:00:00"/>
    <x v="0"/>
    <x v="816"/>
    <x v="2"/>
    <x v="4"/>
    <x v="3"/>
    <s v="Medium"/>
    <n v="1.1000000000000001"/>
    <n v="39180.9"/>
    <n v="0.90909090909090906"/>
    <x v="0"/>
  </r>
  <r>
    <x v="1"/>
    <s v="Company X"/>
    <s v="Tablet"/>
    <s v="250 mg"/>
    <s v="10 ml"/>
    <n v="578"/>
    <n v="21030"/>
    <d v="2024-02-13T00:00:00"/>
    <x v="4"/>
    <x v="817"/>
    <x v="0"/>
    <x v="0"/>
    <x v="0"/>
    <s v="Medium"/>
    <n v="1.2"/>
    <n v="25236"/>
    <n v="0.83333333333333337"/>
    <x v="0"/>
  </r>
  <r>
    <x v="1"/>
    <s v="Company W"/>
    <s v="Capsule"/>
    <s v="100 mg/ml"/>
    <s v="100 ml"/>
    <n v="1284"/>
    <n v="40997"/>
    <d v="2023-07-29T00:00:00"/>
    <x v="4"/>
    <x v="818"/>
    <x v="3"/>
    <x v="3"/>
    <x v="1"/>
    <s v="High"/>
    <n v="1.2"/>
    <n v="49196.4"/>
    <n v="0.83333333333333326"/>
    <x v="0"/>
  </r>
  <r>
    <x v="2"/>
    <s v="Company V"/>
    <s v="Capsule"/>
    <s v="10 mg"/>
    <s v="100 ml"/>
    <n v="1832"/>
    <n v="22662"/>
    <d v="2024-07-11T00:00:00"/>
    <x v="1"/>
    <x v="819"/>
    <x v="4"/>
    <x v="3"/>
    <x v="1"/>
    <s v="Medium"/>
    <n v="0.9"/>
    <n v="20395.8"/>
    <n v="1.1111111111111112"/>
    <x v="1"/>
  </r>
  <r>
    <x v="2"/>
    <s v="Company Z"/>
    <s v="Capsule"/>
    <s v="250 mg"/>
    <n v="60"/>
    <n v="698"/>
    <n v="42700"/>
    <d v="2023-08-30T00:00:00"/>
    <x v="3"/>
    <x v="820"/>
    <x v="2"/>
    <x v="1"/>
    <x v="1"/>
    <s v="High"/>
    <n v="1.1000000000000001"/>
    <n v="46970.000000000007"/>
    <n v="0.90909090909090895"/>
    <x v="0"/>
  </r>
  <r>
    <x v="4"/>
    <s v="Company W"/>
    <s v="Injection"/>
    <s v="50 mg"/>
    <s v="100 ml"/>
    <n v="174"/>
    <n v="28115"/>
    <d v="2023-09-08T00:00:00"/>
    <x v="1"/>
    <x v="821"/>
    <x v="1"/>
    <x v="9"/>
    <x v="1"/>
    <s v="Medium"/>
    <n v="0.9"/>
    <n v="25303.5"/>
    <n v="1.1111111111111112"/>
    <x v="1"/>
  </r>
  <r>
    <x v="4"/>
    <s v="Company Z"/>
    <s v="Cream"/>
    <s v="250 mg"/>
    <s v="100 ml"/>
    <n v="247"/>
    <n v="2564"/>
    <d v="2024-04-30T00:00:00"/>
    <x v="4"/>
    <x v="822"/>
    <x v="2"/>
    <x v="11"/>
    <x v="2"/>
    <s v="Low"/>
    <n v="1.2"/>
    <n v="3076.7999999999997"/>
    <n v="0.83333333333333337"/>
    <x v="0"/>
  </r>
  <r>
    <x v="0"/>
    <s v="Company V"/>
    <s v="Capsule"/>
    <s v="500 mg"/>
    <s v="10 ml"/>
    <n v="1585"/>
    <n v="22796"/>
    <d v="2024-04-22T00:00:00"/>
    <x v="3"/>
    <x v="823"/>
    <x v="2"/>
    <x v="11"/>
    <x v="2"/>
    <s v="Medium"/>
    <n v="1.1000000000000001"/>
    <n v="25075.600000000002"/>
    <n v="0.90909090909090906"/>
    <x v="0"/>
  </r>
  <r>
    <x v="1"/>
    <s v="Company Y"/>
    <s v="Tablet"/>
    <s v="50 mg"/>
    <s v="50 g"/>
    <n v="1212"/>
    <n v="30821"/>
    <d v="2024-02-05T00:00:00"/>
    <x v="0"/>
    <x v="824"/>
    <x v="4"/>
    <x v="0"/>
    <x v="0"/>
    <s v="Medium"/>
    <n v="1.1000000000000001"/>
    <n v="33903.100000000006"/>
    <n v="0.90909090909090895"/>
    <x v="0"/>
  </r>
  <r>
    <x v="1"/>
    <s v="Company Y"/>
    <s v="Syrup"/>
    <s v="100 mg/ml"/>
    <s v="100 ml"/>
    <n v="1322"/>
    <n v="41761"/>
    <d v="2024-05-15T00:00:00"/>
    <x v="0"/>
    <x v="825"/>
    <x v="2"/>
    <x v="6"/>
    <x v="2"/>
    <s v="High"/>
    <n v="1.1000000000000001"/>
    <n v="45937.100000000006"/>
    <n v="0.90909090909090895"/>
    <x v="0"/>
  </r>
  <r>
    <x v="4"/>
    <s v="Company X"/>
    <s v="Cream"/>
    <s v="50 mg"/>
    <n v="60"/>
    <n v="1258"/>
    <n v="22547"/>
    <d v="2023-08-30T00:00:00"/>
    <x v="3"/>
    <x v="826"/>
    <x v="1"/>
    <x v="1"/>
    <x v="1"/>
    <s v="Medium"/>
    <n v="1.1000000000000001"/>
    <n v="24801.7"/>
    <n v="0.90909090909090906"/>
    <x v="0"/>
  </r>
  <r>
    <x v="1"/>
    <s v="Company V"/>
    <s v="Cream"/>
    <s v="50 mg"/>
    <s v="10 ml"/>
    <n v="1589"/>
    <n v="28938"/>
    <d v="2023-11-24T00:00:00"/>
    <x v="0"/>
    <x v="827"/>
    <x v="1"/>
    <x v="5"/>
    <x v="3"/>
    <s v="Medium"/>
    <n v="1.1000000000000001"/>
    <n v="31831.800000000003"/>
    <n v="0.90909090909090906"/>
    <x v="0"/>
  </r>
  <r>
    <x v="0"/>
    <s v="Company V"/>
    <s v="Tablet"/>
    <s v="500 mg"/>
    <s v="10 ml"/>
    <n v="908"/>
    <n v="44347"/>
    <d v="2023-11-24T00:00:00"/>
    <x v="2"/>
    <x v="828"/>
    <x v="1"/>
    <x v="5"/>
    <x v="3"/>
    <s v="High"/>
    <n v="0.95"/>
    <n v="42129.65"/>
    <n v="1.0526315789473684"/>
    <x v="1"/>
  </r>
  <r>
    <x v="1"/>
    <s v="Company Y"/>
    <s v="Injection"/>
    <s v="100 mg/ml"/>
    <n v="60"/>
    <n v="888"/>
    <n v="22714"/>
    <d v="2024-01-04T00:00:00"/>
    <x v="2"/>
    <x v="829"/>
    <x v="2"/>
    <x v="7"/>
    <x v="0"/>
    <s v="Medium"/>
    <n v="0.95"/>
    <n v="21578.3"/>
    <n v="1.0526315789473684"/>
    <x v="1"/>
  </r>
  <r>
    <x v="0"/>
    <s v="Company Y"/>
    <s v="Cream"/>
    <s v="250 mg"/>
    <n v="60"/>
    <n v="1591"/>
    <n v="6484"/>
    <d v="2023-09-11T00:00:00"/>
    <x v="2"/>
    <x v="830"/>
    <x v="0"/>
    <x v="9"/>
    <x v="1"/>
    <s v="Low"/>
    <n v="0.95"/>
    <n v="6159.7999999999993"/>
    <n v="1.0526315789473686"/>
    <x v="1"/>
  </r>
  <r>
    <x v="0"/>
    <s v="Company Y"/>
    <s v="Syrup"/>
    <s v="50 mg"/>
    <s v="50 g"/>
    <n v="1266"/>
    <n v="27371"/>
    <d v="2023-12-05T00:00:00"/>
    <x v="4"/>
    <x v="831"/>
    <x v="0"/>
    <x v="4"/>
    <x v="3"/>
    <s v="Medium"/>
    <n v="1.2"/>
    <n v="32845.199999999997"/>
    <n v="0.83333333333333337"/>
    <x v="0"/>
  </r>
  <r>
    <x v="2"/>
    <s v="Company V"/>
    <s v="Capsule"/>
    <s v="10 mg"/>
    <n v="30"/>
    <n v="1335"/>
    <n v="1534"/>
    <d v="2024-07-07T00:00:00"/>
    <x v="3"/>
    <x v="832"/>
    <x v="2"/>
    <x v="3"/>
    <x v="1"/>
    <s v="Low"/>
    <n v="1.1000000000000001"/>
    <n v="1687.4"/>
    <n v="0.90909090909090906"/>
    <x v="0"/>
  </r>
  <r>
    <x v="4"/>
    <s v="Company Y"/>
    <s v="Tablet"/>
    <s v="10 mg"/>
    <n v="30"/>
    <n v="790"/>
    <n v="9353"/>
    <d v="2024-01-23T00:00:00"/>
    <x v="3"/>
    <x v="833"/>
    <x v="0"/>
    <x v="7"/>
    <x v="0"/>
    <s v="Low"/>
    <n v="1.1000000000000001"/>
    <n v="10288.300000000001"/>
    <n v="0.90909090909090895"/>
    <x v="0"/>
  </r>
  <r>
    <x v="2"/>
    <s v="Company W"/>
    <s v="Tablet"/>
    <s v="100 mg/ml"/>
    <s v="10 ml"/>
    <n v="408"/>
    <n v="31302"/>
    <d v="2024-02-24T00:00:00"/>
    <x v="0"/>
    <x v="834"/>
    <x v="0"/>
    <x v="0"/>
    <x v="0"/>
    <s v="Medium"/>
    <n v="1.1000000000000001"/>
    <n v="34432.200000000004"/>
    <n v="0.90909090909090895"/>
    <x v="0"/>
  </r>
  <r>
    <x v="3"/>
    <s v="Company W"/>
    <s v="Injection"/>
    <s v="250 mg"/>
    <s v="50 g"/>
    <n v="1613"/>
    <n v="49778"/>
    <d v="2023-11-24T00:00:00"/>
    <x v="0"/>
    <x v="835"/>
    <x v="0"/>
    <x v="5"/>
    <x v="3"/>
    <s v="High"/>
    <n v="1.1000000000000001"/>
    <n v="54755.8"/>
    <n v="0.90909090909090906"/>
    <x v="0"/>
  </r>
  <r>
    <x v="0"/>
    <s v="Company V"/>
    <s v="Capsule"/>
    <s v="500 mg"/>
    <s v="50 g"/>
    <n v="1046"/>
    <n v="41599"/>
    <d v="2023-08-23T00:00:00"/>
    <x v="0"/>
    <x v="836"/>
    <x v="3"/>
    <x v="1"/>
    <x v="1"/>
    <s v="High"/>
    <n v="1.1000000000000001"/>
    <n v="45758.9"/>
    <n v="0.90909090909090906"/>
    <x v="0"/>
  </r>
  <r>
    <x v="3"/>
    <s v="Company W"/>
    <s v="Syrup"/>
    <s v="250 mg"/>
    <n v="60"/>
    <n v="769"/>
    <n v="38634"/>
    <d v="2024-05-08T00:00:00"/>
    <x v="2"/>
    <x v="837"/>
    <x v="0"/>
    <x v="6"/>
    <x v="2"/>
    <s v="Medium"/>
    <n v="0.95"/>
    <n v="36702.299999999996"/>
    <n v="1.0526315789473686"/>
    <x v="1"/>
  </r>
  <r>
    <x v="4"/>
    <s v="Company Y"/>
    <s v="Tablet"/>
    <s v="250 mg"/>
    <n v="30"/>
    <n v="1661"/>
    <n v="40534"/>
    <d v="2024-01-01T00:00:00"/>
    <x v="3"/>
    <x v="838"/>
    <x v="1"/>
    <x v="7"/>
    <x v="0"/>
    <s v="High"/>
    <n v="1.1000000000000001"/>
    <n v="44587.4"/>
    <n v="0.90909090909090906"/>
    <x v="0"/>
  </r>
  <r>
    <x v="4"/>
    <s v="Company Z"/>
    <s v="Injection"/>
    <s v="50 mg"/>
    <s v="100 ml"/>
    <n v="1541"/>
    <n v="36377"/>
    <d v="2023-08-14T00:00:00"/>
    <x v="0"/>
    <x v="839"/>
    <x v="3"/>
    <x v="1"/>
    <x v="1"/>
    <s v="Medium"/>
    <n v="1.1000000000000001"/>
    <n v="40014.700000000004"/>
    <n v="0.90909090909090895"/>
    <x v="0"/>
  </r>
  <r>
    <x v="2"/>
    <s v="Company Z"/>
    <s v="Injection"/>
    <s v="250 mg"/>
    <s v="50 g"/>
    <n v="286"/>
    <n v="30863"/>
    <d v="2023-09-09T00:00:00"/>
    <x v="3"/>
    <x v="840"/>
    <x v="3"/>
    <x v="9"/>
    <x v="1"/>
    <s v="Medium"/>
    <n v="1.1000000000000001"/>
    <n v="33949.300000000003"/>
    <n v="0.90909090909090906"/>
    <x v="0"/>
  </r>
  <r>
    <x v="2"/>
    <s v="Company X"/>
    <s v="Cream"/>
    <s v="100 mg/ml"/>
    <s v="100 ml"/>
    <n v="1432"/>
    <n v="43247"/>
    <d v="2024-06-21T00:00:00"/>
    <x v="1"/>
    <x v="841"/>
    <x v="4"/>
    <x v="2"/>
    <x v="2"/>
    <s v="High"/>
    <n v="0.9"/>
    <n v="38922.300000000003"/>
    <n v="1.1111111111111109"/>
    <x v="1"/>
  </r>
  <r>
    <x v="1"/>
    <s v="Company V"/>
    <s v="Tablet"/>
    <s v="500 mg"/>
    <s v="50 g"/>
    <n v="249"/>
    <n v="21795"/>
    <d v="2023-09-20T00:00:00"/>
    <x v="2"/>
    <x v="842"/>
    <x v="1"/>
    <x v="9"/>
    <x v="1"/>
    <s v="Medium"/>
    <n v="0.95"/>
    <n v="20705.25"/>
    <n v="1.0526315789473684"/>
    <x v="1"/>
  </r>
  <r>
    <x v="0"/>
    <s v="Company W"/>
    <s v="Cream"/>
    <s v="10 mg"/>
    <n v="30"/>
    <n v="1441"/>
    <n v="15841"/>
    <d v="2023-08-11T00:00:00"/>
    <x v="1"/>
    <x v="843"/>
    <x v="4"/>
    <x v="1"/>
    <x v="1"/>
    <s v="Low"/>
    <n v="0.9"/>
    <n v="14256.9"/>
    <n v="1.1111111111111112"/>
    <x v="1"/>
  </r>
  <r>
    <x v="0"/>
    <s v="Company X"/>
    <s v="Syrup"/>
    <s v="500 mg"/>
    <n v="30"/>
    <n v="1951"/>
    <n v="18265"/>
    <d v="2024-06-02T00:00:00"/>
    <x v="1"/>
    <x v="844"/>
    <x v="1"/>
    <x v="2"/>
    <x v="2"/>
    <s v="Low"/>
    <n v="0.9"/>
    <n v="16438.5"/>
    <n v="1.1111111111111112"/>
    <x v="1"/>
  </r>
  <r>
    <x v="0"/>
    <s v="Company Y"/>
    <s v="Cream"/>
    <s v="500 mg"/>
    <s v="100 ml"/>
    <n v="1017"/>
    <n v="10342"/>
    <d v="2024-07-02T00:00:00"/>
    <x v="4"/>
    <x v="845"/>
    <x v="1"/>
    <x v="3"/>
    <x v="1"/>
    <s v="Low"/>
    <n v="1.2"/>
    <n v="12410.4"/>
    <n v="0.83333333333333337"/>
    <x v="0"/>
  </r>
  <r>
    <x v="3"/>
    <s v="Company W"/>
    <s v="Syrup"/>
    <s v="250 mg"/>
    <n v="60"/>
    <n v="1287"/>
    <n v="45058"/>
    <d v="2024-02-08T00:00:00"/>
    <x v="4"/>
    <x v="846"/>
    <x v="4"/>
    <x v="0"/>
    <x v="0"/>
    <s v="High"/>
    <n v="1.2"/>
    <n v="54069.599999999999"/>
    <n v="0.83333333333333337"/>
    <x v="0"/>
  </r>
  <r>
    <x v="0"/>
    <s v="Company Z"/>
    <s v="Tablet"/>
    <s v="10 mg"/>
    <s v="100 ml"/>
    <n v="1236"/>
    <n v="48538"/>
    <d v="2024-07-02T00:00:00"/>
    <x v="0"/>
    <x v="847"/>
    <x v="4"/>
    <x v="3"/>
    <x v="1"/>
    <s v="High"/>
    <n v="1.1000000000000001"/>
    <n v="53391.8"/>
    <n v="0.90909090909090906"/>
    <x v="0"/>
  </r>
  <r>
    <x v="1"/>
    <s v="Company Y"/>
    <s v="Capsule"/>
    <s v="10 mg"/>
    <s v="10 ml"/>
    <n v="1368"/>
    <n v="6205"/>
    <d v="2024-03-18T00:00:00"/>
    <x v="4"/>
    <x v="848"/>
    <x v="3"/>
    <x v="8"/>
    <x v="0"/>
    <s v="Low"/>
    <n v="1.2"/>
    <n v="7446"/>
    <n v="0.83333333333333337"/>
    <x v="0"/>
  </r>
  <r>
    <x v="3"/>
    <s v="Company V"/>
    <s v="Capsule"/>
    <s v="100 mg/ml"/>
    <s v="100 ml"/>
    <n v="936"/>
    <n v="10109"/>
    <d v="2024-03-24T00:00:00"/>
    <x v="2"/>
    <x v="849"/>
    <x v="2"/>
    <x v="8"/>
    <x v="0"/>
    <s v="Low"/>
    <n v="0.95"/>
    <n v="9603.5499999999993"/>
    <n v="1.0526315789473686"/>
    <x v="1"/>
  </r>
  <r>
    <x v="2"/>
    <s v="Company V"/>
    <s v="Injection"/>
    <s v="500 mg"/>
    <n v="60"/>
    <n v="676"/>
    <n v="37726"/>
    <d v="2023-12-24T00:00:00"/>
    <x v="2"/>
    <x v="850"/>
    <x v="0"/>
    <x v="4"/>
    <x v="3"/>
    <s v="Medium"/>
    <n v="0.95"/>
    <n v="35839.699999999997"/>
    <n v="1.0526315789473686"/>
    <x v="1"/>
  </r>
  <r>
    <x v="1"/>
    <s v="Company Y"/>
    <s v="Injection"/>
    <s v="100 mg/ml"/>
    <n v="30"/>
    <n v="338"/>
    <n v="11276"/>
    <d v="2023-09-08T00:00:00"/>
    <x v="1"/>
    <x v="851"/>
    <x v="4"/>
    <x v="9"/>
    <x v="1"/>
    <s v="Low"/>
    <n v="0.9"/>
    <n v="10148.4"/>
    <n v="1.1111111111111112"/>
    <x v="1"/>
  </r>
  <r>
    <x v="3"/>
    <s v="Company W"/>
    <s v="Capsule"/>
    <s v="500 mg"/>
    <s v="50 g"/>
    <n v="1131"/>
    <n v="33794"/>
    <d v="2024-01-30T00:00:00"/>
    <x v="2"/>
    <x v="852"/>
    <x v="4"/>
    <x v="7"/>
    <x v="0"/>
    <s v="Medium"/>
    <n v="0.95"/>
    <n v="32104.3"/>
    <n v="1.0526315789473684"/>
    <x v="1"/>
  </r>
  <r>
    <x v="0"/>
    <s v="Company V"/>
    <s v="Cream"/>
    <s v="10 mg"/>
    <s v="100 ml"/>
    <n v="1415"/>
    <n v="40903"/>
    <d v="2023-07-29T00:00:00"/>
    <x v="0"/>
    <x v="853"/>
    <x v="2"/>
    <x v="3"/>
    <x v="1"/>
    <s v="High"/>
    <n v="1.1000000000000001"/>
    <n v="44993.3"/>
    <n v="0.90909090909090906"/>
    <x v="0"/>
  </r>
  <r>
    <x v="2"/>
    <s v="Company Y"/>
    <s v="Capsule"/>
    <s v="250 mg"/>
    <s v="50 g"/>
    <n v="1737"/>
    <n v="27260"/>
    <d v="2024-01-19T00:00:00"/>
    <x v="4"/>
    <x v="854"/>
    <x v="1"/>
    <x v="7"/>
    <x v="0"/>
    <s v="Medium"/>
    <n v="1.2"/>
    <n v="32712"/>
    <n v="0.83333333333333337"/>
    <x v="0"/>
  </r>
  <r>
    <x v="1"/>
    <s v="Company X"/>
    <s v="Syrup"/>
    <s v="50 mg"/>
    <s v="100 ml"/>
    <n v="689"/>
    <n v="19199"/>
    <d v="2024-02-06T00:00:00"/>
    <x v="1"/>
    <x v="855"/>
    <x v="4"/>
    <x v="0"/>
    <x v="0"/>
    <s v="Low"/>
    <n v="0.9"/>
    <n v="17279.100000000002"/>
    <n v="1.1111111111111109"/>
    <x v="1"/>
  </r>
  <r>
    <x v="4"/>
    <s v="Company W"/>
    <s v="Tablet"/>
    <s v="250 mg"/>
    <n v="30"/>
    <n v="961"/>
    <n v="17111"/>
    <d v="2024-01-02T00:00:00"/>
    <x v="3"/>
    <x v="856"/>
    <x v="0"/>
    <x v="7"/>
    <x v="0"/>
    <s v="Low"/>
    <n v="1.1000000000000001"/>
    <n v="18822.100000000002"/>
    <n v="0.90909090909090895"/>
    <x v="0"/>
  </r>
  <r>
    <x v="1"/>
    <s v="Company W"/>
    <s v="Tablet"/>
    <s v="250 mg"/>
    <s v="100 ml"/>
    <n v="523"/>
    <n v="39012"/>
    <d v="2024-02-29T00:00:00"/>
    <x v="1"/>
    <x v="857"/>
    <x v="3"/>
    <x v="0"/>
    <x v="0"/>
    <s v="Medium"/>
    <n v="0.9"/>
    <n v="35110.800000000003"/>
    <n v="1.1111111111111109"/>
    <x v="1"/>
  </r>
  <r>
    <x v="2"/>
    <s v="Company W"/>
    <s v="Cream"/>
    <s v="100 mg/ml"/>
    <s v="100 ml"/>
    <n v="124"/>
    <n v="17741"/>
    <d v="2023-11-01T00:00:00"/>
    <x v="4"/>
    <x v="858"/>
    <x v="1"/>
    <x v="5"/>
    <x v="3"/>
    <s v="Low"/>
    <n v="1.2"/>
    <n v="21289.200000000001"/>
    <n v="0.83333333333333326"/>
    <x v="0"/>
  </r>
  <r>
    <x v="0"/>
    <s v="Company Z"/>
    <s v="Injection"/>
    <s v="50 mg"/>
    <s v="100 ml"/>
    <n v="1579"/>
    <n v="29112"/>
    <d v="2023-10-10T00:00:00"/>
    <x v="2"/>
    <x v="859"/>
    <x v="3"/>
    <x v="10"/>
    <x v="3"/>
    <s v="Medium"/>
    <n v="0.95"/>
    <n v="27656.399999999998"/>
    <n v="1.0526315789473686"/>
    <x v="1"/>
  </r>
  <r>
    <x v="4"/>
    <s v="Company V"/>
    <s v="Injection"/>
    <s v="10 mg"/>
    <n v="30"/>
    <n v="465"/>
    <n v="47839"/>
    <d v="2024-03-10T00:00:00"/>
    <x v="3"/>
    <x v="860"/>
    <x v="2"/>
    <x v="8"/>
    <x v="0"/>
    <s v="High"/>
    <n v="1.1000000000000001"/>
    <n v="52622.9"/>
    <n v="0.90909090909090906"/>
    <x v="0"/>
  </r>
  <r>
    <x v="0"/>
    <s v="Company V"/>
    <s v="Tablet"/>
    <s v="500 mg"/>
    <s v="50 g"/>
    <n v="106"/>
    <n v="16139"/>
    <d v="2024-04-30T00:00:00"/>
    <x v="3"/>
    <x v="861"/>
    <x v="0"/>
    <x v="11"/>
    <x v="2"/>
    <s v="Low"/>
    <n v="1.1000000000000001"/>
    <n v="17752.900000000001"/>
    <n v="0.90909090909090906"/>
    <x v="0"/>
  </r>
  <r>
    <x v="4"/>
    <s v="Company W"/>
    <s v="Cream"/>
    <s v="10 mg"/>
    <s v="100 ml"/>
    <n v="129"/>
    <n v="33103"/>
    <d v="2023-12-12T00:00:00"/>
    <x v="2"/>
    <x v="862"/>
    <x v="2"/>
    <x v="4"/>
    <x v="3"/>
    <s v="Medium"/>
    <n v="0.95"/>
    <n v="31447.85"/>
    <n v="1.0526315789473684"/>
    <x v="1"/>
  </r>
  <r>
    <x v="2"/>
    <s v="Company V"/>
    <s v="Injection"/>
    <s v="100 mg/ml"/>
    <n v="30"/>
    <n v="179"/>
    <n v="44121"/>
    <d v="2023-09-07T00:00:00"/>
    <x v="2"/>
    <x v="863"/>
    <x v="1"/>
    <x v="9"/>
    <x v="1"/>
    <s v="High"/>
    <n v="0.95"/>
    <n v="41914.949999999997"/>
    <n v="1.0526315789473686"/>
    <x v="1"/>
  </r>
  <r>
    <x v="3"/>
    <s v="Company X"/>
    <s v="Capsule"/>
    <s v="500 mg"/>
    <n v="30"/>
    <n v="509"/>
    <n v="10346"/>
    <d v="2024-03-18T00:00:00"/>
    <x v="1"/>
    <x v="864"/>
    <x v="2"/>
    <x v="8"/>
    <x v="0"/>
    <s v="Low"/>
    <n v="0.9"/>
    <n v="9311.4"/>
    <n v="1.1111111111111112"/>
    <x v="1"/>
  </r>
  <r>
    <x v="3"/>
    <s v="Company Y"/>
    <s v="Injection"/>
    <s v="10 mg"/>
    <n v="60"/>
    <n v="1543"/>
    <n v="28043"/>
    <d v="2024-03-16T00:00:00"/>
    <x v="0"/>
    <x v="865"/>
    <x v="4"/>
    <x v="8"/>
    <x v="0"/>
    <s v="Medium"/>
    <n v="1.1000000000000001"/>
    <n v="30847.300000000003"/>
    <n v="0.90909090909090895"/>
    <x v="0"/>
  </r>
  <r>
    <x v="2"/>
    <s v="Company V"/>
    <s v="Cream"/>
    <s v="250 mg"/>
    <s v="100 ml"/>
    <n v="517"/>
    <n v="39197"/>
    <d v="2024-01-03T00:00:00"/>
    <x v="0"/>
    <x v="866"/>
    <x v="1"/>
    <x v="7"/>
    <x v="0"/>
    <s v="Medium"/>
    <n v="1.1000000000000001"/>
    <n v="43116.700000000004"/>
    <n v="0.90909090909090895"/>
    <x v="0"/>
  </r>
  <r>
    <x v="1"/>
    <s v="Company X"/>
    <s v="Syrup"/>
    <s v="50 mg"/>
    <n v="60"/>
    <n v="938"/>
    <n v="27950"/>
    <d v="2024-01-13T00:00:00"/>
    <x v="2"/>
    <x v="867"/>
    <x v="0"/>
    <x v="7"/>
    <x v="0"/>
    <s v="Medium"/>
    <n v="0.95"/>
    <n v="26552.5"/>
    <n v="1.0526315789473684"/>
    <x v="1"/>
  </r>
  <r>
    <x v="0"/>
    <s v="Company Z"/>
    <s v="Tablet"/>
    <s v="50 mg"/>
    <n v="60"/>
    <n v="1468"/>
    <n v="33405"/>
    <d v="2024-05-07T00:00:00"/>
    <x v="3"/>
    <x v="868"/>
    <x v="2"/>
    <x v="6"/>
    <x v="2"/>
    <s v="Medium"/>
    <n v="1.1000000000000001"/>
    <n v="36745.5"/>
    <n v="0.90909090909090906"/>
    <x v="0"/>
  </r>
  <r>
    <x v="1"/>
    <s v="Company Z"/>
    <s v="Tablet"/>
    <s v="100 mg/ml"/>
    <s v="100 ml"/>
    <n v="1397"/>
    <n v="14728"/>
    <d v="2024-02-28T00:00:00"/>
    <x v="1"/>
    <x v="869"/>
    <x v="3"/>
    <x v="0"/>
    <x v="0"/>
    <s v="Low"/>
    <n v="0.9"/>
    <n v="13255.2"/>
    <n v="1.1111111111111112"/>
    <x v="1"/>
  </r>
  <r>
    <x v="4"/>
    <s v="Company W"/>
    <s v="Cream"/>
    <s v="250 mg"/>
    <s v="10 ml"/>
    <n v="230"/>
    <n v="44042"/>
    <d v="2024-01-02T00:00:00"/>
    <x v="4"/>
    <x v="870"/>
    <x v="3"/>
    <x v="7"/>
    <x v="0"/>
    <s v="High"/>
    <n v="1.2"/>
    <n v="52850.400000000001"/>
    <n v="0.83333333333333326"/>
    <x v="0"/>
  </r>
  <r>
    <x v="4"/>
    <s v="Company W"/>
    <s v="Tablet"/>
    <s v="100 mg/ml"/>
    <n v="60"/>
    <n v="498"/>
    <n v="26954"/>
    <d v="2023-08-27T00:00:00"/>
    <x v="4"/>
    <x v="871"/>
    <x v="3"/>
    <x v="1"/>
    <x v="1"/>
    <s v="Medium"/>
    <n v="1.2"/>
    <n v="32344.799999999999"/>
    <n v="0.83333333333333337"/>
    <x v="0"/>
  </r>
  <r>
    <x v="2"/>
    <s v="Company Z"/>
    <s v="Cream"/>
    <s v="50 mg"/>
    <s v="100 ml"/>
    <n v="1501"/>
    <n v="49128"/>
    <d v="2023-10-31T00:00:00"/>
    <x v="0"/>
    <x v="872"/>
    <x v="4"/>
    <x v="10"/>
    <x v="3"/>
    <s v="High"/>
    <n v="1.1000000000000001"/>
    <n v="54040.800000000003"/>
    <n v="0.90909090909090906"/>
    <x v="0"/>
  </r>
  <r>
    <x v="0"/>
    <s v="Company X"/>
    <s v="Syrup"/>
    <s v="50 mg"/>
    <n v="30"/>
    <n v="190"/>
    <n v="40850"/>
    <d v="2024-01-09T00:00:00"/>
    <x v="2"/>
    <x v="873"/>
    <x v="4"/>
    <x v="7"/>
    <x v="0"/>
    <s v="High"/>
    <n v="0.95"/>
    <n v="38807.5"/>
    <n v="1.0526315789473684"/>
    <x v="1"/>
  </r>
  <r>
    <x v="1"/>
    <s v="Company Y"/>
    <s v="Injection"/>
    <s v="10 mg"/>
    <n v="30"/>
    <n v="1984"/>
    <n v="49839"/>
    <d v="2023-12-03T00:00:00"/>
    <x v="3"/>
    <x v="874"/>
    <x v="0"/>
    <x v="4"/>
    <x v="3"/>
    <s v="High"/>
    <n v="1.1000000000000001"/>
    <n v="54822.9"/>
    <n v="0.90909090909090906"/>
    <x v="0"/>
  </r>
  <r>
    <x v="4"/>
    <s v="Company Y"/>
    <s v="Capsule"/>
    <s v="500 mg"/>
    <s v="50 g"/>
    <n v="1919"/>
    <n v="29695"/>
    <d v="2024-01-14T00:00:00"/>
    <x v="0"/>
    <x v="875"/>
    <x v="3"/>
    <x v="7"/>
    <x v="0"/>
    <s v="Medium"/>
    <n v="1.1000000000000001"/>
    <n v="32664.500000000004"/>
    <n v="0.90909090909090895"/>
    <x v="0"/>
  </r>
  <r>
    <x v="0"/>
    <s v="Company Z"/>
    <s v="Capsule"/>
    <s v="500 mg"/>
    <s v="10 ml"/>
    <n v="655"/>
    <n v="8141"/>
    <d v="2024-06-15T00:00:00"/>
    <x v="2"/>
    <x v="876"/>
    <x v="2"/>
    <x v="2"/>
    <x v="2"/>
    <s v="Low"/>
    <n v="0.95"/>
    <n v="7733.95"/>
    <n v="1.0526315789473684"/>
    <x v="1"/>
  </r>
  <r>
    <x v="4"/>
    <s v="Company W"/>
    <s v="Cream"/>
    <s v="100 mg/ml"/>
    <n v="30"/>
    <n v="935"/>
    <n v="46285"/>
    <d v="2023-09-21T00:00:00"/>
    <x v="2"/>
    <x v="877"/>
    <x v="4"/>
    <x v="9"/>
    <x v="1"/>
    <s v="High"/>
    <n v="0.95"/>
    <n v="43970.75"/>
    <n v="1.0526315789473684"/>
    <x v="1"/>
  </r>
  <r>
    <x v="1"/>
    <s v="Company W"/>
    <s v="Cream"/>
    <s v="50 mg"/>
    <n v="30"/>
    <n v="1565"/>
    <n v="13345"/>
    <d v="2024-01-10T00:00:00"/>
    <x v="1"/>
    <x v="878"/>
    <x v="3"/>
    <x v="7"/>
    <x v="0"/>
    <s v="Low"/>
    <n v="0.9"/>
    <n v="12010.5"/>
    <n v="1.1111111111111112"/>
    <x v="1"/>
  </r>
  <r>
    <x v="0"/>
    <s v="Company Y"/>
    <s v="Tablet"/>
    <s v="100 mg/ml"/>
    <s v="50 g"/>
    <n v="769"/>
    <n v="24713"/>
    <d v="2023-08-27T00:00:00"/>
    <x v="3"/>
    <x v="879"/>
    <x v="4"/>
    <x v="1"/>
    <x v="1"/>
    <s v="Medium"/>
    <n v="1.1000000000000001"/>
    <n v="27184.300000000003"/>
    <n v="0.90909090909090895"/>
    <x v="0"/>
  </r>
  <r>
    <x v="1"/>
    <s v="Company V"/>
    <s v="Capsule"/>
    <s v="250 mg"/>
    <s v="10 ml"/>
    <n v="1624"/>
    <n v="13764"/>
    <d v="2023-09-11T00:00:00"/>
    <x v="1"/>
    <x v="880"/>
    <x v="4"/>
    <x v="9"/>
    <x v="1"/>
    <s v="Low"/>
    <n v="0.9"/>
    <n v="12387.6"/>
    <n v="1.1111111111111112"/>
    <x v="1"/>
  </r>
  <r>
    <x v="3"/>
    <s v="Company W"/>
    <s v="Syrup"/>
    <s v="50 mg"/>
    <n v="60"/>
    <n v="676"/>
    <n v="35872"/>
    <d v="2024-05-29T00:00:00"/>
    <x v="3"/>
    <x v="881"/>
    <x v="3"/>
    <x v="6"/>
    <x v="2"/>
    <s v="Medium"/>
    <n v="1.1000000000000001"/>
    <n v="39459.200000000004"/>
    <n v="0.90909090909090895"/>
    <x v="0"/>
  </r>
  <r>
    <x v="3"/>
    <s v="Company Y"/>
    <s v="Syrup"/>
    <s v="50 mg"/>
    <s v="50 g"/>
    <n v="906"/>
    <n v="12431"/>
    <d v="2024-03-01T00:00:00"/>
    <x v="4"/>
    <x v="882"/>
    <x v="0"/>
    <x v="8"/>
    <x v="0"/>
    <s v="Low"/>
    <n v="1.2"/>
    <n v="14917.199999999999"/>
    <n v="0.83333333333333337"/>
    <x v="0"/>
  </r>
  <r>
    <x v="3"/>
    <s v="Company Y"/>
    <s v="Cream"/>
    <s v="50 mg"/>
    <s v="10 ml"/>
    <n v="1870"/>
    <n v="4688"/>
    <d v="2024-03-15T00:00:00"/>
    <x v="0"/>
    <x v="883"/>
    <x v="2"/>
    <x v="8"/>
    <x v="0"/>
    <s v="Low"/>
    <n v="1.1000000000000001"/>
    <n v="5156.8"/>
    <n v="0.90909090909090906"/>
    <x v="0"/>
  </r>
  <r>
    <x v="3"/>
    <s v="Company W"/>
    <s v="Capsule"/>
    <s v="100 mg/ml"/>
    <s v="50 g"/>
    <n v="1810"/>
    <n v="27443"/>
    <d v="2023-08-13T00:00:00"/>
    <x v="3"/>
    <x v="884"/>
    <x v="2"/>
    <x v="1"/>
    <x v="1"/>
    <s v="Medium"/>
    <n v="1.1000000000000001"/>
    <n v="30187.300000000003"/>
    <n v="0.90909090909090895"/>
    <x v="0"/>
  </r>
  <r>
    <x v="0"/>
    <s v="Company X"/>
    <s v="Capsule"/>
    <s v="10 mg"/>
    <n v="60"/>
    <n v="427"/>
    <n v="8379"/>
    <d v="2024-04-14T00:00:00"/>
    <x v="4"/>
    <x v="885"/>
    <x v="0"/>
    <x v="11"/>
    <x v="2"/>
    <s v="Low"/>
    <n v="1.2"/>
    <n v="10054.799999999999"/>
    <n v="0.83333333333333337"/>
    <x v="0"/>
  </r>
  <r>
    <x v="4"/>
    <s v="Company X"/>
    <s v="Injection"/>
    <s v="50 mg"/>
    <s v="100 ml"/>
    <n v="1340"/>
    <n v="32355"/>
    <d v="2024-02-21T00:00:00"/>
    <x v="4"/>
    <x v="886"/>
    <x v="2"/>
    <x v="0"/>
    <x v="0"/>
    <s v="Medium"/>
    <n v="1.2"/>
    <n v="38826"/>
    <n v="0.83333333333333337"/>
    <x v="0"/>
  </r>
  <r>
    <x v="2"/>
    <s v="Company V"/>
    <s v="Cream"/>
    <s v="50 mg"/>
    <n v="60"/>
    <n v="1084"/>
    <n v="40033"/>
    <d v="2023-12-19T00:00:00"/>
    <x v="4"/>
    <x v="887"/>
    <x v="0"/>
    <x v="4"/>
    <x v="3"/>
    <s v="High"/>
    <n v="1.2"/>
    <n v="48039.6"/>
    <n v="0.83333333333333337"/>
    <x v="0"/>
  </r>
  <r>
    <x v="2"/>
    <s v="Company W"/>
    <s v="Capsule"/>
    <s v="500 mg"/>
    <n v="60"/>
    <n v="1441"/>
    <n v="5001"/>
    <d v="2024-02-16T00:00:00"/>
    <x v="1"/>
    <x v="888"/>
    <x v="3"/>
    <x v="0"/>
    <x v="0"/>
    <s v="Low"/>
    <n v="0.9"/>
    <n v="4500.9000000000005"/>
    <n v="1.1111111111111109"/>
    <x v="1"/>
  </r>
  <r>
    <x v="1"/>
    <s v="Company X"/>
    <s v="Cream"/>
    <s v="500 mg"/>
    <s v="100 ml"/>
    <n v="1440"/>
    <n v="35398"/>
    <d v="2024-07-28T00:00:00"/>
    <x v="0"/>
    <x v="889"/>
    <x v="2"/>
    <x v="3"/>
    <x v="1"/>
    <s v="Medium"/>
    <n v="1.1000000000000001"/>
    <n v="38937.800000000003"/>
    <n v="0.90909090909090906"/>
    <x v="0"/>
  </r>
  <r>
    <x v="3"/>
    <s v="Company Z"/>
    <s v="Syrup"/>
    <s v="100 mg/ml"/>
    <s v="100 ml"/>
    <n v="891"/>
    <n v="27927"/>
    <d v="2023-10-12T00:00:00"/>
    <x v="4"/>
    <x v="890"/>
    <x v="0"/>
    <x v="10"/>
    <x v="3"/>
    <s v="Medium"/>
    <n v="1.2"/>
    <n v="33512.400000000001"/>
    <n v="0.83333333333333326"/>
    <x v="0"/>
  </r>
  <r>
    <x v="3"/>
    <s v="Company X"/>
    <s v="Cream"/>
    <s v="100 mg/ml"/>
    <n v="30"/>
    <n v="1718"/>
    <n v="27940"/>
    <d v="2023-09-06T00:00:00"/>
    <x v="1"/>
    <x v="891"/>
    <x v="0"/>
    <x v="9"/>
    <x v="1"/>
    <s v="Medium"/>
    <n v="0.9"/>
    <n v="25146"/>
    <n v="1.1111111111111112"/>
    <x v="1"/>
  </r>
  <r>
    <x v="4"/>
    <s v="Company X"/>
    <s v="Cream"/>
    <s v="50 mg"/>
    <s v="50 g"/>
    <n v="1367"/>
    <n v="45734"/>
    <d v="2024-01-16T00:00:00"/>
    <x v="0"/>
    <x v="892"/>
    <x v="2"/>
    <x v="7"/>
    <x v="0"/>
    <s v="High"/>
    <n v="1.1000000000000001"/>
    <n v="50307.4"/>
    <n v="0.90909090909090906"/>
    <x v="0"/>
  </r>
  <r>
    <x v="3"/>
    <s v="Company Y"/>
    <s v="Injection"/>
    <s v="100 mg/ml"/>
    <s v="100 ml"/>
    <n v="1899"/>
    <n v="19924"/>
    <d v="2023-09-17T00:00:00"/>
    <x v="2"/>
    <x v="893"/>
    <x v="0"/>
    <x v="9"/>
    <x v="1"/>
    <s v="Low"/>
    <n v="0.95"/>
    <n v="18927.8"/>
    <n v="1.0526315789473684"/>
    <x v="1"/>
  </r>
  <r>
    <x v="1"/>
    <s v="Company Y"/>
    <s v="Tablet"/>
    <s v="500 mg"/>
    <s v="100 ml"/>
    <n v="824"/>
    <n v="49294"/>
    <d v="2023-12-23T00:00:00"/>
    <x v="4"/>
    <x v="894"/>
    <x v="0"/>
    <x v="4"/>
    <x v="3"/>
    <s v="High"/>
    <n v="1.2"/>
    <n v="59152.799999999996"/>
    <n v="0.83333333333333337"/>
    <x v="0"/>
  </r>
  <r>
    <x v="3"/>
    <s v="Company W"/>
    <s v="Cream"/>
    <s v="250 mg"/>
    <s v="100 ml"/>
    <n v="1964"/>
    <n v="33741"/>
    <d v="2024-07-21T00:00:00"/>
    <x v="4"/>
    <x v="895"/>
    <x v="3"/>
    <x v="3"/>
    <x v="1"/>
    <s v="Medium"/>
    <n v="1.2"/>
    <n v="40489.199999999997"/>
    <n v="0.83333333333333337"/>
    <x v="0"/>
  </r>
  <r>
    <x v="0"/>
    <s v="Company W"/>
    <s v="Tablet"/>
    <s v="50 mg"/>
    <s v="50 g"/>
    <n v="1091"/>
    <n v="46316"/>
    <d v="2024-04-21T00:00:00"/>
    <x v="2"/>
    <x v="896"/>
    <x v="0"/>
    <x v="11"/>
    <x v="2"/>
    <s v="High"/>
    <n v="0.95"/>
    <n v="44000.2"/>
    <n v="1.0526315789473686"/>
    <x v="1"/>
  </r>
  <r>
    <x v="3"/>
    <s v="Company Z"/>
    <s v="Tablet"/>
    <s v="100 mg/ml"/>
    <s v="10 ml"/>
    <n v="247"/>
    <n v="35441"/>
    <d v="2023-10-07T00:00:00"/>
    <x v="0"/>
    <x v="897"/>
    <x v="3"/>
    <x v="10"/>
    <x v="3"/>
    <s v="Medium"/>
    <n v="1.1000000000000001"/>
    <n v="38985.100000000006"/>
    <n v="0.90909090909090895"/>
    <x v="0"/>
  </r>
  <r>
    <x v="4"/>
    <s v="Company V"/>
    <s v="Capsule"/>
    <s v="100 mg/ml"/>
    <n v="60"/>
    <n v="1598"/>
    <n v="4074"/>
    <d v="2023-08-18T00:00:00"/>
    <x v="3"/>
    <x v="898"/>
    <x v="1"/>
    <x v="1"/>
    <x v="1"/>
    <s v="Low"/>
    <n v="1.1000000000000001"/>
    <n v="4481.4000000000005"/>
    <n v="0.90909090909090895"/>
    <x v="0"/>
  </r>
  <r>
    <x v="3"/>
    <s v="Company X"/>
    <s v="Capsule"/>
    <s v="50 mg"/>
    <s v="50 g"/>
    <n v="679"/>
    <n v="22164"/>
    <d v="2023-11-12T00:00:00"/>
    <x v="1"/>
    <x v="899"/>
    <x v="2"/>
    <x v="5"/>
    <x v="3"/>
    <s v="Medium"/>
    <n v="0.9"/>
    <n v="19947.600000000002"/>
    <n v="1.1111111111111109"/>
    <x v="1"/>
  </r>
  <r>
    <x v="1"/>
    <s v="Company V"/>
    <s v="Injection"/>
    <s v="250 mg"/>
    <n v="30"/>
    <n v="1521"/>
    <n v="35865"/>
    <d v="2024-02-22T00:00:00"/>
    <x v="3"/>
    <x v="900"/>
    <x v="0"/>
    <x v="0"/>
    <x v="0"/>
    <s v="Medium"/>
    <n v="1.1000000000000001"/>
    <n v="39451.5"/>
    <n v="0.90909090909090906"/>
    <x v="0"/>
  </r>
  <r>
    <x v="2"/>
    <s v="Company W"/>
    <s v="Tablet"/>
    <s v="250 mg"/>
    <n v="60"/>
    <n v="347"/>
    <n v="25965"/>
    <d v="2024-05-10T00:00:00"/>
    <x v="1"/>
    <x v="901"/>
    <x v="0"/>
    <x v="6"/>
    <x v="2"/>
    <s v="Medium"/>
    <n v="0.9"/>
    <n v="23368.5"/>
    <n v="1.1111111111111112"/>
    <x v="1"/>
  </r>
  <r>
    <x v="3"/>
    <s v="Company Y"/>
    <s v="Injection"/>
    <s v="10 mg"/>
    <s v="100 ml"/>
    <n v="740"/>
    <n v="37678"/>
    <d v="2024-06-30T00:00:00"/>
    <x v="2"/>
    <x v="902"/>
    <x v="0"/>
    <x v="2"/>
    <x v="2"/>
    <s v="Medium"/>
    <n v="0.95"/>
    <n v="35794.1"/>
    <n v="1.0526315789473684"/>
    <x v="1"/>
  </r>
  <r>
    <x v="0"/>
    <s v="Company V"/>
    <s v="Tablet"/>
    <s v="100 mg/ml"/>
    <n v="60"/>
    <n v="872"/>
    <n v="10189"/>
    <d v="2024-03-11T00:00:00"/>
    <x v="2"/>
    <x v="903"/>
    <x v="3"/>
    <x v="8"/>
    <x v="0"/>
    <s v="Low"/>
    <n v="0.95"/>
    <n v="9679.5499999999993"/>
    <n v="1.0526315789473686"/>
    <x v="1"/>
  </r>
  <r>
    <x v="1"/>
    <s v="Company Y"/>
    <s v="Cream"/>
    <s v="10 mg"/>
    <s v="10 ml"/>
    <n v="449"/>
    <n v="18843"/>
    <d v="2024-04-24T00:00:00"/>
    <x v="0"/>
    <x v="904"/>
    <x v="2"/>
    <x v="11"/>
    <x v="2"/>
    <s v="Low"/>
    <n v="1.1000000000000001"/>
    <n v="20727.300000000003"/>
    <n v="0.90909090909090895"/>
    <x v="0"/>
  </r>
  <r>
    <x v="0"/>
    <s v="Company Z"/>
    <s v="Syrup"/>
    <s v="500 mg"/>
    <s v="100 ml"/>
    <n v="1835"/>
    <n v="37032"/>
    <d v="2024-06-25T00:00:00"/>
    <x v="0"/>
    <x v="905"/>
    <x v="0"/>
    <x v="2"/>
    <x v="2"/>
    <s v="Medium"/>
    <n v="1.1000000000000001"/>
    <n v="40735.200000000004"/>
    <n v="0.90909090909090895"/>
    <x v="0"/>
  </r>
  <r>
    <x v="0"/>
    <s v="Company Y"/>
    <s v="Cream"/>
    <s v="10 mg"/>
    <n v="30"/>
    <n v="413"/>
    <n v="38333"/>
    <d v="2024-06-13T00:00:00"/>
    <x v="3"/>
    <x v="906"/>
    <x v="0"/>
    <x v="2"/>
    <x v="2"/>
    <s v="Medium"/>
    <n v="1.1000000000000001"/>
    <n v="42166.3"/>
    <n v="0.90909090909090906"/>
    <x v="0"/>
  </r>
  <r>
    <x v="4"/>
    <s v="Company V"/>
    <s v="Syrup"/>
    <s v="500 mg"/>
    <n v="30"/>
    <n v="913"/>
    <n v="42870"/>
    <d v="2023-09-17T00:00:00"/>
    <x v="4"/>
    <x v="907"/>
    <x v="0"/>
    <x v="9"/>
    <x v="1"/>
    <s v="High"/>
    <n v="1.2"/>
    <n v="51444"/>
    <n v="0.83333333333333337"/>
    <x v="0"/>
  </r>
  <r>
    <x v="2"/>
    <s v="Company Z"/>
    <s v="Cream"/>
    <s v="250 mg"/>
    <s v="100 ml"/>
    <n v="1075"/>
    <n v="45857"/>
    <d v="2024-03-04T00:00:00"/>
    <x v="2"/>
    <x v="908"/>
    <x v="4"/>
    <x v="8"/>
    <x v="0"/>
    <s v="High"/>
    <n v="0.95"/>
    <n v="43564.15"/>
    <n v="1.0526315789473684"/>
    <x v="1"/>
  </r>
  <r>
    <x v="4"/>
    <s v="Company X"/>
    <s v="Syrup"/>
    <s v="10 mg"/>
    <n v="30"/>
    <n v="1600"/>
    <n v="21517"/>
    <d v="2024-06-22T00:00:00"/>
    <x v="0"/>
    <x v="909"/>
    <x v="1"/>
    <x v="2"/>
    <x v="2"/>
    <s v="Medium"/>
    <n v="1.1000000000000001"/>
    <n v="23668.7"/>
    <n v="0.90909090909090906"/>
    <x v="0"/>
  </r>
  <r>
    <x v="0"/>
    <s v="Company W"/>
    <s v="Injection"/>
    <s v="250 mg"/>
    <s v="10 ml"/>
    <n v="576"/>
    <n v="40961"/>
    <d v="2023-12-19T00:00:00"/>
    <x v="2"/>
    <x v="910"/>
    <x v="4"/>
    <x v="4"/>
    <x v="3"/>
    <s v="High"/>
    <n v="0.95"/>
    <n v="38912.949999999997"/>
    <n v="1.0526315789473686"/>
    <x v="1"/>
  </r>
  <r>
    <x v="3"/>
    <s v="Company V"/>
    <s v="Syrup"/>
    <s v="100 mg/ml"/>
    <n v="30"/>
    <n v="1265"/>
    <n v="32484"/>
    <d v="2023-12-13T00:00:00"/>
    <x v="1"/>
    <x v="911"/>
    <x v="2"/>
    <x v="4"/>
    <x v="3"/>
    <s v="Medium"/>
    <n v="0.9"/>
    <n v="29235.600000000002"/>
    <n v="1.1111111111111109"/>
    <x v="1"/>
  </r>
  <r>
    <x v="3"/>
    <s v="Company V"/>
    <s v="Cream"/>
    <s v="100 mg/ml"/>
    <s v="10 ml"/>
    <n v="529"/>
    <n v="6114"/>
    <d v="2024-06-30T00:00:00"/>
    <x v="1"/>
    <x v="912"/>
    <x v="2"/>
    <x v="2"/>
    <x v="2"/>
    <s v="Low"/>
    <n v="0.9"/>
    <n v="5502.6"/>
    <n v="1.1111111111111109"/>
    <x v="1"/>
  </r>
  <r>
    <x v="3"/>
    <s v="Company V"/>
    <s v="Syrup"/>
    <s v="500 mg"/>
    <s v="100 ml"/>
    <n v="424"/>
    <n v="36660"/>
    <d v="2023-11-15T00:00:00"/>
    <x v="4"/>
    <x v="913"/>
    <x v="2"/>
    <x v="5"/>
    <x v="3"/>
    <s v="Medium"/>
    <n v="1.2"/>
    <n v="43992"/>
    <n v="0.83333333333333337"/>
    <x v="0"/>
  </r>
  <r>
    <x v="3"/>
    <s v="Company Z"/>
    <s v="Injection"/>
    <s v="50 mg"/>
    <n v="60"/>
    <n v="1902"/>
    <n v="4193"/>
    <d v="2024-02-18T00:00:00"/>
    <x v="2"/>
    <x v="914"/>
    <x v="3"/>
    <x v="0"/>
    <x v="0"/>
    <s v="Low"/>
    <n v="0.95"/>
    <n v="3983.35"/>
    <n v="1.0526315789473684"/>
    <x v="1"/>
  </r>
  <r>
    <x v="3"/>
    <s v="Company W"/>
    <s v="Injection"/>
    <s v="100 mg/ml"/>
    <n v="60"/>
    <n v="1560"/>
    <n v="33167"/>
    <d v="2024-01-05T00:00:00"/>
    <x v="2"/>
    <x v="915"/>
    <x v="2"/>
    <x v="7"/>
    <x v="0"/>
    <s v="Medium"/>
    <n v="0.95"/>
    <n v="31508.649999999998"/>
    <n v="1.0526315789473686"/>
    <x v="1"/>
  </r>
  <r>
    <x v="1"/>
    <s v="Company Z"/>
    <s v="Capsule"/>
    <s v="10 mg"/>
    <n v="60"/>
    <n v="375"/>
    <n v="13847"/>
    <d v="2023-09-11T00:00:00"/>
    <x v="0"/>
    <x v="916"/>
    <x v="0"/>
    <x v="9"/>
    <x v="1"/>
    <s v="Low"/>
    <n v="1.1000000000000001"/>
    <n v="15231.7"/>
    <n v="0.90909090909090906"/>
    <x v="0"/>
  </r>
  <r>
    <x v="2"/>
    <s v="Company X"/>
    <s v="Cream"/>
    <s v="10 mg"/>
    <s v="10 ml"/>
    <n v="1663"/>
    <n v="47873"/>
    <d v="2024-04-12T00:00:00"/>
    <x v="4"/>
    <x v="917"/>
    <x v="0"/>
    <x v="11"/>
    <x v="2"/>
    <s v="High"/>
    <n v="1.2"/>
    <n v="57447.6"/>
    <n v="0.83333333333333337"/>
    <x v="0"/>
  </r>
  <r>
    <x v="4"/>
    <s v="Company W"/>
    <s v="Cream"/>
    <s v="100 mg/ml"/>
    <s v="100 ml"/>
    <n v="997"/>
    <n v="34888"/>
    <d v="2024-04-24T00:00:00"/>
    <x v="3"/>
    <x v="918"/>
    <x v="3"/>
    <x v="11"/>
    <x v="2"/>
    <s v="Medium"/>
    <n v="1.1000000000000001"/>
    <n v="38376.800000000003"/>
    <n v="0.90909090909090906"/>
    <x v="0"/>
  </r>
  <r>
    <x v="3"/>
    <s v="Company W"/>
    <s v="Tablet"/>
    <s v="10 mg"/>
    <n v="60"/>
    <n v="1718"/>
    <n v="35098"/>
    <d v="2023-11-09T00:00:00"/>
    <x v="0"/>
    <x v="919"/>
    <x v="2"/>
    <x v="5"/>
    <x v="3"/>
    <s v="Medium"/>
    <n v="1.1000000000000001"/>
    <n v="38607.800000000003"/>
    <n v="0.90909090909090906"/>
    <x v="0"/>
  </r>
  <r>
    <x v="1"/>
    <s v="Company Y"/>
    <s v="Injection"/>
    <s v="250 mg"/>
    <s v="10 ml"/>
    <n v="324"/>
    <n v="15547"/>
    <d v="2024-02-14T00:00:00"/>
    <x v="0"/>
    <x v="920"/>
    <x v="4"/>
    <x v="0"/>
    <x v="0"/>
    <s v="Low"/>
    <n v="1.1000000000000001"/>
    <n v="17101.7"/>
    <n v="0.90909090909090906"/>
    <x v="0"/>
  </r>
  <r>
    <x v="3"/>
    <s v="Company W"/>
    <s v="Tablet"/>
    <s v="500 mg"/>
    <n v="60"/>
    <n v="1929"/>
    <n v="15465"/>
    <d v="2024-07-18T00:00:00"/>
    <x v="2"/>
    <x v="921"/>
    <x v="0"/>
    <x v="3"/>
    <x v="1"/>
    <s v="Low"/>
    <n v="0.95"/>
    <n v="14691.75"/>
    <n v="1.0526315789473684"/>
    <x v="1"/>
  </r>
  <r>
    <x v="4"/>
    <s v="Company Z"/>
    <s v="Injection"/>
    <s v="100 mg/ml"/>
    <s v="10 ml"/>
    <n v="1206"/>
    <n v="44930"/>
    <d v="2024-02-04T00:00:00"/>
    <x v="1"/>
    <x v="922"/>
    <x v="3"/>
    <x v="0"/>
    <x v="0"/>
    <s v="High"/>
    <n v="0.9"/>
    <n v="40437"/>
    <n v="1.1111111111111112"/>
    <x v="1"/>
  </r>
  <r>
    <x v="4"/>
    <s v="Company X"/>
    <s v="Capsule"/>
    <s v="10 mg"/>
    <n v="60"/>
    <n v="1937"/>
    <n v="16796"/>
    <d v="2024-01-18T00:00:00"/>
    <x v="3"/>
    <x v="923"/>
    <x v="1"/>
    <x v="7"/>
    <x v="0"/>
    <s v="Low"/>
    <n v="1.1000000000000001"/>
    <n v="18475.600000000002"/>
    <n v="0.90909090909090895"/>
    <x v="0"/>
  </r>
  <r>
    <x v="4"/>
    <s v="Company Z"/>
    <s v="Cream"/>
    <s v="50 mg"/>
    <s v="100 ml"/>
    <n v="1705"/>
    <n v="9606"/>
    <d v="2023-11-30T00:00:00"/>
    <x v="2"/>
    <x v="924"/>
    <x v="4"/>
    <x v="5"/>
    <x v="3"/>
    <s v="Low"/>
    <n v="0.95"/>
    <n v="9125.6999999999989"/>
    <n v="1.0526315789473686"/>
    <x v="1"/>
  </r>
  <r>
    <x v="2"/>
    <s v="Company X"/>
    <s v="Cream"/>
    <s v="250 mg"/>
    <s v="100 ml"/>
    <n v="938"/>
    <n v="21278"/>
    <d v="2023-07-29T00:00:00"/>
    <x v="0"/>
    <x v="925"/>
    <x v="2"/>
    <x v="3"/>
    <x v="1"/>
    <s v="Medium"/>
    <n v="1.1000000000000001"/>
    <n v="23405.800000000003"/>
    <n v="0.90909090909090895"/>
    <x v="0"/>
  </r>
  <r>
    <x v="0"/>
    <s v="Company V"/>
    <s v="Tablet"/>
    <s v="50 mg"/>
    <s v="100 ml"/>
    <n v="1566"/>
    <n v="25494"/>
    <d v="2023-08-29T00:00:00"/>
    <x v="0"/>
    <x v="926"/>
    <x v="3"/>
    <x v="1"/>
    <x v="1"/>
    <s v="Medium"/>
    <n v="1.1000000000000001"/>
    <n v="28043.4"/>
    <n v="0.90909090909090906"/>
    <x v="0"/>
  </r>
  <r>
    <x v="4"/>
    <s v="Company X"/>
    <s v="Injection"/>
    <s v="50 mg"/>
    <n v="30"/>
    <n v="1644"/>
    <n v="23908"/>
    <d v="2023-12-26T00:00:00"/>
    <x v="0"/>
    <x v="927"/>
    <x v="4"/>
    <x v="4"/>
    <x v="3"/>
    <s v="Medium"/>
    <n v="1.1000000000000001"/>
    <n v="26298.800000000003"/>
    <n v="0.90909090909090895"/>
    <x v="0"/>
  </r>
  <r>
    <x v="0"/>
    <s v="Company V"/>
    <s v="Injection"/>
    <s v="10 mg"/>
    <n v="30"/>
    <n v="765"/>
    <n v="37749"/>
    <d v="2023-11-13T00:00:00"/>
    <x v="0"/>
    <x v="928"/>
    <x v="2"/>
    <x v="5"/>
    <x v="3"/>
    <s v="Medium"/>
    <n v="1.1000000000000001"/>
    <n v="41523.9"/>
    <n v="0.90909090909090906"/>
    <x v="0"/>
  </r>
  <r>
    <x v="4"/>
    <s v="Company Z"/>
    <s v="Syrup"/>
    <s v="100 mg/ml"/>
    <s v="50 g"/>
    <n v="946"/>
    <n v="40826"/>
    <d v="2024-01-05T00:00:00"/>
    <x v="0"/>
    <x v="929"/>
    <x v="0"/>
    <x v="7"/>
    <x v="0"/>
    <s v="High"/>
    <n v="1.1000000000000001"/>
    <n v="44908.600000000006"/>
    <n v="0.90909090909090895"/>
    <x v="0"/>
  </r>
  <r>
    <x v="4"/>
    <s v="Company V"/>
    <s v="Syrup"/>
    <s v="250 mg"/>
    <n v="60"/>
    <n v="399"/>
    <n v="2187"/>
    <d v="2024-03-15T00:00:00"/>
    <x v="2"/>
    <x v="930"/>
    <x v="0"/>
    <x v="8"/>
    <x v="0"/>
    <s v="Low"/>
    <n v="0.95"/>
    <n v="2077.65"/>
    <n v="1.0526315789473684"/>
    <x v="1"/>
  </r>
  <r>
    <x v="3"/>
    <s v="Company W"/>
    <s v="Cream"/>
    <s v="250 mg"/>
    <n v="60"/>
    <n v="1193"/>
    <n v="37828"/>
    <d v="2023-12-29T00:00:00"/>
    <x v="1"/>
    <x v="931"/>
    <x v="2"/>
    <x v="4"/>
    <x v="3"/>
    <s v="Medium"/>
    <n v="0.9"/>
    <n v="34045.200000000004"/>
    <n v="1.1111111111111109"/>
    <x v="1"/>
  </r>
  <r>
    <x v="4"/>
    <s v="Company Y"/>
    <s v="Capsule"/>
    <s v="10 mg"/>
    <s v="100 ml"/>
    <n v="187"/>
    <n v="42709"/>
    <d v="2024-04-05T00:00:00"/>
    <x v="4"/>
    <x v="932"/>
    <x v="1"/>
    <x v="11"/>
    <x v="2"/>
    <s v="High"/>
    <n v="1.2"/>
    <n v="51250.799999999996"/>
    <n v="0.83333333333333337"/>
    <x v="0"/>
  </r>
  <r>
    <x v="0"/>
    <s v="Company Y"/>
    <s v="Syrup"/>
    <s v="10 mg"/>
    <s v="10 ml"/>
    <n v="1360"/>
    <n v="35945"/>
    <d v="2023-09-08T00:00:00"/>
    <x v="1"/>
    <x v="933"/>
    <x v="2"/>
    <x v="9"/>
    <x v="1"/>
    <s v="Medium"/>
    <n v="0.9"/>
    <n v="32350.5"/>
    <n v="1.1111111111111112"/>
    <x v="1"/>
  </r>
  <r>
    <x v="0"/>
    <s v="Company W"/>
    <s v="Injection"/>
    <s v="250 mg"/>
    <n v="60"/>
    <n v="872"/>
    <n v="22950"/>
    <d v="2024-02-11T00:00:00"/>
    <x v="3"/>
    <x v="934"/>
    <x v="4"/>
    <x v="0"/>
    <x v="0"/>
    <s v="Medium"/>
    <n v="1.1000000000000001"/>
    <n v="25245.000000000004"/>
    <n v="0.90909090909090895"/>
    <x v="0"/>
  </r>
  <r>
    <x v="0"/>
    <s v="Company X"/>
    <s v="Tablet"/>
    <s v="50 mg"/>
    <s v="100 ml"/>
    <n v="537"/>
    <n v="44378"/>
    <d v="2023-09-21T00:00:00"/>
    <x v="1"/>
    <x v="935"/>
    <x v="3"/>
    <x v="9"/>
    <x v="1"/>
    <s v="High"/>
    <n v="0.9"/>
    <n v="39940.200000000004"/>
    <n v="1.1111111111111109"/>
    <x v="1"/>
  </r>
  <r>
    <x v="1"/>
    <s v="Company Y"/>
    <s v="Cream"/>
    <s v="100 mg/ml"/>
    <s v="50 g"/>
    <n v="696"/>
    <n v="49562"/>
    <d v="2024-02-20T00:00:00"/>
    <x v="0"/>
    <x v="936"/>
    <x v="3"/>
    <x v="0"/>
    <x v="0"/>
    <s v="High"/>
    <n v="1.1000000000000001"/>
    <n v="54518.200000000004"/>
    <n v="0.90909090909090906"/>
    <x v="0"/>
  </r>
  <r>
    <x v="3"/>
    <s v="Company Y"/>
    <s v="Cream"/>
    <s v="50 mg"/>
    <n v="60"/>
    <n v="357"/>
    <n v="35849"/>
    <d v="2024-05-06T00:00:00"/>
    <x v="4"/>
    <x v="937"/>
    <x v="3"/>
    <x v="6"/>
    <x v="2"/>
    <s v="Medium"/>
    <n v="1.2"/>
    <n v="43018.799999999996"/>
    <n v="0.83333333333333337"/>
    <x v="0"/>
  </r>
  <r>
    <x v="0"/>
    <s v="Company V"/>
    <s v="Syrup"/>
    <s v="250 mg"/>
    <s v="100 ml"/>
    <n v="1179"/>
    <n v="43406"/>
    <d v="2023-12-25T00:00:00"/>
    <x v="1"/>
    <x v="938"/>
    <x v="1"/>
    <x v="4"/>
    <x v="3"/>
    <s v="High"/>
    <n v="0.9"/>
    <n v="39065.4"/>
    <n v="1.1111111111111112"/>
    <x v="1"/>
  </r>
  <r>
    <x v="0"/>
    <s v="Company W"/>
    <s v="Capsule"/>
    <s v="100 mg/ml"/>
    <s v="10 ml"/>
    <n v="1352"/>
    <n v="41492"/>
    <d v="2024-03-22T00:00:00"/>
    <x v="0"/>
    <x v="939"/>
    <x v="1"/>
    <x v="8"/>
    <x v="0"/>
    <s v="High"/>
    <n v="1.1000000000000001"/>
    <n v="45641.200000000004"/>
    <n v="0.90909090909090895"/>
    <x v="0"/>
  </r>
  <r>
    <x v="0"/>
    <s v="Company Z"/>
    <s v="Tablet"/>
    <s v="250 mg"/>
    <s v="100 ml"/>
    <n v="1691"/>
    <n v="17378"/>
    <d v="2024-05-27T00:00:00"/>
    <x v="0"/>
    <x v="940"/>
    <x v="0"/>
    <x v="6"/>
    <x v="2"/>
    <s v="Low"/>
    <n v="1.1000000000000001"/>
    <n v="19115.800000000003"/>
    <n v="0.90909090909090895"/>
    <x v="0"/>
  </r>
  <r>
    <x v="1"/>
    <s v="Company W"/>
    <s v="Capsule"/>
    <s v="50 mg"/>
    <s v="10 ml"/>
    <n v="680"/>
    <n v="37383"/>
    <d v="2023-09-22T00:00:00"/>
    <x v="4"/>
    <x v="941"/>
    <x v="4"/>
    <x v="9"/>
    <x v="1"/>
    <s v="Medium"/>
    <n v="1.2"/>
    <n v="44859.6"/>
    <n v="0.83333333333333337"/>
    <x v="0"/>
  </r>
  <r>
    <x v="1"/>
    <s v="Company Y"/>
    <s v="Syrup"/>
    <s v="50 mg"/>
    <s v="50 g"/>
    <n v="971"/>
    <n v="22075"/>
    <d v="2023-11-18T00:00:00"/>
    <x v="3"/>
    <x v="942"/>
    <x v="2"/>
    <x v="5"/>
    <x v="3"/>
    <s v="Medium"/>
    <n v="1.1000000000000001"/>
    <n v="24282.500000000004"/>
    <n v="0.90909090909090895"/>
    <x v="0"/>
  </r>
  <r>
    <x v="1"/>
    <s v="Company Y"/>
    <s v="Tablet"/>
    <s v="50 mg"/>
    <s v="50 g"/>
    <n v="1321"/>
    <n v="26875"/>
    <d v="2024-04-28T00:00:00"/>
    <x v="0"/>
    <x v="943"/>
    <x v="0"/>
    <x v="11"/>
    <x v="2"/>
    <s v="Medium"/>
    <n v="1.1000000000000001"/>
    <n v="29562.500000000004"/>
    <n v="0.90909090909090895"/>
    <x v="0"/>
  </r>
  <r>
    <x v="4"/>
    <s v="Company Z"/>
    <s v="Capsule"/>
    <s v="500 mg"/>
    <s v="100 ml"/>
    <n v="1134"/>
    <n v="12807"/>
    <d v="2023-09-27T00:00:00"/>
    <x v="4"/>
    <x v="944"/>
    <x v="2"/>
    <x v="9"/>
    <x v="1"/>
    <s v="Low"/>
    <n v="1.2"/>
    <n v="15368.4"/>
    <n v="0.83333333333333337"/>
    <x v="0"/>
  </r>
  <r>
    <x v="0"/>
    <s v="Company W"/>
    <s v="Injection"/>
    <s v="500 mg"/>
    <s v="100 ml"/>
    <n v="163"/>
    <n v="36531"/>
    <d v="2024-04-13T00:00:00"/>
    <x v="4"/>
    <x v="945"/>
    <x v="3"/>
    <x v="11"/>
    <x v="2"/>
    <s v="Medium"/>
    <n v="1.2"/>
    <n v="43837.2"/>
    <n v="0.83333333333333337"/>
    <x v="0"/>
  </r>
  <r>
    <x v="2"/>
    <s v="Company V"/>
    <s v="Injection"/>
    <s v="250 mg"/>
    <s v="10 ml"/>
    <n v="641"/>
    <n v="19362"/>
    <d v="2023-08-24T00:00:00"/>
    <x v="2"/>
    <x v="946"/>
    <x v="2"/>
    <x v="1"/>
    <x v="1"/>
    <s v="Low"/>
    <n v="0.95"/>
    <n v="18393.899999999998"/>
    <n v="1.0526315789473686"/>
    <x v="1"/>
  </r>
  <r>
    <x v="2"/>
    <s v="Company X"/>
    <s v="Injection"/>
    <s v="100 mg/ml"/>
    <s v="100 ml"/>
    <n v="1114"/>
    <n v="46343"/>
    <d v="2024-02-29T00:00:00"/>
    <x v="4"/>
    <x v="947"/>
    <x v="1"/>
    <x v="0"/>
    <x v="0"/>
    <s v="High"/>
    <n v="1.2"/>
    <n v="55611.6"/>
    <n v="0.83333333333333337"/>
    <x v="0"/>
  </r>
  <r>
    <x v="3"/>
    <s v="Company X"/>
    <s v="Tablet"/>
    <s v="500 mg"/>
    <s v="100 ml"/>
    <n v="1128"/>
    <n v="25909"/>
    <d v="2023-08-23T00:00:00"/>
    <x v="4"/>
    <x v="948"/>
    <x v="0"/>
    <x v="1"/>
    <x v="1"/>
    <s v="Medium"/>
    <n v="1.2"/>
    <n v="31090.799999999999"/>
    <n v="0.83333333333333337"/>
    <x v="0"/>
  </r>
  <r>
    <x v="0"/>
    <s v="Company X"/>
    <s v="Syrup"/>
    <s v="100 mg/ml"/>
    <s v="100 ml"/>
    <n v="455"/>
    <n v="19258"/>
    <d v="2023-12-24T00:00:00"/>
    <x v="4"/>
    <x v="949"/>
    <x v="0"/>
    <x v="4"/>
    <x v="3"/>
    <s v="Low"/>
    <n v="1.2"/>
    <n v="23109.599999999999"/>
    <n v="0.83333333333333337"/>
    <x v="0"/>
  </r>
  <r>
    <x v="2"/>
    <s v="Company Z"/>
    <s v="Capsule"/>
    <s v="50 mg"/>
    <s v="10 ml"/>
    <n v="1660"/>
    <n v="1292"/>
    <d v="2023-12-25T00:00:00"/>
    <x v="4"/>
    <x v="950"/>
    <x v="0"/>
    <x v="4"/>
    <x v="3"/>
    <s v="Low"/>
    <n v="1.2"/>
    <n v="1550.3999999999999"/>
    <n v="0.83333333333333337"/>
    <x v="0"/>
  </r>
  <r>
    <x v="2"/>
    <s v="Company X"/>
    <s v="Tablet"/>
    <s v="100 mg/ml"/>
    <s v="50 g"/>
    <n v="582"/>
    <n v="6514"/>
    <d v="2024-06-06T00:00:00"/>
    <x v="0"/>
    <x v="951"/>
    <x v="4"/>
    <x v="2"/>
    <x v="2"/>
    <s v="Low"/>
    <n v="1.1000000000000001"/>
    <n v="7165.4000000000005"/>
    <n v="0.90909090909090906"/>
    <x v="0"/>
  </r>
  <r>
    <x v="3"/>
    <s v="Company W"/>
    <s v="Injection"/>
    <s v="100 mg/ml"/>
    <n v="60"/>
    <n v="716"/>
    <n v="7865"/>
    <d v="2023-10-13T00:00:00"/>
    <x v="4"/>
    <x v="952"/>
    <x v="1"/>
    <x v="10"/>
    <x v="3"/>
    <s v="Low"/>
    <n v="1.2"/>
    <n v="9438"/>
    <n v="0.83333333333333337"/>
    <x v="0"/>
  </r>
  <r>
    <x v="1"/>
    <s v="Company X"/>
    <s v="Syrup"/>
    <s v="500 mg"/>
    <s v="50 g"/>
    <n v="200"/>
    <n v="15045"/>
    <d v="2024-06-20T00:00:00"/>
    <x v="3"/>
    <x v="953"/>
    <x v="4"/>
    <x v="2"/>
    <x v="2"/>
    <s v="Low"/>
    <n v="1.1000000000000001"/>
    <n v="16549.5"/>
    <n v="0.90909090909090906"/>
    <x v="0"/>
  </r>
  <r>
    <x v="1"/>
    <s v="Company Y"/>
    <s v="Capsule"/>
    <s v="500 mg"/>
    <n v="30"/>
    <n v="151"/>
    <n v="13928"/>
    <d v="2024-01-15T00:00:00"/>
    <x v="3"/>
    <x v="954"/>
    <x v="2"/>
    <x v="7"/>
    <x v="0"/>
    <s v="Low"/>
    <n v="1.1000000000000001"/>
    <n v="15320.800000000001"/>
    <n v="0.90909090909090906"/>
    <x v="0"/>
  </r>
  <r>
    <x v="4"/>
    <s v="Company Z"/>
    <s v="Injection"/>
    <s v="500 mg"/>
    <n v="60"/>
    <n v="1084"/>
    <n v="10084"/>
    <d v="2023-10-26T00:00:00"/>
    <x v="4"/>
    <x v="955"/>
    <x v="3"/>
    <x v="10"/>
    <x v="3"/>
    <s v="Low"/>
    <n v="1.2"/>
    <n v="12100.8"/>
    <n v="0.83333333333333337"/>
    <x v="0"/>
  </r>
  <r>
    <x v="2"/>
    <s v="Company V"/>
    <s v="Injection"/>
    <s v="250 mg"/>
    <n v="60"/>
    <n v="369"/>
    <n v="27023"/>
    <d v="2024-07-05T00:00:00"/>
    <x v="0"/>
    <x v="956"/>
    <x v="0"/>
    <x v="3"/>
    <x v="1"/>
    <s v="Medium"/>
    <n v="1.1000000000000001"/>
    <n v="29725.300000000003"/>
    <n v="0.90909090909090895"/>
    <x v="0"/>
  </r>
  <r>
    <x v="2"/>
    <s v="Company Y"/>
    <s v="Tablet"/>
    <s v="500 mg"/>
    <n v="30"/>
    <n v="1689"/>
    <n v="42571"/>
    <d v="2023-09-02T00:00:00"/>
    <x v="4"/>
    <x v="957"/>
    <x v="3"/>
    <x v="9"/>
    <x v="1"/>
    <s v="High"/>
    <n v="1.2"/>
    <n v="51085.2"/>
    <n v="0.83333333333333337"/>
    <x v="0"/>
  </r>
  <r>
    <x v="4"/>
    <s v="Company Z"/>
    <s v="Capsule"/>
    <s v="250 mg"/>
    <n v="30"/>
    <n v="1435"/>
    <n v="33459"/>
    <d v="2023-11-13T00:00:00"/>
    <x v="4"/>
    <x v="958"/>
    <x v="1"/>
    <x v="5"/>
    <x v="3"/>
    <s v="Medium"/>
    <n v="1.2"/>
    <n v="40150.799999999996"/>
    <n v="0.83333333333333337"/>
    <x v="0"/>
  </r>
  <r>
    <x v="1"/>
    <s v="Company Z"/>
    <s v="Injection"/>
    <s v="50 mg"/>
    <s v="50 g"/>
    <n v="433"/>
    <n v="5852"/>
    <d v="2023-11-19T00:00:00"/>
    <x v="2"/>
    <x v="959"/>
    <x v="4"/>
    <x v="5"/>
    <x v="3"/>
    <s v="Low"/>
    <n v="0.95"/>
    <n v="5559.4"/>
    <n v="1.0526315789473686"/>
    <x v="1"/>
  </r>
  <r>
    <x v="3"/>
    <s v="Company Z"/>
    <s v="Cream"/>
    <s v="500 mg"/>
    <s v="50 g"/>
    <n v="425"/>
    <n v="30089"/>
    <d v="2024-02-25T00:00:00"/>
    <x v="0"/>
    <x v="960"/>
    <x v="2"/>
    <x v="0"/>
    <x v="0"/>
    <s v="Medium"/>
    <n v="1.1000000000000001"/>
    <n v="33097.9"/>
    <n v="0.90909090909090906"/>
    <x v="0"/>
  </r>
  <r>
    <x v="2"/>
    <s v="Company V"/>
    <s v="Tablet"/>
    <s v="50 mg"/>
    <n v="60"/>
    <n v="1331"/>
    <n v="23249"/>
    <d v="2024-07-18T00:00:00"/>
    <x v="3"/>
    <x v="961"/>
    <x v="0"/>
    <x v="3"/>
    <x v="1"/>
    <s v="Medium"/>
    <n v="1.1000000000000001"/>
    <n v="25573.9"/>
    <n v="0.90909090909090906"/>
    <x v="0"/>
  </r>
  <r>
    <x v="4"/>
    <s v="Company Y"/>
    <s v="Tablet"/>
    <s v="500 mg"/>
    <s v="50 g"/>
    <n v="700"/>
    <n v="14747"/>
    <d v="2023-09-21T00:00:00"/>
    <x v="2"/>
    <x v="962"/>
    <x v="3"/>
    <x v="9"/>
    <x v="1"/>
    <s v="Low"/>
    <n v="0.95"/>
    <n v="14009.65"/>
    <n v="1.0526315789473684"/>
    <x v="1"/>
  </r>
  <r>
    <x v="3"/>
    <s v="Company Z"/>
    <s v="Capsule"/>
    <s v="250 mg"/>
    <n v="60"/>
    <n v="1290"/>
    <n v="26612"/>
    <d v="2023-08-04T00:00:00"/>
    <x v="1"/>
    <x v="963"/>
    <x v="1"/>
    <x v="1"/>
    <x v="1"/>
    <s v="Medium"/>
    <n v="0.9"/>
    <n v="23950.799999999999"/>
    <n v="1.1111111111111112"/>
    <x v="1"/>
  </r>
  <r>
    <x v="2"/>
    <s v="Company X"/>
    <s v="Tablet"/>
    <s v="10 mg"/>
    <n v="30"/>
    <n v="1697"/>
    <n v="22505"/>
    <d v="2023-12-15T00:00:00"/>
    <x v="2"/>
    <x v="964"/>
    <x v="0"/>
    <x v="4"/>
    <x v="3"/>
    <s v="Medium"/>
    <n v="0.95"/>
    <n v="21379.75"/>
    <n v="1.0526315789473684"/>
    <x v="1"/>
  </r>
  <r>
    <x v="0"/>
    <s v="Company Y"/>
    <s v="Capsule"/>
    <s v="50 mg"/>
    <n v="60"/>
    <n v="1435"/>
    <n v="12698"/>
    <d v="2024-01-28T00:00:00"/>
    <x v="2"/>
    <x v="965"/>
    <x v="4"/>
    <x v="7"/>
    <x v="0"/>
    <s v="Low"/>
    <n v="0.95"/>
    <n v="12063.099999999999"/>
    <n v="1.0526315789473686"/>
    <x v="1"/>
  </r>
  <r>
    <x v="2"/>
    <s v="Company Y"/>
    <s v="Tablet"/>
    <s v="250 mg"/>
    <s v="50 g"/>
    <n v="676"/>
    <n v="37974"/>
    <d v="2024-03-13T00:00:00"/>
    <x v="2"/>
    <x v="966"/>
    <x v="4"/>
    <x v="8"/>
    <x v="0"/>
    <s v="Medium"/>
    <n v="0.95"/>
    <n v="36075.299999999996"/>
    <n v="1.0526315789473686"/>
    <x v="1"/>
  </r>
  <r>
    <x v="1"/>
    <s v="Company V"/>
    <s v="Tablet"/>
    <s v="500 mg"/>
    <s v="10 ml"/>
    <n v="1529"/>
    <n v="37893"/>
    <d v="2024-05-26T00:00:00"/>
    <x v="3"/>
    <x v="967"/>
    <x v="0"/>
    <x v="6"/>
    <x v="2"/>
    <s v="Medium"/>
    <n v="1.1000000000000001"/>
    <n v="41682.300000000003"/>
    <n v="0.90909090909090906"/>
    <x v="0"/>
  </r>
  <r>
    <x v="2"/>
    <s v="Company V"/>
    <s v="Capsule"/>
    <s v="10 mg"/>
    <s v="10 ml"/>
    <n v="1904"/>
    <n v="47774"/>
    <d v="2024-06-13T00:00:00"/>
    <x v="1"/>
    <x v="968"/>
    <x v="2"/>
    <x v="2"/>
    <x v="2"/>
    <s v="High"/>
    <n v="0.9"/>
    <n v="42996.6"/>
    <n v="1.1111111111111112"/>
    <x v="1"/>
  </r>
  <r>
    <x v="4"/>
    <s v="Company Y"/>
    <s v="Injection"/>
    <s v="100 mg/ml"/>
    <n v="60"/>
    <n v="274"/>
    <n v="36990"/>
    <d v="2024-02-18T00:00:00"/>
    <x v="3"/>
    <x v="969"/>
    <x v="4"/>
    <x v="0"/>
    <x v="0"/>
    <s v="Medium"/>
    <n v="1.1000000000000001"/>
    <n v="40689"/>
    <n v="0.90909090909090906"/>
    <x v="0"/>
  </r>
  <r>
    <x v="0"/>
    <s v="Company Z"/>
    <s v="Cream"/>
    <s v="50 mg"/>
    <s v="10 ml"/>
    <n v="974"/>
    <n v="13263"/>
    <d v="2024-07-12T00:00:00"/>
    <x v="2"/>
    <x v="970"/>
    <x v="0"/>
    <x v="3"/>
    <x v="1"/>
    <s v="Low"/>
    <n v="0.95"/>
    <n v="12599.849999999999"/>
    <n v="1.0526315789473686"/>
    <x v="1"/>
  </r>
  <r>
    <x v="2"/>
    <s v="Company Y"/>
    <s v="Syrup"/>
    <s v="100 mg/ml"/>
    <n v="30"/>
    <n v="1169"/>
    <n v="30037"/>
    <d v="2024-04-17T00:00:00"/>
    <x v="2"/>
    <x v="971"/>
    <x v="3"/>
    <x v="11"/>
    <x v="2"/>
    <s v="Medium"/>
    <n v="0.95"/>
    <n v="28535.149999999998"/>
    <n v="1.0526315789473686"/>
    <x v="1"/>
  </r>
  <r>
    <x v="2"/>
    <s v="Company Y"/>
    <s v="Capsule"/>
    <s v="500 mg"/>
    <s v="10 ml"/>
    <n v="1922"/>
    <n v="30322"/>
    <d v="2023-10-23T00:00:00"/>
    <x v="2"/>
    <x v="972"/>
    <x v="4"/>
    <x v="10"/>
    <x v="3"/>
    <s v="Medium"/>
    <n v="0.95"/>
    <n v="28805.899999999998"/>
    <n v="1.0526315789473686"/>
    <x v="1"/>
  </r>
  <r>
    <x v="0"/>
    <s v="Company V"/>
    <s v="Syrup"/>
    <s v="100 mg/ml"/>
    <n v="60"/>
    <n v="1656"/>
    <n v="2052"/>
    <d v="2024-07-19T00:00:00"/>
    <x v="3"/>
    <x v="973"/>
    <x v="1"/>
    <x v="3"/>
    <x v="1"/>
    <s v="Low"/>
    <n v="1.1000000000000001"/>
    <n v="2257.2000000000003"/>
    <n v="0.90909090909090895"/>
    <x v="0"/>
  </r>
  <r>
    <x v="4"/>
    <s v="Company V"/>
    <s v="Tablet"/>
    <s v="500 mg"/>
    <n v="30"/>
    <n v="999"/>
    <n v="1790"/>
    <d v="2024-06-11T00:00:00"/>
    <x v="3"/>
    <x v="974"/>
    <x v="2"/>
    <x v="2"/>
    <x v="2"/>
    <s v="Low"/>
    <n v="1.1000000000000001"/>
    <n v="1969.0000000000002"/>
    <n v="0.90909090909090895"/>
    <x v="0"/>
  </r>
  <r>
    <x v="4"/>
    <s v="Company Y"/>
    <s v="Cream"/>
    <s v="500 mg"/>
    <s v="10 ml"/>
    <n v="1027"/>
    <n v="5568"/>
    <d v="2024-03-17T00:00:00"/>
    <x v="3"/>
    <x v="975"/>
    <x v="3"/>
    <x v="8"/>
    <x v="0"/>
    <s v="Low"/>
    <n v="1.1000000000000001"/>
    <n v="6124.8"/>
    <n v="0.90909090909090906"/>
    <x v="0"/>
  </r>
  <r>
    <x v="2"/>
    <s v="Company Z"/>
    <s v="Tablet"/>
    <s v="250 mg"/>
    <s v="100 ml"/>
    <n v="202"/>
    <n v="35739"/>
    <d v="2024-03-19T00:00:00"/>
    <x v="2"/>
    <x v="976"/>
    <x v="4"/>
    <x v="8"/>
    <x v="0"/>
    <s v="Medium"/>
    <n v="0.95"/>
    <n v="33952.049999999996"/>
    <n v="1.0526315789473686"/>
    <x v="1"/>
  </r>
  <r>
    <x v="2"/>
    <s v="Company Y"/>
    <s v="Capsule"/>
    <s v="100 mg/ml"/>
    <s v="100 ml"/>
    <n v="868"/>
    <n v="39318"/>
    <d v="2024-03-05T00:00:00"/>
    <x v="4"/>
    <x v="977"/>
    <x v="4"/>
    <x v="8"/>
    <x v="0"/>
    <s v="Medium"/>
    <n v="1.2"/>
    <n v="47181.599999999999"/>
    <n v="0.83333333333333337"/>
    <x v="0"/>
  </r>
  <r>
    <x v="2"/>
    <s v="Company Z"/>
    <s v="Cream"/>
    <s v="100 mg/ml"/>
    <n v="30"/>
    <n v="783"/>
    <n v="7230"/>
    <d v="2023-08-07T00:00:00"/>
    <x v="4"/>
    <x v="978"/>
    <x v="2"/>
    <x v="1"/>
    <x v="1"/>
    <s v="Low"/>
    <n v="1.2"/>
    <n v="8676"/>
    <n v="0.83333333333333337"/>
    <x v="0"/>
  </r>
  <r>
    <x v="3"/>
    <s v="Company Y"/>
    <s v="Tablet"/>
    <s v="100 mg/ml"/>
    <n v="60"/>
    <n v="624"/>
    <n v="39173"/>
    <d v="2024-03-27T00:00:00"/>
    <x v="3"/>
    <x v="979"/>
    <x v="2"/>
    <x v="8"/>
    <x v="0"/>
    <s v="Medium"/>
    <n v="1.1000000000000001"/>
    <n v="43090.3"/>
    <n v="0.90909090909090906"/>
    <x v="0"/>
  </r>
  <r>
    <x v="3"/>
    <s v="Company Z"/>
    <s v="Tablet"/>
    <s v="50 mg"/>
    <n v="30"/>
    <n v="144"/>
    <n v="31678"/>
    <d v="2024-02-02T00:00:00"/>
    <x v="0"/>
    <x v="980"/>
    <x v="3"/>
    <x v="0"/>
    <x v="0"/>
    <s v="Medium"/>
    <n v="1.1000000000000001"/>
    <n v="34845.800000000003"/>
    <n v="0.90909090909090906"/>
    <x v="0"/>
  </r>
  <r>
    <x v="0"/>
    <s v="Company X"/>
    <s v="Injection"/>
    <s v="50 mg"/>
    <s v="10 ml"/>
    <n v="1705"/>
    <n v="3950"/>
    <d v="2024-02-02T00:00:00"/>
    <x v="4"/>
    <x v="981"/>
    <x v="2"/>
    <x v="0"/>
    <x v="0"/>
    <s v="Low"/>
    <n v="1.2"/>
    <n v="4740"/>
    <n v="0.83333333333333337"/>
    <x v="0"/>
  </r>
  <r>
    <x v="3"/>
    <s v="Company Y"/>
    <s v="Injection"/>
    <s v="50 mg"/>
    <s v="100 ml"/>
    <n v="1435"/>
    <n v="11503"/>
    <d v="2024-01-29T00:00:00"/>
    <x v="4"/>
    <x v="982"/>
    <x v="2"/>
    <x v="7"/>
    <x v="0"/>
    <s v="Low"/>
    <n v="1.2"/>
    <n v="13803.6"/>
    <n v="0.83333333333333326"/>
    <x v="0"/>
  </r>
  <r>
    <x v="4"/>
    <s v="Company Y"/>
    <s v="Tablet"/>
    <s v="50 mg"/>
    <s v="50 g"/>
    <n v="1882"/>
    <n v="23935"/>
    <d v="2023-10-16T00:00:00"/>
    <x v="4"/>
    <x v="983"/>
    <x v="0"/>
    <x v="10"/>
    <x v="3"/>
    <s v="Medium"/>
    <n v="1.2"/>
    <n v="28722"/>
    <n v="0.83333333333333337"/>
    <x v="0"/>
  </r>
  <r>
    <x v="2"/>
    <s v="Company W"/>
    <s v="Injection"/>
    <s v="100 mg/ml"/>
    <s v="100 ml"/>
    <n v="1018"/>
    <n v="42507"/>
    <d v="2024-07-13T00:00:00"/>
    <x v="3"/>
    <x v="984"/>
    <x v="1"/>
    <x v="3"/>
    <x v="1"/>
    <s v="High"/>
    <n v="1.1000000000000001"/>
    <n v="46757.700000000004"/>
    <n v="0.90909090909090906"/>
    <x v="0"/>
  </r>
  <r>
    <x v="1"/>
    <s v="Company V"/>
    <s v="Capsule"/>
    <s v="500 mg"/>
    <s v="100 ml"/>
    <n v="1895"/>
    <n v="40085"/>
    <d v="2023-10-19T00:00:00"/>
    <x v="4"/>
    <x v="985"/>
    <x v="1"/>
    <x v="10"/>
    <x v="3"/>
    <s v="High"/>
    <n v="1.2"/>
    <n v="48102"/>
    <n v="0.83333333333333337"/>
    <x v="0"/>
  </r>
  <r>
    <x v="2"/>
    <s v="Company X"/>
    <s v="Cream"/>
    <s v="250 mg"/>
    <s v="50 g"/>
    <n v="634"/>
    <n v="27518"/>
    <d v="2023-08-31T00:00:00"/>
    <x v="0"/>
    <x v="986"/>
    <x v="2"/>
    <x v="1"/>
    <x v="1"/>
    <s v="Medium"/>
    <n v="1.1000000000000001"/>
    <n v="30269.800000000003"/>
    <n v="0.90909090909090895"/>
    <x v="0"/>
  </r>
  <r>
    <x v="0"/>
    <s v="Company Z"/>
    <s v="Capsule"/>
    <s v="100 mg/ml"/>
    <s v="50 g"/>
    <n v="598"/>
    <n v="44610"/>
    <d v="2023-08-01T00:00:00"/>
    <x v="4"/>
    <x v="987"/>
    <x v="4"/>
    <x v="1"/>
    <x v="1"/>
    <s v="High"/>
    <n v="1.2"/>
    <n v="53532"/>
    <n v="0.83333333333333337"/>
    <x v="0"/>
  </r>
  <r>
    <x v="3"/>
    <s v="Company Y"/>
    <s v="Injection"/>
    <s v="50 mg"/>
    <n v="60"/>
    <n v="1619"/>
    <n v="35793"/>
    <d v="2024-07-15T00:00:00"/>
    <x v="4"/>
    <x v="988"/>
    <x v="3"/>
    <x v="3"/>
    <x v="1"/>
    <s v="Medium"/>
    <n v="1.2"/>
    <n v="42951.6"/>
    <n v="0.83333333333333337"/>
    <x v="0"/>
  </r>
  <r>
    <x v="0"/>
    <s v="Company X"/>
    <s v="Syrup"/>
    <s v="100 mg/ml"/>
    <s v="100 ml"/>
    <n v="359"/>
    <n v="36979"/>
    <d v="2023-12-06T00:00:00"/>
    <x v="4"/>
    <x v="989"/>
    <x v="0"/>
    <x v="4"/>
    <x v="3"/>
    <s v="Medium"/>
    <n v="1.2"/>
    <n v="44374.799999999996"/>
    <n v="0.83333333333333337"/>
    <x v="0"/>
  </r>
  <r>
    <x v="1"/>
    <s v="Company Y"/>
    <s v="Cream"/>
    <s v="50 mg"/>
    <s v="100 ml"/>
    <n v="1502"/>
    <n v="12221"/>
    <d v="2023-11-24T00:00:00"/>
    <x v="3"/>
    <x v="990"/>
    <x v="0"/>
    <x v="5"/>
    <x v="3"/>
    <s v="Low"/>
    <n v="1.1000000000000001"/>
    <n v="13443.1"/>
    <n v="0.90909090909090906"/>
    <x v="0"/>
  </r>
  <r>
    <x v="2"/>
    <s v="Company W"/>
    <s v="Tablet"/>
    <s v="250 mg"/>
    <n v="30"/>
    <n v="1552"/>
    <n v="11238"/>
    <d v="2024-04-26T00:00:00"/>
    <x v="2"/>
    <x v="991"/>
    <x v="3"/>
    <x v="11"/>
    <x v="2"/>
    <s v="Low"/>
    <n v="0.95"/>
    <n v="10676.1"/>
    <n v="1.0526315789473684"/>
    <x v="1"/>
  </r>
  <r>
    <x v="2"/>
    <s v="Company W"/>
    <s v="Capsule"/>
    <s v="50 mg"/>
    <s v="10 ml"/>
    <n v="1152"/>
    <n v="39119"/>
    <d v="2024-04-26T00:00:00"/>
    <x v="4"/>
    <x v="992"/>
    <x v="0"/>
    <x v="11"/>
    <x v="2"/>
    <s v="Medium"/>
    <n v="1.2"/>
    <n v="46942.799999999996"/>
    <n v="0.83333333333333337"/>
    <x v="0"/>
  </r>
  <r>
    <x v="3"/>
    <s v="Company X"/>
    <s v="Syrup"/>
    <s v="100 mg/ml"/>
    <n v="60"/>
    <n v="996"/>
    <n v="46219"/>
    <d v="2023-08-06T00:00:00"/>
    <x v="1"/>
    <x v="993"/>
    <x v="2"/>
    <x v="1"/>
    <x v="1"/>
    <s v="High"/>
    <n v="0.9"/>
    <n v="41597.1"/>
    <n v="1.11111111111111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7DCC7E-F5B2-4EC7-AA55-4D6200AE3F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Representative">
  <location ref="H2:J997" firstHeaderRow="0" firstDataRow="1" firstDataCol="1"/>
  <pivotFields count="18">
    <pivotField showAll="0">
      <items count="6">
        <item x="3"/>
        <item x="0"/>
        <item x="2"/>
        <item x="4"/>
        <item x="1"/>
        <item t="default"/>
      </items>
    </pivotField>
    <pivotField showAll="0"/>
    <pivotField showAll="0"/>
    <pivotField showAll="0"/>
    <pivotField showAll="0"/>
    <pivotField dataField="1" showAll="0"/>
    <pivotField dataField="1" numFmtId="6" showAll="0"/>
    <pivotField numFmtId="14" showAll="0"/>
    <pivotField showAll="0">
      <items count="6">
        <item x="1"/>
        <item x="2"/>
        <item x="3"/>
        <item x="4"/>
        <item x="0"/>
        <item t="default"/>
      </items>
    </pivotField>
    <pivotField axis="axisRow" showAll="0">
      <items count="995">
        <item x="167"/>
        <item x="305"/>
        <item x="606"/>
        <item x="301"/>
        <item x="248"/>
        <item x="984"/>
        <item x="340"/>
        <item x="486"/>
        <item x="230"/>
        <item x="323"/>
        <item x="508"/>
        <item x="570"/>
        <item x="828"/>
        <item x="419"/>
        <item x="719"/>
        <item x="277"/>
        <item x="6"/>
        <item x="86"/>
        <item x="789"/>
        <item x="813"/>
        <item x="850"/>
        <item x="351"/>
        <item x="893"/>
        <item x="983"/>
        <item x="427"/>
        <item x="773"/>
        <item x="901"/>
        <item x="923"/>
        <item x="504"/>
        <item x="645"/>
        <item x="742"/>
        <item x="617"/>
        <item x="468"/>
        <item x="26"/>
        <item x="361"/>
        <item x="352"/>
        <item x="914"/>
        <item x="776"/>
        <item x="622"/>
        <item x="273"/>
        <item x="406"/>
        <item x="292"/>
        <item x="877"/>
        <item x="223"/>
        <item x="136"/>
        <item x="349"/>
        <item x="671"/>
        <item x="685"/>
        <item x="661"/>
        <item x="970"/>
        <item x="458"/>
        <item x="346"/>
        <item x="18"/>
        <item x="428"/>
        <item x="492"/>
        <item x="218"/>
        <item x="123"/>
        <item x="242"/>
        <item x="373"/>
        <item x="92"/>
        <item x="131"/>
        <item x="313"/>
        <item x="720"/>
        <item x="928"/>
        <item x="443"/>
        <item x="920"/>
        <item x="297"/>
        <item x="20"/>
        <item x="896"/>
        <item x="300"/>
        <item x="498"/>
        <item x="724"/>
        <item x="913"/>
        <item x="975"/>
        <item x="683"/>
        <item x="202"/>
        <item x="873"/>
        <item x="353"/>
        <item x="571"/>
        <item x="544"/>
        <item x="837"/>
        <item x="341"/>
        <item x="111"/>
        <item x="986"/>
        <item x="282"/>
        <item x="766"/>
        <item x="287"/>
        <item x="252"/>
        <item x="876"/>
        <item x="281"/>
        <item x="761"/>
        <item x="220"/>
        <item x="318"/>
        <item x="243"/>
        <item x="308"/>
        <item x="577"/>
        <item x="310"/>
        <item x="274"/>
        <item x="241"/>
        <item x="13"/>
        <item x="249"/>
        <item x="640"/>
        <item x="82"/>
        <item x="875"/>
        <item x="864"/>
        <item x="519"/>
        <item x="525"/>
        <item x="79"/>
        <item x="358"/>
        <item x="722"/>
        <item x="470"/>
        <item x="59"/>
        <item x="918"/>
        <item x="115"/>
        <item x="293"/>
        <item x="393"/>
        <item x="93"/>
        <item x="588"/>
        <item x="465"/>
        <item x="654"/>
        <item x="175"/>
        <item x="39"/>
        <item x="530"/>
        <item x="817"/>
        <item x="70"/>
        <item x="702"/>
        <item x="435"/>
        <item x="727"/>
        <item x="154"/>
        <item x="415"/>
        <item x="584"/>
        <item x="441"/>
        <item x="607"/>
        <item x="72"/>
        <item x="120"/>
        <item x="298"/>
        <item x="392"/>
        <item x="399"/>
        <item x="299"/>
        <item x="139"/>
        <item x="503"/>
        <item x="383"/>
        <item x="555"/>
        <item x="362"/>
        <item x="583"/>
        <item x="52"/>
        <item x="518"/>
        <item x="170"/>
        <item x="823"/>
        <item x="662"/>
        <item x="122"/>
        <item x="250"/>
        <item x="405"/>
        <item x="110"/>
        <item x="569"/>
        <item x="650"/>
        <item x="181"/>
        <item x="369"/>
        <item x="466"/>
        <item x="400"/>
        <item x="100"/>
        <item x="102"/>
        <item x="902"/>
        <item x="19"/>
        <item x="266"/>
        <item x="34"/>
        <item x="951"/>
        <item x="557"/>
        <item x="153"/>
        <item x="600"/>
        <item x="396"/>
        <item x="563"/>
        <item x="838"/>
        <item x="227"/>
        <item x="794"/>
        <item x="895"/>
        <item x="952"/>
        <item x="752"/>
        <item x="652"/>
        <item x="969"/>
        <item x="35"/>
        <item x="237"/>
        <item x="856"/>
        <item x="108"/>
        <item x="733"/>
        <item x="585"/>
        <item x="213"/>
        <item x="174"/>
        <item x="750"/>
        <item x="669"/>
        <item x="966"/>
        <item x="134"/>
        <item x="872"/>
        <item x="78"/>
        <item x="307"/>
        <item x="672"/>
        <item x="688"/>
        <item x="3"/>
        <item x="586"/>
        <item x="806"/>
        <item x="338"/>
        <item x="692"/>
        <item x="33"/>
        <item x="22"/>
        <item x="706"/>
        <item x="609"/>
        <item x="30"/>
        <item x="207"/>
        <item x="608"/>
        <item x="85"/>
        <item x="847"/>
        <item x="177"/>
        <item x="595"/>
        <item x="718"/>
        <item x="491"/>
        <item x="267"/>
        <item x="909"/>
        <item x="437"/>
        <item x="290"/>
        <item x="898"/>
        <item x="825"/>
        <item x="144"/>
        <item x="372"/>
        <item x="610"/>
        <item x="389"/>
        <item x="695"/>
        <item x="193"/>
        <item x="587"/>
        <item x="359"/>
        <item x="269"/>
        <item x="939"/>
        <item x="138"/>
        <item x="333"/>
        <item x="180"/>
        <item x="494"/>
        <item x="927"/>
        <item x="105"/>
        <item x="988"/>
        <item x="231"/>
        <item x="386"/>
        <item x="336"/>
        <item x="484"/>
        <item x="7"/>
        <item x="284"/>
        <item x="815"/>
        <item x="703"/>
        <item x="705"/>
        <item x="515"/>
        <item x="926"/>
        <item x="572"/>
        <item x="311"/>
        <item x="4"/>
        <item x="704"/>
        <item x="407"/>
        <item x="445"/>
        <item x="432"/>
        <item x="179"/>
        <item x="783"/>
        <item x="147"/>
        <item x="934"/>
        <item x="596"/>
        <item x="285"/>
        <item x="907"/>
        <item x="370"/>
        <item x="950"/>
        <item x="12"/>
        <item x="885"/>
        <item x="691"/>
        <item x="809"/>
        <item x="257"/>
        <item x="707"/>
        <item x="50"/>
        <item x="260"/>
        <item x="280"/>
        <item x="57"/>
        <item x="275"/>
        <item x="488"/>
        <item x="234"/>
        <item x="225"/>
        <item x="294"/>
        <item x="467"/>
        <item x="531"/>
        <item x="163"/>
        <item x="221"/>
        <item x="842"/>
        <item x="96"/>
        <item x="331"/>
        <item x="804"/>
        <item x="948"/>
        <item x="165"/>
        <item x="89"/>
        <item x="112"/>
        <item x="749"/>
        <item x="101"/>
        <item x="199"/>
        <item x="597"/>
        <item x="385"/>
        <item x="666"/>
        <item x="929"/>
        <item x="775"/>
        <item x="254"/>
        <item x="977"/>
        <item x="384"/>
        <item x="897"/>
        <item x="235"/>
        <item x="203"/>
        <item x="942"/>
        <item x="636"/>
        <item x="764"/>
        <item x="517"/>
        <item x="844"/>
        <item x="24"/>
        <item x="278"/>
        <item x="967"/>
        <item x="721"/>
        <item x="892"/>
        <item x="582"/>
        <item x="146"/>
        <item x="261"/>
        <item x="866"/>
        <item x="164"/>
        <item x="270"/>
        <item x="979"/>
        <item x="189"/>
        <item x="936"/>
        <item x="240"/>
        <item x="616"/>
        <item x="594"/>
        <item x="306"/>
        <item x="860"/>
        <item x="319"/>
        <item x="160"/>
        <item x="420"/>
        <item x="536"/>
        <item x="511"/>
        <item x="156"/>
        <item x="91"/>
        <item x="971"/>
        <item x="554"/>
        <item x="505"/>
        <item x="271"/>
        <item x="795"/>
        <item x="119"/>
        <item x="956"/>
        <item x="547"/>
        <item x="698"/>
        <item x="812"/>
        <item x="104"/>
        <item x="130"/>
        <item x="924"/>
        <item x="1"/>
        <item x="381"/>
        <item x="69"/>
        <item x="209"/>
        <item x="262"/>
        <item x="667"/>
        <item x="701"/>
        <item x="145"/>
        <item x="211"/>
        <item x="729"/>
        <item x="173"/>
        <item x="744"/>
        <item x="810"/>
        <item x="480"/>
        <item x="774"/>
        <item x="332"/>
        <item x="560"/>
        <item x="215"/>
        <item x="771"/>
        <item x="549"/>
        <item x="247"/>
        <item x="981"/>
        <item x="852"/>
        <item x="855"/>
        <item x="647"/>
        <item x="116"/>
        <item x="208"/>
        <item x="821"/>
        <item x="732"/>
        <item x="222"/>
        <item x="788"/>
        <item x="350"/>
        <item x="379"/>
        <item x="841"/>
        <item x="228"/>
        <item x="543"/>
        <item x="357"/>
        <item x="762"/>
        <item x="84"/>
        <item x="590"/>
        <item x="61"/>
        <item x="747"/>
        <item x="132"/>
        <item x="124"/>
        <item x="853"/>
        <item x="430"/>
        <item x="80"/>
        <item x="894"/>
        <item x="959"/>
        <item x="43"/>
        <item x="279"/>
        <item x="593"/>
        <item x="81"/>
        <item x="637"/>
        <item x="625"/>
        <item x="660"/>
        <item x="737"/>
        <item x="479"/>
        <item x="818"/>
        <item x="731"/>
        <item x="906"/>
        <item x="534"/>
        <item x="65"/>
        <item x="741"/>
        <item x="535"/>
        <item x="99"/>
        <item x="118"/>
        <item x="644"/>
        <item x="858"/>
        <item x="740"/>
        <item x="265"/>
        <item x="916"/>
        <item x="429"/>
        <item x="47"/>
        <item x="5"/>
        <item x="743"/>
        <item x="772"/>
        <item x="204"/>
        <item x="137"/>
        <item x="854"/>
        <item x="330"/>
        <item x="337"/>
        <item x="541"/>
        <item x="561"/>
        <item x="700"/>
        <item x="438"/>
        <item x="172"/>
        <item x="182"/>
        <item x="195"/>
        <item x="991"/>
        <item x="558"/>
        <item x="264"/>
        <item x="190"/>
        <item x="66"/>
        <item x="746"/>
        <item x="395"/>
        <item x="159"/>
        <item x="354"/>
        <item x="192"/>
        <item x="460"/>
        <item x="529"/>
        <item x="962"/>
        <item x="28"/>
        <item x="786"/>
        <item x="974"/>
        <item x="343"/>
        <item x="355"/>
        <item x="255"/>
        <item x="713"/>
        <item x="380"/>
        <item x="630"/>
        <item x="826"/>
        <item x="141"/>
        <item x="490"/>
        <item x="715"/>
        <item x="390"/>
        <item x="364"/>
        <item x="210"/>
        <item x="739"/>
        <item x="263"/>
        <item x="992"/>
        <item x="632"/>
        <item x="621"/>
        <item x="94"/>
        <item x="912"/>
        <item x="957"/>
        <item x="919"/>
        <item x="681"/>
        <item x="168"/>
        <item x="433"/>
        <item x="576"/>
        <item x="697"/>
        <item x="778"/>
        <item x="881"/>
        <item x="388"/>
        <item x="449"/>
        <item x="714"/>
        <item x="324"/>
        <item x="760"/>
        <item x="288"/>
        <item x="539"/>
        <item x="289"/>
        <item x="303"/>
        <item x="978"/>
        <item x="699"/>
        <item x="787"/>
        <item x="674"/>
        <item x="214"/>
        <item x="409"/>
        <item x="553"/>
        <item x="631"/>
        <item x="21"/>
        <item x="945"/>
        <item x="481"/>
        <item x="562"/>
        <item x="23"/>
        <item x="376"/>
        <item x="469"/>
        <item x="477"/>
        <item x="862"/>
        <item x="497"/>
        <item x="533"/>
        <item x="564"/>
        <item x="206"/>
        <item x="779"/>
        <item x="903"/>
        <item x="431"/>
        <item x="158"/>
        <item x="113"/>
        <item x="522"/>
        <item x="574"/>
        <item x="668"/>
        <item x="77"/>
        <item x="663"/>
        <item x="800"/>
        <item x="861"/>
        <item x="37"/>
        <item x="178"/>
        <item x="521"/>
        <item x="191"/>
        <item x="161"/>
        <item x="455"/>
        <item x="424"/>
        <item x="556"/>
        <item x="513"/>
        <item x="133"/>
        <item x="233"/>
        <item x="67"/>
        <item x="602"/>
        <item x="411"/>
        <item x="579"/>
        <item x="954"/>
        <item x="9"/>
        <item x="717"/>
        <item x="325"/>
        <item x="693"/>
        <item x="711"/>
        <item x="452"/>
        <item x="964"/>
        <item x="212"/>
        <item x="140"/>
        <item x="546"/>
        <item x="196"/>
        <item x="15"/>
        <item x="49"/>
        <item x="335"/>
        <item x="40"/>
        <item x="236"/>
        <item x="317"/>
        <item x="339"/>
        <item x="347"/>
        <item x="857"/>
        <item x="398"/>
        <item x="768"/>
        <item x="824"/>
        <item x="832"/>
        <item x="785"/>
        <item x="291"/>
        <item x="930"/>
        <item x="446"/>
        <item x="763"/>
        <item x="807"/>
        <item x="889"/>
        <item x="686"/>
        <item x="62"/>
        <item x="36"/>
        <item x="635"/>
        <item x="580"/>
        <item x="792"/>
        <item x="634"/>
        <item x="229"/>
        <item x="98"/>
        <item x="126"/>
        <item x="42"/>
        <item x="25"/>
        <item x="859"/>
        <item x="448"/>
        <item x="183"/>
        <item x="883"/>
        <item x="915"/>
        <item x="626"/>
        <item x="545"/>
        <item x="944"/>
        <item x="759"/>
        <item x="578"/>
        <item x="304"/>
        <item x="728"/>
        <item x="565"/>
        <item x="493"/>
        <item x="391"/>
        <item x="931"/>
        <item x="905"/>
        <item x="423"/>
        <item x="418"/>
        <item x="268"/>
        <item x="745"/>
        <item x="378"/>
        <item x="2"/>
        <item x="834"/>
        <item x="805"/>
        <item x="938"/>
        <item x="75"/>
        <item x="272"/>
        <item x="960"/>
        <item x="963"/>
        <item x="365"/>
        <item x="186"/>
        <item x="748"/>
        <item x="58"/>
        <item x="641"/>
        <item x="993"/>
        <item x="730"/>
        <item x="890"/>
        <item x="751"/>
        <item x="613"/>
        <item x="8"/>
        <item x="781"/>
        <item x="941"/>
        <item x="63"/>
        <item x="53"/>
        <item x="624"/>
        <item x="946"/>
        <item x="366"/>
        <item x="184"/>
        <item x="677"/>
        <item x="520"/>
        <item x="754"/>
        <item x="921"/>
        <item x="670"/>
        <item x="489"/>
        <item x="150"/>
        <item x="651"/>
        <item x="765"/>
        <item x="482"/>
        <item x="457"/>
        <item x="32"/>
        <item x="777"/>
        <item x="846"/>
        <item x="453"/>
        <item x="185"/>
        <item x="961"/>
        <item x="884"/>
        <item x="142"/>
        <item x="426"/>
        <item x="820"/>
        <item x="68"/>
        <item x="836"/>
        <item x="793"/>
        <item x="756"/>
        <item x="114"/>
        <item x="835"/>
        <item x="95"/>
        <item x="316"/>
        <item x="908"/>
        <item x="808"/>
        <item x="537"/>
        <item x="90"/>
        <item x="286"/>
        <item x="604"/>
        <item x="878"/>
        <item x="716"/>
        <item x="509"/>
        <item x="348"/>
        <item x="770"/>
        <item x="244"/>
        <item x="506"/>
        <item x="567"/>
        <item x="990"/>
        <item x="87"/>
        <item x="456"/>
        <item x="801"/>
        <item x="502"/>
        <item x="623"/>
        <item x="796"/>
        <item x="542"/>
        <item x="510"/>
        <item x="342"/>
        <item x="816"/>
        <item x="246"/>
        <item x="464"/>
        <item x="117"/>
        <item x="989"/>
        <item x="500"/>
        <item x="655"/>
        <item x="687"/>
        <item x="708"/>
        <item x="985"/>
        <item x="524"/>
        <item x="401"/>
        <item x="322"/>
        <item x="473"/>
        <item x="888"/>
        <item x="345"/>
        <item x="188"/>
        <item x="17"/>
        <item x="675"/>
        <item x="251"/>
        <item x="879"/>
        <item x="436"/>
        <item x="910"/>
        <item x="822"/>
        <item x="953"/>
        <item x="404"/>
        <item x="932"/>
        <item x="833"/>
        <item x="527"/>
        <item x="814"/>
        <item x="829"/>
        <item x="869"/>
        <item x="673"/>
        <item x="573"/>
        <item x="899"/>
        <item x="767"/>
        <item x="656"/>
        <item x="309"/>
        <item x="627"/>
        <item x="664"/>
        <item x="575"/>
        <item x="935"/>
        <item x="462"/>
        <item x="657"/>
        <item x="780"/>
        <item x="198"/>
        <item x="867"/>
        <item x="71"/>
        <item x="485"/>
        <item x="106"/>
        <item x="151"/>
        <item x="589"/>
        <item x="659"/>
        <item x="526"/>
        <item x="611"/>
        <item x="696"/>
        <item x="45"/>
        <item x="676"/>
        <item x="784"/>
        <item x="965"/>
        <item x="757"/>
        <item x="798"/>
        <item x="689"/>
        <item x="329"/>
        <item x="734"/>
        <item x="258"/>
        <item x="187"/>
        <item x="51"/>
        <item x="461"/>
        <item x="514"/>
        <item x="550"/>
        <item x="201"/>
        <item x="302"/>
        <item x="326"/>
        <item x="507"/>
        <item x="937"/>
        <item x="368"/>
        <item x="819"/>
        <item x="755"/>
        <item x="31"/>
        <item x="387"/>
        <item x="799"/>
        <item x="628"/>
        <item x="107"/>
        <item x="682"/>
        <item x="295"/>
        <item x="886"/>
        <item x="217"/>
        <item x="27"/>
        <item x="397"/>
        <item x="454"/>
        <item x="552"/>
        <item x="512"/>
        <item x="483"/>
        <item x="694"/>
        <item x="665"/>
        <item x="845"/>
        <item x="16"/>
        <item x="219"/>
        <item x="643"/>
        <item x="226"/>
        <item x="599"/>
        <item x="103"/>
        <item x="166"/>
        <item x="334"/>
        <item x="638"/>
        <item x="968"/>
        <item x="162"/>
        <item x="601"/>
        <item x="121"/>
        <item x="197"/>
        <item x="375"/>
        <item x="680"/>
        <item x="925"/>
        <item x="224"/>
        <item x="566"/>
        <item x="653"/>
        <item x="200"/>
        <item x="83"/>
        <item x="312"/>
        <item x="620"/>
        <item x="865"/>
        <item x="592"/>
        <item x="619"/>
        <item x="840"/>
        <item x="321"/>
        <item x="725"/>
        <item x="472"/>
        <item x="88"/>
        <item x="551"/>
        <item x="135"/>
        <item x="439"/>
        <item x="943"/>
        <item x="434"/>
        <item x="60"/>
        <item x="296"/>
        <item x="367"/>
        <item x="863"/>
        <item x="276"/>
        <item x="598"/>
        <item x="532"/>
        <item x="591"/>
        <item x="363"/>
        <item x="603"/>
        <item x="753"/>
        <item x="933"/>
        <item x="880"/>
        <item x="55"/>
        <item x="232"/>
        <item x="478"/>
        <item x="516"/>
        <item x="958"/>
        <item x="440"/>
        <item x="356"/>
        <item x="382"/>
        <item x="495"/>
        <item x="216"/>
        <item x="377"/>
        <item x="474"/>
        <item x="394"/>
        <item x="615"/>
        <item x="891"/>
        <item x="496"/>
        <item x="538"/>
        <item x="29"/>
        <item x="987"/>
        <item x="769"/>
        <item x="874"/>
        <item x="48"/>
        <item x="314"/>
        <item x="371"/>
        <item x="736"/>
        <item x="679"/>
        <item x="239"/>
        <item x="499"/>
        <item x="444"/>
        <item x="11"/>
        <item x="148"/>
        <item x="403"/>
        <item x="414"/>
        <item x="735"/>
        <item x="374"/>
        <item x="528"/>
        <item x="41"/>
        <item x="973"/>
        <item x="887"/>
        <item x="259"/>
        <item x="129"/>
        <item x="416"/>
        <item x="38"/>
        <item x="253"/>
        <item x="848"/>
        <item x="501"/>
        <item x="155"/>
        <item x="710"/>
        <item x="980"/>
        <item x="911"/>
        <item x="125"/>
        <item x="64"/>
        <item x="205"/>
        <item x="658"/>
        <item x="238"/>
        <item x="97"/>
        <item x="442"/>
        <item x="802"/>
        <item x="882"/>
        <item x="949"/>
        <item x="14"/>
        <item x="642"/>
        <item x="904"/>
        <item x="0"/>
        <item x="811"/>
        <item x="157"/>
        <item x="471"/>
        <item x="723"/>
        <item x="612"/>
        <item x="972"/>
        <item x="447"/>
        <item x="487"/>
        <item x="459"/>
        <item x="678"/>
        <item x="56"/>
        <item x="646"/>
        <item x="169"/>
        <item x="982"/>
        <item x="839"/>
        <item x="152"/>
        <item x="790"/>
        <item x="782"/>
        <item x="900"/>
        <item x="176"/>
        <item x="581"/>
        <item x="44"/>
        <item x="523"/>
        <item x="143"/>
        <item x="851"/>
        <item x="283"/>
        <item x="726"/>
        <item x="738"/>
        <item x="476"/>
        <item x="463"/>
        <item x="475"/>
        <item x="955"/>
        <item x="417"/>
        <item x="315"/>
        <item x="171"/>
        <item x="568"/>
        <item x="408"/>
        <item x="109"/>
        <item x="320"/>
        <item x="648"/>
        <item x="870"/>
        <item x="797"/>
        <item x="451"/>
        <item x="629"/>
        <item x="614"/>
        <item x="758"/>
        <item x="360"/>
        <item x="868"/>
        <item x="425"/>
        <item x="421"/>
        <item x="46"/>
        <item x="559"/>
        <item x="74"/>
        <item x="327"/>
        <item x="940"/>
        <item x="410"/>
        <item x="633"/>
        <item x="639"/>
        <item x="54"/>
        <item x="947"/>
        <item x="605"/>
        <item x="684"/>
        <item x="649"/>
        <item x="540"/>
        <item x="10"/>
        <item x="413"/>
        <item x="917"/>
        <item x="831"/>
        <item x="128"/>
        <item x="712"/>
        <item x="709"/>
        <item x="849"/>
        <item x="149"/>
        <item x="412"/>
        <item x="422"/>
        <item x="690"/>
        <item x="803"/>
        <item x="402"/>
        <item x="830"/>
        <item x="976"/>
        <item x="791"/>
        <item x="871"/>
        <item x="843"/>
        <item x="922"/>
        <item x="827"/>
        <item x="245"/>
        <item x="450"/>
        <item x="328"/>
        <item x="76"/>
        <item x="73"/>
        <item x="127"/>
        <item x="194"/>
        <item x="618"/>
        <item x="344"/>
        <item x="548"/>
        <item x="256"/>
        <item t="default"/>
      </items>
    </pivotField>
    <pivotField showAll="0">
      <items count="6">
        <item x="0"/>
        <item x="1"/>
        <item x="3"/>
        <item x="2"/>
        <item x="4"/>
        <item t="default"/>
      </items>
    </pivotField>
    <pivotField showAll="0"/>
    <pivotField showAll="0">
      <items count="5">
        <item x="0"/>
        <item x="2"/>
        <item x="1"/>
        <item x="3"/>
        <item t="default"/>
      </items>
    </pivotField>
    <pivotField showAll="0"/>
    <pivotField showAll="0"/>
    <pivotField showAll="0"/>
    <pivotField numFmtId="9" showAll="0"/>
    <pivotField showAll="0"/>
  </pivotFields>
  <rowFields count="1">
    <field x="9"/>
  </rowFields>
  <rowItems count="9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t="grand">
      <x/>
    </i>
  </rowItems>
  <colFields count="1">
    <field x="-2"/>
  </colFields>
  <colItems count="2">
    <i>
      <x/>
    </i>
    <i i="1">
      <x v="1"/>
    </i>
  </colItems>
  <dataFields count="2">
    <dataField name="Sum of Revenue" fld="6" baseField="0" baseItem="0" numFmtId="6"/>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BF4E81-2F7C-4615-A849-84C11BC2E2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rug Name">
  <location ref="A15:B21" firstHeaderRow="1" firstDataRow="1" firstDataCol="1"/>
  <pivotFields count="18">
    <pivotField axis="axisRow" showAll="0" sortType="descending">
      <items count="6">
        <item x="1"/>
        <item x="4"/>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6" showAll="0"/>
    <pivotField numFmtId="14" showAll="0"/>
    <pivotField showAll="0">
      <items count="6">
        <item x="1"/>
        <item x="2"/>
        <item x="3"/>
        <item x="4"/>
        <item x="0"/>
        <item t="default"/>
      </items>
    </pivotField>
    <pivotField showAll="0"/>
    <pivotField showAll="0">
      <items count="6">
        <item x="0"/>
        <item x="1"/>
        <item x="3"/>
        <item x="2"/>
        <item x="4"/>
        <item t="default"/>
      </items>
    </pivotField>
    <pivotField showAll="0"/>
    <pivotField showAll="0">
      <items count="5">
        <item x="0"/>
        <item x="2"/>
        <item x="1"/>
        <item x="3"/>
        <item t="default"/>
      </items>
    </pivotField>
    <pivotField showAll="0"/>
    <pivotField showAll="0"/>
    <pivotField showAll="0"/>
    <pivotField numFmtId="9" showAll="0"/>
    <pivotField showAll="0"/>
  </pivotFields>
  <rowFields count="1">
    <field x="0"/>
  </rowFields>
  <rowItems count="6">
    <i>
      <x v="3"/>
    </i>
    <i>
      <x v="2"/>
    </i>
    <i>
      <x v="4"/>
    </i>
    <i>
      <x v="1"/>
    </i>
    <i>
      <x/>
    </i>
    <i t="grand">
      <x/>
    </i>
  </rowItems>
  <colItems count="1">
    <i/>
  </colItems>
  <dataFields count="1">
    <dataField name="Sum of Revenue" fld="6" baseField="0" baseItem="0" numFmtId="6"/>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EC2594-4FD6-4749-B90E-05E1AA540B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nth">
  <location ref="E1:F14" firstHeaderRow="1" firstDataRow="1" firstDataCol="1"/>
  <pivotFields count="18">
    <pivotField showAll="0">
      <items count="6">
        <item x="3"/>
        <item x="0"/>
        <item x="2"/>
        <item x="4"/>
        <item x="1"/>
        <item t="default"/>
      </items>
    </pivotField>
    <pivotField showAll="0"/>
    <pivotField showAll="0"/>
    <pivotField showAll="0"/>
    <pivotField showAll="0"/>
    <pivotField showAll="0"/>
    <pivotField dataField="1" numFmtId="6" showAll="0"/>
    <pivotField numFmtId="14" showAll="0"/>
    <pivotField showAll="0">
      <items count="6">
        <item x="1"/>
        <item x="2"/>
        <item x="3"/>
        <item x="4"/>
        <item x="0"/>
        <item t="default"/>
      </items>
    </pivotField>
    <pivotField showAll="0"/>
    <pivotField showAll="0">
      <items count="6">
        <item x="0"/>
        <item x="1"/>
        <item x="3"/>
        <item x="2"/>
        <item x="4"/>
        <item t="default"/>
      </items>
    </pivotField>
    <pivotField axis="axisRow" showAll="0">
      <items count="13">
        <item x="7"/>
        <item x="0"/>
        <item x="8"/>
        <item x="11"/>
        <item x="6"/>
        <item x="2"/>
        <item x="3"/>
        <item x="1"/>
        <item x="9"/>
        <item x="10"/>
        <item x="5"/>
        <item x="4"/>
        <item t="default"/>
      </items>
    </pivotField>
    <pivotField showAll="0">
      <items count="5">
        <item x="0"/>
        <item x="2"/>
        <item x="1"/>
        <item x="3"/>
        <item t="default"/>
      </items>
    </pivotField>
    <pivotField showAll="0"/>
    <pivotField showAll="0"/>
    <pivotField showAll="0"/>
    <pivotField numFmtId="9"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Monthly Revenue Value" fld="6" baseField="0" baseItem="0" numFmtId="6"/>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6EBCB-70D2-42C8-AF13-348FB6E08B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1:B7" firstHeaderRow="1" firstDataRow="1" firstDataCol="1"/>
  <pivotFields count="18">
    <pivotField showAll="0">
      <items count="6">
        <item x="3"/>
        <item x="0"/>
        <item x="2"/>
        <item x="4"/>
        <item x="1"/>
        <item t="default"/>
      </items>
    </pivotField>
    <pivotField showAll="0"/>
    <pivotField showAll="0"/>
    <pivotField showAll="0"/>
    <pivotField showAll="0"/>
    <pivotField showAll="0"/>
    <pivotField dataField="1" numFmtId="6" showAll="0"/>
    <pivotField numFmtId="14" showAll="0"/>
    <pivotField axis="axisRow" showAll="0">
      <items count="6">
        <item x="1"/>
        <item x="2"/>
        <item x="3"/>
        <item x="4"/>
        <item x="0"/>
        <item t="default"/>
      </items>
    </pivotField>
    <pivotField showAll="0"/>
    <pivotField showAll="0">
      <items count="6">
        <item x="0"/>
        <item x="1"/>
        <item x="3"/>
        <item x="2"/>
        <item x="4"/>
        <item t="default"/>
      </items>
    </pivotField>
    <pivotField showAll="0"/>
    <pivotField showAll="0">
      <items count="5">
        <item x="0"/>
        <item x="2"/>
        <item x="1"/>
        <item x="3"/>
        <item t="default"/>
      </items>
    </pivotField>
    <pivotField showAll="0"/>
    <pivotField showAll="0"/>
    <pivotField showAll="0"/>
    <pivotField numFmtId="9" showAll="0"/>
    <pivotField showAll="0"/>
  </pivotFields>
  <rowFields count="1">
    <field x="8"/>
  </rowFields>
  <rowItems count="6">
    <i>
      <x/>
    </i>
    <i>
      <x v="1"/>
    </i>
    <i>
      <x v="2"/>
    </i>
    <i>
      <x v="3"/>
    </i>
    <i>
      <x v="4"/>
    </i>
    <i t="grand">
      <x/>
    </i>
  </rowItems>
  <colItems count="1">
    <i/>
  </colItems>
  <dataFields count="1">
    <dataField name="Regional Revenue Value" fld="6" baseField="8" baseItem="0" numFmtId="6"/>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9FF8C1-5889-48DB-B56E-1D40DC6BA5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erformance Status">
  <location ref="A35:B38" firstHeaderRow="1" firstDataRow="1" firstDataCol="1"/>
  <pivotFields count="18">
    <pivotField showAll="0">
      <items count="6">
        <item x="3"/>
        <item x="0"/>
        <item x="2"/>
        <item x="4"/>
        <item x="1"/>
        <item t="default"/>
      </items>
    </pivotField>
    <pivotField showAll="0"/>
    <pivotField showAll="0"/>
    <pivotField showAll="0"/>
    <pivotField showAll="0"/>
    <pivotField showAll="0"/>
    <pivotField dataField="1" numFmtId="6" showAll="0"/>
    <pivotField numFmtId="14" showAll="0"/>
    <pivotField showAll="0">
      <items count="6">
        <item x="1"/>
        <item x="2"/>
        <item x="3"/>
        <item x="4"/>
        <item x="0"/>
        <item t="default"/>
      </items>
    </pivotField>
    <pivotField showAll="0"/>
    <pivotField showAll="0">
      <items count="6">
        <item x="0"/>
        <item x="1"/>
        <item x="3"/>
        <item x="2"/>
        <item x="4"/>
        <item t="default"/>
      </items>
    </pivotField>
    <pivotField showAll="0"/>
    <pivotField showAll="0">
      <items count="5">
        <item x="0"/>
        <item x="2"/>
        <item x="1"/>
        <item x="3"/>
        <item t="default"/>
      </items>
    </pivotField>
    <pivotField showAll="0"/>
    <pivotField showAll="0"/>
    <pivotField showAll="0"/>
    <pivotField numFmtId="9" showAll="0"/>
    <pivotField axis="axisRow" showAll="0">
      <items count="3">
        <item x="0"/>
        <item x="1"/>
        <item t="default"/>
      </items>
    </pivotField>
  </pivotFields>
  <rowFields count="1">
    <field x="17"/>
  </rowFields>
  <rowItems count="3">
    <i>
      <x/>
    </i>
    <i>
      <x v="1"/>
    </i>
    <i t="grand">
      <x/>
    </i>
  </rowItems>
  <colItems count="1">
    <i/>
  </colItems>
  <dataFields count="1">
    <dataField name="Sum of Revenue" fld="6" baseField="0" baseItem="0" numFmtId="6"/>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7" count="1" selected="0">
            <x v="0"/>
          </reference>
        </references>
      </pivotArea>
    </chartFormat>
    <chartFormat chart="6" format="6">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1AAB4A-DF7E-41B8-8D46-D12D84B31B2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ustomer Type">
  <location ref="A23:B29" firstHeaderRow="1" firstDataRow="1" firstDataCol="1"/>
  <pivotFields count="18">
    <pivotField showAll="0">
      <items count="6">
        <item x="3"/>
        <item x="0"/>
        <item x="2"/>
        <item x="4"/>
        <item x="1"/>
        <item t="default"/>
      </items>
    </pivotField>
    <pivotField showAll="0"/>
    <pivotField showAll="0"/>
    <pivotField showAll="0"/>
    <pivotField showAll="0"/>
    <pivotField showAll="0"/>
    <pivotField dataField="1" numFmtId="6" showAll="0"/>
    <pivotField numFmtId="14" showAll="0"/>
    <pivotField showAll="0">
      <items count="6">
        <item x="1"/>
        <item x="2"/>
        <item x="3"/>
        <item x="4"/>
        <item x="0"/>
        <item t="default"/>
      </items>
    </pivotField>
    <pivotField showAll="0"/>
    <pivotField axis="axisRow" showAll="0">
      <items count="6">
        <item x="0"/>
        <item x="1"/>
        <item x="3"/>
        <item x="2"/>
        <item x="4"/>
        <item t="default"/>
      </items>
    </pivotField>
    <pivotField showAll="0"/>
    <pivotField showAll="0">
      <items count="5">
        <item x="0"/>
        <item x="2"/>
        <item x="1"/>
        <item x="3"/>
        <item t="default"/>
      </items>
    </pivotField>
    <pivotField showAll="0"/>
    <pivotField showAll="0"/>
    <pivotField showAll="0"/>
    <pivotField numFmtId="9" showAll="0"/>
    <pivotField showAll="0"/>
  </pivotFields>
  <rowFields count="1">
    <field x="10"/>
  </rowFields>
  <rowItems count="6">
    <i>
      <x/>
    </i>
    <i>
      <x v="1"/>
    </i>
    <i>
      <x v="2"/>
    </i>
    <i>
      <x v="3"/>
    </i>
    <i>
      <x v="4"/>
    </i>
    <i t="grand">
      <x/>
    </i>
  </rowItems>
  <colItems count="1">
    <i/>
  </colItems>
  <dataFields count="1">
    <dataField name="Sum of Revenue" fld="6" baseField="0" baseItem="0" numFmtId="6"/>
  </dataFields>
  <chartFormats count="6">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10" count="1" selected="0">
            <x v="0"/>
          </reference>
        </references>
      </pivotArea>
    </chartFormat>
    <chartFormat chart="20" format="9">
      <pivotArea type="data" outline="0" fieldPosition="0">
        <references count="2">
          <reference field="4294967294" count="1" selected="0">
            <x v="0"/>
          </reference>
          <reference field="10" count="1" selected="0">
            <x v="1"/>
          </reference>
        </references>
      </pivotArea>
    </chartFormat>
    <chartFormat chart="20" format="10">
      <pivotArea type="data" outline="0" fieldPosition="0">
        <references count="2">
          <reference field="4294967294" count="1" selected="0">
            <x v="0"/>
          </reference>
          <reference field="10" count="1" selected="0">
            <x v="2"/>
          </reference>
        </references>
      </pivotArea>
    </chartFormat>
    <chartFormat chart="20" format="11">
      <pivotArea type="data" outline="0" fieldPosition="0">
        <references count="2">
          <reference field="4294967294" count="1" selected="0">
            <x v="0"/>
          </reference>
          <reference field="10" count="1" selected="0">
            <x v="3"/>
          </reference>
        </references>
      </pivotArea>
    </chartFormat>
    <chartFormat chart="20"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A3AB537-3234-409C-8958-EA51FA603A37}" sourceName="Quarter">
  <pivotTables>
    <pivotTable tabId="4" name="PivotTable2"/>
    <pivotTable tabId="4" name="PivotTable3"/>
    <pivotTable tabId="4" name="PivotTable4"/>
    <pivotTable tabId="4" name="PivotTable6"/>
    <pivotTable tabId="4" name="PivotTable7"/>
    <pivotTable tabId="4" name="PivotTable8"/>
  </pivotTables>
  <data>
    <tabular pivotCacheId="59394809">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87F7F8E-A256-4EE0-8663-580C573ED094}" sourceName="Customer Type">
  <pivotTables>
    <pivotTable tabId="4" name="PivotTable2"/>
    <pivotTable tabId="4" name="PivotTable3"/>
    <pivotTable tabId="4" name="PivotTable4"/>
    <pivotTable tabId="4" name="PivotTable6"/>
    <pivotTable tabId="4" name="PivotTable7"/>
    <pivotTable tabId="4" name="PivotTable8"/>
  </pivotTables>
  <data>
    <tabular pivotCacheId="59394809">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AA5A19-30C3-4DD6-9741-D430B71450E0}" sourceName="Region">
  <pivotTables>
    <pivotTable tabId="4" name="PivotTable2"/>
    <pivotTable tabId="4" name="PivotTable3"/>
    <pivotTable tabId="4" name="PivotTable4"/>
    <pivotTable tabId="4" name="PivotTable6"/>
    <pivotTable tabId="4" name="PivotTable7"/>
    <pivotTable tabId="4" name="PivotTable8"/>
  </pivotTables>
  <data>
    <tabular pivotCacheId="59394809">
      <items count="5">
        <i x="1" s="1"/>
        <i x="2" s="1"/>
        <i x="3"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ug_Name" xr10:uid="{B1927B5A-8F19-440A-9489-FCB42A5522E1}" sourceName="Drug Name">
  <pivotTables>
    <pivotTable tabId="4" name="PivotTable2"/>
    <pivotTable tabId="4" name="PivotTable3"/>
    <pivotTable tabId="4" name="PivotTable4"/>
    <pivotTable tabId="4" name="PivotTable6"/>
    <pivotTable tabId="4" name="PivotTable7"/>
    <pivotTable tabId="4" name="PivotTable8"/>
  </pivotTables>
  <data>
    <tabular pivotCacheId="59394809">
      <items count="5">
        <i x="3"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BB337D5E-0BE2-4DE0-8683-3FA7B4C13ABF}" cache="Slicer_Quarter" caption="Quarter" rowHeight="320040"/>
  <slicer name="Customer Type" xr10:uid="{B382BFD2-D259-4BDE-A339-003BEE1FB89E}" cache="Slicer_Customer_Type" caption="Customer Type" rowHeight="234950"/>
  <slicer name="Region" xr10:uid="{8B6C7A65-B9AC-4392-85C1-0D4FD083B063}" cache="Slicer_Region" caption="Region" rowHeight="234950"/>
  <slicer name="Drug Name" xr10:uid="{28CF0567-EB4A-4B7B-A060-08E8F9A06A38}" cache="Slicer_Drug_Name" caption="Drug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A516C-D547-4396-9F17-B378225093F2}" name="Table1" displayName="Table1" ref="A1:R1001" totalsRowShown="0">
  <autoFilter ref="A1:R1001" xr:uid="{277A516C-D547-4396-9F17-B378225093F2}"/>
  <tableColumns count="18">
    <tableColumn id="1" xr3:uid="{6E2B9A45-BFAE-43E9-8B3D-D083EBFF1F85}" name="Drug Name"/>
    <tableColumn id="2" xr3:uid="{F5B69752-A4A6-463E-BFE7-0A68AD9F1605}" name="Manufacturer"/>
    <tableColumn id="3" xr3:uid="{0F573FD8-C457-4284-9960-E7D55BC8B09D}" name="Dosage Form"/>
    <tableColumn id="4" xr3:uid="{B71AEFA6-C866-41A8-9A45-A5A512E6383E}" name="Strength"/>
    <tableColumn id="5" xr3:uid="{FAAD9F1E-D338-4301-A0FA-9A17CBE21DE0}" name="Package Size"/>
    <tableColumn id="6" xr3:uid="{82E9A759-44AA-4F54-944F-A7F59579CA78}" name="Units Sold"/>
    <tableColumn id="7" xr3:uid="{C494EA1A-80FE-4EFD-A9F4-D717FB4C6C19}" name="Revenue" dataDxfId="7"/>
    <tableColumn id="8" xr3:uid="{E3CC58AC-9F71-4420-B03A-609580E01C61}" name="Sale Date" dataDxfId="6"/>
    <tableColumn id="9" xr3:uid="{9674623A-731A-41F1-B862-427B6DB63B97}" name="Region"/>
    <tableColumn id="10" xr3:uid="{8167407A-1758-409A-A26D-DC9FFDF5A867}" name="Sales Representative"/>
    <tableColumn id="11" xr3:uid="{1967203C-96DF-4D7A-A030-FAC5663BD4D7}" name="Customer Type"/>
    <tableColumn id="12" xr3:uid="{AD66D070-772B-4CCC-BFBF-7FB02CFB0A54}" name="Month" dataDxfId="5">
      <calculatedColumnFormula>TEXT(H2,"MMM")</calculatedColumnFormula>
    </tableColumn>
    <tableColumn id="13" xr3:uid="{1F19C8AA-FE1B-4A04-8D56-573B4D9ED7B7}" name="Quarter" dataDxfId="4">
      <calculatedColumnFormula>"Q"&amp;ROUNDUP(MONTH(H2)/3,0)</calculatedColumnFormula>
    </tableColumn>
    <tableColumn id="17" xr3:uid="{633FC755-3566-479E-B3E5-0711FBF89901}" name="Revenue Category" dataDxfId="3">
      <calculatedColumnFormula>IF(G2&gt;40000,"High",
IF(G2&gt;20000,"Medium","Low"))</calculatedColumnFormula>
    </tableColumn>
    <tableColumn id="18" xr3:uid="{E58C0AF2-FBBC-424A-A1DA-EE096E3E3D61}" name="Target Multiplier" dataDxfId="2">
      <calculatedColumnFormula>_xlfn.XLOOKUP(I2,Helper_Table!A:A,Helper_Table!B:B)</calculatedColumnFormula>
    </tableColumn>
    <tableColumn id="19" xr3:uid="{E96275EA-5A4A-4F9E-9652-79AE15033D1E}" name="Target Revenue" dataDxfId="1">
      <calculatedColumnFormula>G2*O2</calculatedColumnFormula>
    </tableColumn>
    <tableColumn id="20" xr3:uid="{46004DA3-F4CA-405F-88E0-241EDA1AC0EB}" name="Achievment %" dataCellStyle="Percent">
      <calculatedColumnFormula>G2/P2</calculatedColumnFormula>
    </tableColumn>
    <tableColumn id="21" xr3:uid="{20C14B06-3CAB-41B7-9646-7B9B393685D4}" name="Performance Status" dataDxfId="0">
      <calculatedColumnFormula>IF(Q2&gt;=1,"Achieved","Below Target")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DAD87-545F-42E7-9F23-FD458CEF496B}">
  <dimension ref="A1:K1001"/>
  <sheetViews>
    <sheetView workbookViewId="0">
      <selection activeCell="S20" sqref="S20"/>
    </sheetView>
  </sheetViews>
  <sheetFormatPr defaultRowHeight="14.4"/>
  <cols>
    <col min="1" max="1" width="10.109375" bestFit="1" customWidth="1"/>
    <col min="2" max="2" width="12.21875" bestFit="1" customWidth="1"/>
    <col min="3" max="3" width="11.6640625" bestFit="1" customWidth="1"/>
    <col min="4" max="4" width="9.6640625" bestFit="1" customWidth="1"/>
    <col min="5" max="5" width="11.21875" bestFit="1" customWidth="1"/>
    <col min="6" max="6" width="9.109375" bestFit="1" customWidth="1"/>
    <col min="7" max="7" width="8" bestFit="1" customWidth="1"/>
    <col min="8" max="8" width="10.5546875" bestFit="1" customWidth="1"/>
    <col min="9" max="9" width="12.88671875" bestFit="1" customWidth="1"/>
    <col min="10" max="10" width="21.33203125" bestFit="1" customWidth="1"/>
    <col min="11" max="11" width="14.77734375" bestFit="1"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v>1500</v>
      </c>
      <c r="G2" s="1">
        <v>43833</v>
      </c>
      <c r="H2" s="2">
        <v>45329</v>
      </c>
      <c r="I2" t="s">
        <v>16</v>
      </c>
      <c r="J2" t="s">
        <v>17</v>
      </c>
      <c r="K2" t="s">
        <v>18</v>
      </c>
    </row>
    <row r="3" spans="1:11">
      <c r="A3" t="s">
        <v>11</v>
      </c>
      <c r="B3" t="s">
        <v>19</v>
      </c>
      <c r="C3" t="s">
        <v>20</v>
      </c>
      <c r="D3" t="s">
        <v>21</v>
      </c>
      <c r="E3" t="s">
        <v>22</v>
      </c>
      <c r="F3">
        <v>1194</v>
      </c>
      <c r="G3" s="1">
        <v>48717</v>
      </c>
      <c r="H3" s="2">
        <v>45146</v>
      </c>
      <c r="I3" t="s">
        <v>16</v>
      </c>
      <c r="J3" t="s">
        <v>23</v>
      </c>
      <c r="K3" t="s">
        <v>18</v>
      </c>
    </row>
    <row r="4" spans="1:11">
      <c r="A4" t="s">
        <v>24</v>
      </c>
      <c r="B4" t="s">
        <v>19</v>
      </c>
      <c r="C4" t="s">
        <v>25</v>
      </c>
      <c r="D4" t="s">
        <v>26</v>
      </c>
      <c r="E4">
        <v>60</v>
      </c>
      <c r="F4">
        <v>618</v>
      </c>
      <c r="G4" s="1">
        <v>8744</v>
      </c>
      <c r="H4" s="2">
        <v>45458</v>
      </c>
      <c r="I4" t="s">
        <v>27</v>
      </c>
      <c r="J4" t="s">
        <v>28</v>
      </c>
      <c r="K4" t="s">
        <v>29</v>
      </c>
    </row>
    <row r="5" spans="1:11">
      <c r="A5" t="s">
        <v>24</v>
      </c>
      <c r="B5" t="s">
        <v>19</v>
      </c>
      <c r="C5" t="s">
        <v>30</v>
      </c>
      <c r="D5" t="s">
        <v>31</v>
      </c>
      <c r="E5" t="s">
        <v>22</v>
      </c>
      <c r="F5">
        <v>1455</v>
      </c>
      <c r="G5" s="1">
        <v>25321</v>
      </c>
      <c r="H5" s="2">
        <v>45488</v>
      </c>
      <c r="I5" t="s">
        <v>32</v>
      </c>
      <c r="J5" t="s">
        <v>33</v>
      </c>
      <c r="K5" t="s">
        <v>34</v>
      </c>
    </row>
    <row r="6" spans="1:11">
      <c r="A6" t="s">
        <v>35</v>
      </c>
      <c r="B6" t="s">
        <v>36</v>
      </c>
      <c r="C6" t="s">
        <v>13</v>
      </c>
      <c r="D6" t="s">
        <v>14</v>
      </c>
      <c r="E6" t="s">
        <v>15</v>
      </c>
      <c r="F6">
        <v>130</v>
      </c>
      <c r="G6" s="1">
        <v>13669</v>
      </c>
      <c r="H6" s="2">
        <v>45151</v>
      </c>
      <c r="I6" t="s">
        <v>16</v>
      </c>
      <c r="J6" t="s">
        <v>37</v>
      </c>
      <c r="K6" t="s">
        <v>18</v>
      </c>
    </row>
    <row r="7" spans="1:11">
      <c r="A7" t="s">
        <v>11</v>
      </c>
      <c r="B7" t="s">
        <v>36</v>
      </c>
      <c r="C7" t="s">
        <v>25</v>
      </c>
      <c r="D7" t="s">
        <v>14</v>
      </c>
      <c r="E7" t="s">
        <v>38</v>
      </c>
      <c r="F7">
        <v>619</v>
      </c>
      <c r="G7" s="1">
        <v>7552</v>
      </c>
      <c r="H7" s="2">
        <v>45265</v>
      </c>
      <c r="I7" t="s">
        <v>39</v>
      </c>
      <c r="J7" t="s">
        <v>40</v>
      </c>
      <c r="K7" t="s">
        <v>29</v>
      </c>
    </row>
    <row r="8" spans="1:11">
      <c r="A8" t="s">
        <v>35</v>
      </c>
      <c r="B8" t="s">
        <v>19</v>
      </c>
      <c r="C8" t="s">
        <v>20</v>
      </c>
      <c r="D8" t="s">
        <v>21</v>
      </c>
      <c r="E8">
        <v>30</v>
      </c>
      <c r="F8">
        <v>1779</v>
      </c>
      <c r="G8" s="1">
        <v>48563</v>
      </c>
      <c r="H8" s="2">
        <v>45146</v>
      </c>
      <c r="I8" t="s">
        <v>41</v>
      </c>
      <c r="J8" t="s">
        <v>42</v>
      </c>
      <c r="K8" t="s">
        <v>29</v>
      </c>
    </row>
    <row r="9" spans="1:11">
      <c r="A9" t="s">
        <v>11</v>
      </c>
      <c r="B9" t="s">
        <v>19</v>
      </c>
      <c r="C9" t="s">
        <v>13</v>
      </c>
      <c r="D9" t="s">
        <v>21</v>
      </c>
      <c r="E9" t="s">
        <v>38</v>
      </c>
      <c r="F9">
        <v>1727</v>
      </c>
      <c r="G9" s="1">
        <v>13672</v>
      </c>
      <c r="H9" s="2">
        <v>45290</v>
      </c>
      <c r="I9" t="s">
        <v>32</v>
      </c>
      <c r="J9" t="s">
        <v>43</v>
      </c>
      <c r="K9" t="s">
        <v>44</v>
      </c>
    </row>
    <row r="10" spans="1:11">
      <c r="A10" t="s">
        <v>45</v>
      </c>
      <c r="B10" t="s">
        <v>36</v>
      </c>
      <c r="C10" t="s">
        <v>25</v>
      </c>
      <c r="D10" t="s">
        <v>21</v>
      </c>
      <c r="E10" t="s">
        <v>15</v>
      </c>
      <c r="F10">
        <v>451</v>
      </c>
      <c r="G10" s="1">
        <v>45835</v>
      </c>
      <c r="H10" s="2">
        <v>45244</v>
      </c>
      <c r="I10" t="s">
        <v>32</v>
      </c>
      <c r="J10" t="s">
        <v>46</v>
      </c>
      <c r="K10" t="s">
        <v>47</v>
      </c>
    </row>
    <row r="11" spans="1:11">
      <c r="A11" t="s">
        <v>35</v>
      </c>
      <c r="B11" t="s">
        <v>19</v>
      </c>
      <c r="C11" t="s">
        <v>20</v>
      </c>
      <c r="D11" t="s">
        <v>31</v>
      </c>
      <c r="E11" t="s">
        <v>38</v>
      </c>
      <c r="F11">
        <v>1006</v>
      </c>
      <c r="G11" s="1">
        <v>31716</v>
      </c>
      <c r="H11" s="2">
        <v>45435</v>
      </c>
      <c r="I11" t="s">
        <v>32</v>
      </c>
      <c r="J11" t="s">
        <v>48</v>
      </c>
      <c r="K11" t="s">
        <v>47</v>
      </c>
    </row>
    <row r="12" spans="1:11">
      <c r="A12" t="s">
        <v>35</v>
      </c>
      <c r="B12" t="s">
        <v>49</v>
      </c>
      <c r="C12" t="s">
        <v>25</v>
      </c>
      <c r="D12" t="s">
        <v>26</v>
      </c>
      <c r="E12" t="s">
        <v>22</v>
      </c>
      <c r="F12">
        <v>1633</v>
      </c>
      <c r="G12" s="1">
        <v>33931</v>
      </c>
      <c r="H12" s="2">
        <v>45430</v>
      </c>
      <c r="I12" t="s">
        <v>39</v>
      </c>
      <c r="J12" t="s">
        <v>50</v>
      </c>
      <c r="K12" t="s">
        <v>34</v>
      </c>
    </row>
    <row r="13" spans="1:11">
      <c r="A13" t="s">
        <v>45</v>
      </c>
      <c r="B13" t="s">
        <v>51</v>
      </c>
      <c r="C13" t="s">
        <v>20</v>
      </c>
      <c r="D13" t="s">
        <v>26</v>
      </c>
      <c r="E13">
        <v>30</v>
      </c>
      <c r="F13">
        <v>128</v>
      </c>
      <c r="G13" s="1">
        <v>35258</v>
      </c>
      <c r="H13" s="2">
        <v>45238</v>
      </c>
      <c r="I13" t="s">
        <v>41</v>
      </c>
      <c r="J13" t="s">
        <v>52</v>
      </c>
      <c r="K13" t="s">
        <v>44</v>
      </c>
    </row>
    <row r="14" spans="1:11">
      <c r="A14" t="s">
        <v>35</v>
      </c>
      <c r="B14" t="s">
        <v>36</v>
      </c>
      <c r="C14" t="s">
        <v>30</v>
      </c>
      <c r="D14" t="s">
        <v>21</v>
      </c>
      <c r="E14" t="s">
        <v>38</v>
      </c>
      <c r="F14">
        <v>504</v>
      </c>
      <c r="G14" s="1">
        <v>36459</v>
      </c>
      <c r="H14" s="2">
        <v>45157</v>
      </c>
      <c r="I14" t="s">
        <v>39</v>
      </c>
      <c r="J14" t="s">
        <v>53</v>
      </c>
      <c r="K14" t="s">
        <v>34</v>
      </c>
    </row>
    <row r="15" spans="1:11">
      <c r="A15" t="s">
        <v>24</v>
      </c>
      <c r="B15" t="s">
        <v>36</v>
      </c>
      <c r="C15" t="s">
        <v>20</v>
      </c>
      <c r="D15" t="s">
        <v>21</v>
      </c>
      <c r="E15" t="s">
        <v>22</v>
      </c>
      <c r="F15">
        <v>216</v>
      </c>
      <c r="G15" s="1">
        <v>32152</v>
      </c>
      <c r="H15" s="2">
        <v>45481</v>
      </c>
      <c r="I15" t="s">
        <v>39</v>
      </c>
      <c r="J15" t="s">
        <v>54</v>
      </c>
      <c r="K15" t="s">
        <v>34</v>
      </c>
    </row>
    <row r="16" spans="1:11">
      <c r="A16" t="s">
        <v>24</v>
      </c>
      <c r="B16" t="s">
        <v>36</v>
      </c>
      <c r="C16" t="s">
        <v>30</v>
      </c>
      <c r="D16" t="s">
        <v>31</v>
      </c>
      <c r="E16" t="s">
        <v>38</v>
      </c>
      <c r="F16">
        <v>1986</v>
      </c>
      <c r="G16" s="1">
        <v>13538</v>
      </c>
      <c r="H16" s="2">
        <v>45263</v>
      </c>
      <c r="I16" t="s">
        <v>39</v>
      </c>
      <c r="J16" t="s">
        <v>55</v>
      </c>
      <c r="K16" t="s">
        <v>34</v>
      </c>
    </row>
    <row r="17" spans="1:11">
      <c r="A17" t="s">
        <v>45</v>
      </c>
      <c r="B17" t="s">
        <v>12</v>
      </c>
      <c r="C17" t="s">
        <v>20</v>
      </c>
      <c r="D17" t="s">
        <v>26</v>
      </c>
      <c r="E17">
        <v>30</v>
      </c>
      <c r="F17">
        <v>1977</v>
      </c>
      <c r="G17" s="1">
        <v>9566</v>
      </c>
      <c r="H17" s="2">
        <v>45486</v>
      </c>
      <c r="I17" t="s">
        <v>27</v>
      </c>
      <c r="J17" t="s">
        <v>56</v>
      </c>
      <c r="K17" t="s">
        <v>44</v>
      </c>
    </row>
    <row r="18" spans="1:11">
      <c r="A18" t="s">
        <v>45</v>
      </c>
      <c r="B18" t="s">
        <v>36</v>
      </c>
      <c r="C18" t="s">
        <v>13</v>
      </c>
      <c r="D18" t="s">
        <v>14</v>
      </c>
      <c r="E18" t="s">
        <v>15</v>
      </c>
      <c r="F18">
        <v>1320</v>
      </c>
      <c r="G18" s="1">
        <v>29932</v>
      </c>
      <c r="H18" s="2">
        <v>45160</v>
      </c>
      <c r="I18" t="s">
        <v>41</v>
      </c>
      <c r="J18" t="s">
        <v>57</v>
      </c>
      <c r="K18" t="s">
        <v>18</v>
      </c>
    </row>
    <row r="19" spans="1:11">
      <c r="A19" t="s">
        <v>24</v>
      </c>
      <c r="B19" t="s">
        <v>12</v>
      </c>
      <c r="C19" t="s">
        <v>20</v>
      </c>
      <c r="D19" t="s">
        <v>31</v>
      </c>
      <c r="E19">
        <v>30</v>
      </c>
      <c r="F19">
        <v>1766</v>
      </c>
      <c r="G19" s="1">
        <v>45608</v>
      </c>
      <c r="H19" s="2">
        <v>45349</v>
      </c>
      <c r="I19" t="s">
        <v>16</v>
      </c>
      <c r="J19" t="s">
        <v>58</v>
      </c>
      <c r="K19" t="s">
        <v>34</v>
      </c>
    </row>
    <row r="20" spans="1:11">
      <c r="A20" t="s">
        <v>11</v>
      </c>
      <c r="B20" t="s">
        <v>19</v>
      </c>
      <c r="C20" t="s">
        <v>59</v>
      </c>
      <c r="D20" t="s">
        <v>14</v>
      </c>
      <c r="E20">
        <v>60</v>
      </c>
      <c r="F20">
        <v>1078</v>
      </c>
      <c r="G20" s="1">
        <v>42394</v>
      </c>
      <c r="H20" s="2">
        <v>45303</v>
      </c>
      <c r="I20" t="s">
        <v>16</v>
      </c>
      <c r="J20" t="s">
        <v>60</v>
      </c>
      <c r="K20" t="s">
        <v>44</v>
      </c>
    </row>
    <row r="21" spans="1:11">
      <c r="A21" t="s">
        <v>35</v>
      </c>
      <c r="B21" t="s">
        <v>19</v>
      </c>
      <c r="C21" t="s">
        <v>30</v>
      </c>
      <c r="D21" t="s">
        <v>21</v>
      </c>
      <c r="E21">
        <v>60</v>
      </c>
      <c r="F21">
        <v>783</v>
      </c>
      <c r="G21" s="1">
        <v>48016</v>
      </c>
      <c r="H21" s="2">
        <v>45315</v>
      </c>
      <c r="I21" t="s">
        <v>32</v>
      </c>
      <c r="J21" t="s">
        <v>61</v>
      </c>
      <c r="K21" t="s">
        <v>18</v>
      </c>
    </row>
    <row r="22" spans="1:11">
      <c r="A22" t="s">
        <v>24</v>
      </c>
      <c r="B22" t="s">
        <v>19</v>
      </c>
      <c r="C22" t="s">
        <v>25</v>
      </c>
      <c r="D22" t="s">
        <v>14</v>
      </c>
      <c r="E22">
        <v>60</v>
      </c>
      <c r="F22">
        <v>1161</v>
      </c>
      <c r="G22" s="1">
        <v>11048</v>
      </c>
      <c r="H22" s="2">
        <v>45299</v>
      </c>
      <c r="I22" t="s">
        <v>39</v>
      </c>
      <c r="J22" t="s">
        <v>62</v>
      </c>
      <c r="K22" t="s">
        <v>18</v>
      </c>
    </row>
    <row r="23" spans="1:11">
      <c r="A23" t="s">
        <v>45</v>
      </c>
      <c r="B23" t="s">
        <v>19</v>
      </c>
      <c r="C23" t="s">
        <v>25</v>
      </c>
      <c r="D23" t="s">
        <v>26</v>
      </c>
      <c r="E23" t="s">
        <v>15</v>
      </c>
      <c r="F23">
        <v>1820</v>
      </c>
      <c r="G23" s="1">
        <v>16952</v>
      </c>
      <c r="H23" s="2">
        <v>45366</v>
      </c>
      <c r="I23" t="s">
        <v>27</v>
      </c>
      <c r="J23" t="s">
        <v>63</v>
      </c>
      <c r="K23" t="s">
        <v>29</v>
      </c>
    </row>
    <row r="24" spans="1:11">
      <c r="A24" t="s">
        <v>64</v>
      </c>
      <c r="B24" t="s">
        <v>36</v>
      </c>
      <c r="C24" t="s">
        <v>13</v>
      </c>
      <c r="D24" t="s">
        <v>26</v>
      </c>
      <c r="E24">
        <v>60</v>
      </c>
      <c r="F24">
        <v>147</v>
      </c>
      <c r="G24" s="1">
        <v>28543</v>
      </c>
      <c r="H24" s="2">
        <v>45437</v>
      </c>
      <c r="I24" t="s">
        <v>27</v>
      </c>
      <c r="J24" t="s">
        <v>65</v>
      </c>
      <c r="K24" t="s">
        <v>29</v>
      </c>
    </row>
    <row r="25" spans="1:11">
      <c r="A25" t="s">
        <v>11</v>
      </c>
      <c r="B25" t="s">
        <v>51</v>
      </c>
      <c r="C25" t="s">
        <v>25</v>
      </c>
      <c r="D25" t="s">
        <v>66</v>
      </c>
      <c r="E25">
        <v>60</v>
      </c>
      <c r="F25">
        <v>990</v>
      </c>
      <c r="G25" s="1">
        <v>5766</v>
      </c>
      <c r="H25" s="2">
        <v>45172</v>
      </c>
      <c r="I25" t="s">
        <v>41</v>
      </c>
      <c r="J25" t="s">
        <v>67</v>
      </c>
      <c r="K25" t="s">
        <v>44</v>
      </c>
    </row>
    <row r="26" spans="1:11">
      <c r="A26" t="s">
        <v>11</v>
      </c>
      <c r="B26" t="s">
        <v>51</v>
      </c>
      <c r="C26" t="s">
        <v>30</v>
      </c>
      <c r="D26" t="s">
        <v>21</v>
      </c>
      <c r="E26">
        <v>60</v>
      </c>
      <c r="F26">
        <v>223</v>
      </c>
      <c r="G26" s="1">
        <v>23153</v>
      </c>
      <c r="H26" s="2">
        <v>45371</v>
      </c>
      <c r="I26" t="s">
        <v>32</v>
      </c>
      <c r="J26" t="s">
        <v>68</v>
      </c>
      <c r="K26" t="s">
        <v>44</v>
      </c>
    </row>
    <row r="27" spans="1:11">
      <c r="A27" t="s">
        <v>64</v>
      </c>
      <c r="B27" t="s">
        <v>51</v>
      </c>
      <c r="C27" t="s">
        <v>59</v>
      </c>
      <c r="D27" t="s">
        <v>66</v>
      </c>
      <c r="E27" t="s">
        <v>15</v>
      </c>
      <c r="F27">
        <v>855</v>
      </c>
      <c r="G27" s="1">
        <v>22920</v>
      </c>
      <c r="H27" s="2">
        <v>45313</v>
      </c>
      <c r="I27" t="s">
        <v>16</v>
      </c>
      <c r="J27" t="s">
        <v>69</v>
      </c>
      <c r="K27" t="s">
        <v>47</v>
      </c>
    </row>
    <row r="28" spans="1:11">
      <c r="A28" t="s">
        <v>35</v>
      </c>
      <c r="B28" t="s">
        <v>19</v>
      </c>
      <c r="C28" t="s">
        <v>20</v>
      </c>
      <c r="D28" t="s">
        <v>26</v>
      </c>
      <c r="E28" t="s">
        <v>22</v>
      </c>
      <c r="F28">
        <v>968</v>
      </c>
      <c r="G28" s="1">
        <v>6595</v>
      </c>
      <c r="H28" s="2">
        <v>45264</v>
      </c>
      <c r="I28" t="s">
        <v>27</v>
      </c>
      <c r="J28" t="s">
        <v>70</v>
      </c>
      <c r="K28" t="s">
        <v>29</v>
      </c>
    </row>
    <row r="29" spans="1:11">
      <c r="A29" t="s">
        <v>11</v>
      </c>
      <c r="B29" t="s">
        <v>12</v>
      </c>
      <c r="C29" t="s">
        <v>20</v>
      </c>
      <c r="D29" t="s">
        <v>31</v>
      </c>
      <c r="E29" t="s">
        <v>38</v>
      </c>
      <c r="F29">
        <v>1378</v>
      </c>
      <c r="G29" s="1">
        <v>37523</v>
      </c>
      <c r="H29" s="2">
        <v>45271</v>
      </c>
      <c r="I29" t="s">
        <v>16</v>
      </c>
      <c r="J29" t="s">
        <v>71</v>
      </c>
      <c r="K29" t="s">
        <v>44</v>
      </c>
    </row>
    <row r="30" spans="1:11">
      <c r="A30" t="s">
        <v>11</v>
      </c>
      <c r="B30" t="s">
        <v>51</v>
      </c>
      <c r="C30" t="s">
        <v>13</v>
      </c>
      <c r="D30" t="s">
        <v>21</v>
      </c>
      <c r="E30" t="s">
        <v>22</v>
      </c>
      <c r="F30">
        <v>1473</v>
      </c>
      <c r="G30" s="1">
        <v>23815</v>
      </c>
      <c r="H30" s="2">
        <v>45495</v>
      </c>
      <c r="I30" t="s">
        <v>16</v>
      </c>
      <c r="J30" t="s">
        <v>72</v>
      </c>
      <c r="K30" t="s">
        <v>47</v>
      </c>
    </row>
    <row r="31" spans="1:11">
      <c r="A31" t="s">
        <v>35</v>
      </c>
      <c r="B31" t="s">
        <v>19</v>
      </c>
      <c r="C31" t="s">
        <v>25</v>
      </c>
      <c r="D31" t="s">
        <v>66</v>
      </c>
      <c r="E31" t="s">
        <v>22</v>
      </c>
      <c r="F31">
        <v>791</v>
      </c>
      <c r="G31" s="1">
        <v>40754</v>
      </c>
      <c r="H31" s="2">
        <v>45417</v>
      </c>
      <c r="I31" t="s">
        <v>27</v>
      </c>
      <c r="J31" t="s">
        <v>73</v>
      </c>
      <c r="K31" t="s">
        <v>29</v>
      </c>
    </row>
    <row r="32" spans="1:11">
      <c r="A32" t="s">
        <v>35</v>
      </c>
      <c r="B32" t="s">
        <v>36</v>
      </c>
      <c r="C32" t="s">
        <v>13</v>
      </c>
      <c r="D32" t="s">
        <v>31</v>
      </c>
      <c r="E32" t="s">
        <v>15</v>
      </c>
      <c r="F32">
        <v>1523</v>
      </c>
      <c r="G32" s="1">
        <v>35645</v>
      </c>
      <c r="H32" s="2">
        <v>45211</v>
      </c>
      <c r="I32" t="s">
        <v>16</v>
      </c>
      <c r="J32" t="s">
        <v>74</v>
      </c>
      <c r="K32" t="s">
        <v>18</v>
      </c>
    </row>
    <row r="33" spans="1:11">
      <c r="A33" t="s">
        <v>24</v>
      </c>
      <c r="B33" t="s">
        <v>12</v>
      </c>
      <c r="C33" t="s">
        <v>20</v>
      </c>
      <c r="D33" t="s">
        <v>66</v>
      </c>
      <c r="E33" t="s">
        <v>15</v>
      </c>
      <c r="F33">
        <v>1214</v>
      </c>
      <c r="G33" s="1">
        <v>1820</v>
      </c>
      <c r="H33" s="2">
        <v>45359</v>
      </c>
      <c r="I33" t="s">
        <v>16</v>
      </c>
      <c r="J33" t="s">
        <v>75</v>
      </c>
      <c r="K33" t="s">
        <v>44</v>
      </c>
    </row>
    <row r="34" spans="1:11">
      <c r="A34" t="s">
        <v>35</v>
      </c>
      <c r="B34" t="s">
        <v>36</v>
      </c>
      <c r="C34" t="s">
        <v>30</v>
      </c>
      <c r="D34" t="s">
        <v>66</v>
      </c>
      <c r="E34">
        <v>60</v>
      </c>
      <c r="F34">
        <v>440</v>
      </c>
      <c r="G34" s="1">
        <v>13578</v>
      </c>
      <c r="H34" s="2">
        <v>45470</v>
      </c>
      <c r="I34" t="s">
        <v>32</v>
      </c>
      <c r="J34" t="s">
        <v>76</v>
      </c>
      <c r="K34" t="s">
        <v>29</v>
      </c>
    </row>
    <row r="35" spans="1:11">
      <c r="A35" t="s">
        <v>64</v>
      </c>
      <c r="B35" t="s">
        <v>49</v>
      </c>
      <c r="C35" t="s">
        <v>59</v>
      </c>
      <c r="D35" t="s">
        <v>31</v>
      </c>
      <c r="E35">
        <v>60</v>
      </c>
      <c r="F35">
        <v>1574</v>
      </c>
      <c r="G35" s="1">
        <v>47682</v>
      </c>
      <c r="H35" s="2">
        <v>45396</v>
      </c>
      <c r="I35" t="s">
        <v>27</v>
      </c>
      <c r="J35" t="s">
        <v>77</v>
      </c>
      <c r="K35" t="s">
        <v>47</v>
      </c>
    </row>
    <row r="36" spans="1:11">
      <c r="A36" t="s">
        <v>45</v>
      </c>
      <c r="B36" t="s">
        <v>12</v>
      </c>
      <c r="C36" t="s">
        <v>20</v>
      </c>
      <c r="D36" t="s">
        <v>66</v>
      </c>
      <c r="E36" t="s">
        <v>15</v>
      </c>
      <c r="F36">
        <v>1880</v>
      </c>
      <c r="G36" s="1">
        <v>41604</v>
      </c>
      <c r="H36" s="2">
        <v>45295</v>
      </c>
      <c r="I36" t="s">
        <v>41</v>
      </c>
      <c r="J36" t="s">
        <v>78</v>
      </c>
      <c r="K36" t="s">
        <v>34</v>
      </c>
    </row>
    <row r="37" spans="1:11">
      <c r="A37" t="s">
        <v>24</v>
      </c>
      <c r="B37" t="s">
        <v>51</v>
      </c>
      <c r="C37" t="s">
        <v>13</v>
      </c>
      <c r="D37" t="s">
        <v>14</v>
      </c>
      <c r="E37" t="s">
        <v>38</v>
      </c>
      <c r="F37">
        <v>383</v>
      </c>
      <c r="G37" s="1">
        <v>21024</v>
      </c>
      <c r="H37" s="2">
        <v>45298</v>
      </c>
      <c r="I37" t="s">
        <v>16</v>
      </c>
      <c r="J37" t="s">
        <v>79</v>
      </c>
      <c r="K37" t="s">
        <v>29</v>
      </c>
    </row>
    <row r="38" spans="1:11">
      <c r="A38" t="s">
        <v>24</v>
      </c>
      <c r="B38" t="s">
        <v>49</v>
      </c>
      <c r="C38" t="s">
        <v>30</v>
      </c>
      <c r="D38" t="s">
        <v>31</v>
      </c>
      <c r="E38" t="s">
        <v>38</v>
      </c>
      <c r="F38">
        <v>253</v>
      </c>
      <c r="G38" s="1">
        <v>18363</v>
      </c>
      <c r="H38" s="2">
        <v>45459</v>
      </c>
      <c r="I38" t="s">
        <v>16</v>
      </c>
      <c r="J38" t="s">
        <v>80</v>
      </c>
      <c r="K38" t="s">
        <v>44</v>
      </c>
    </row>
    <row r="39" spans="1:11">
      <c r="A39" t="s">
        <v>35</v>
      </c>
      <c r="B39" t="s">
        <v>49</v>
      </c>
      <c r="C39" t="s">
        <v>59</v>
      </c>
      <c r="D39" t="s">
        <v>14</v>
      </c>
      <c r="E39">
        <v>30</v>
      </c>
      <c r="F39">
        <v>1818</v>
      </c>
      <c r="G39" s="1">
        <v>2347</v>
      </c>
      <c r="H39" s="2">
        <v>45320</v>
      </c>
      <c r="I39" t="s">
        <v>27</v>
      </c>
      <c r="J39" t="s">
        <v>81</v>
      </c>
      <c r="K39" t="s">
        <v>44</v>
      </c>
    </row>
    <row r="40" spans="1:11">
      <c r="A40" t="s">
        <v>24</v>
      </c>
      <c r="B40" t="s">
        <v>51</v>
      </c>
      <c r="C40" t="s">
        <v>13</v>
      </c>
      <c r="D40" t="s">
        <v>66</v>
      </c>
      <c r="E40" t="s">
        <v>15</v>
      </c>
      <c r="F40">
        <v>1351</v>
      </c>
      <c r="G40" s="1">
        <v>41781</v>
      </c>
      <c r="H40" s="2">
        <v>45201</v>
      </c>
      <c r="I40" t="s">
        <v>32</v>
      </c>
      <c r="J40" t="s">
        <v>82</v>
      </c>
      <c r="K40" t="s">
        <v>18</v>
      </c>
    </row>
    <row r="41" spans="1:11">
      <c r="A41" t="s">
        <v>11</v>
      </c>
      <c r="B41" t="s">
        <v>49</v>
      </c>
      <c r="C41" t="s">
        <v>59</v>
      </c>
      <c r="D41" t="s">
        <v>26</v>
      </c>
      <c r="E41" t="s">
        <v>38</v>
      </c>
      <c r="F41">
        <v>1904</v>
      </c>
      <c r="G41" s="1">
        <v>34028</v>
      </c>
      <c r="H41" s="2">
        <v>45175</v>
      </c>
      <c r="I41" t="s">
        <v>27</v>
      </c>
      <c r="J41" t="s">
        <v>83</v>
      </c>
      <c r="K41" t="s">
        <v>29</v>
      </c>
    </row>
    <row r="42" spans="1:11">
      <c r="A42" t="s">
        <v>11</v>
      </c>
      <c r="B42" t="s">
        <v>12</v>
      </c>
      <c r="C42" t="s">
        <v>30</v>
      </c>
      <c r="D42" t="s">
        <v>14</v>
      </c>
      <c r="E42" t="s">
        <v>38</v>
      </c>
      <c r="F42">
        <v>1954</v>
      </c>
      <c r="G42" s="1">
        <v>6369</v>
      </c>
      <c r="H42" s="2">
        <v>45181</v>
      </c>
      <c r="I42" t="s">
        <v>27</v>
      </c>
      <c r="J42" t="s">
        <v>84</v>
      </c>
      <c r="K42" t="s">
        <v>47</v>
      </c>
    </row>
    <row r="43" spans="1:11">
      <c r="A43" t="s">
        <v>45</v>
      </c>
      <c r="B43" t="s">
        <v>36</v>
      </c>
      <c r="C43" t="s">
        <v>25</v>
      </c>
      <c r="D43" t="s">
        <v>14</v>
      </c>
      <c r="E43">
        <v>60</v>
      </c>
      <c r="F43">
        <v>1042</v>
      </c>
      <c r="G43" s="1">
        <v>18788</v>
      </c>
      <c r="H43" s="2">
        <v>45229</v>
      </c>
      <c r="I43" t="s">
        <v>39</v>
      </c>
      <c r="J43" t="s">
        <v>85</v>
      </c>
      <c r="K43" t="s">
        <v>18</v>
      </c>
    </row>
    <row r="44" spans="1:11">
      <c r="A44" t="s">
        <v>64</v>
      </c>
      <c r="B44" t="s">
        <v>36</v>
      </c>
      <c r="C44" t="s">
        <v>20</v>
      </c>
      <c r="D44" t="s">
        <v>66</v>
      </c>
      <c r="E44" t="s">
        <v>38</v>
      </c>
      <c r="F44">
        <v>1564</v>
      </c>
      <c r="G44" s="1">
        <v>22868</v>
      </c>
      <c r="H44" s="2">
        <v>45190</v>
      </c>
      <c r="I44" t="s">
        <v>16</v>
      </c>
      <c r="J44" t="s">
        <v>86</v>
      </c>
      <c r="K44" t="s">
        <v>47</v>
      </c>
    </row>
    <row r="45" spans="1:11">
      <c r="A45" t="s">
        <v>35</v>
      </c>
      <c r="B45" t="s">
        <v>49</v>
      </c>
      <c r="C45" t="s">
        <v>59</v>
      </c>
      <c r="D45" t="s">
        <v>14</v>
      </c>
      <c r="E45" t="s">
        <v>22</v>
      </c>
      <c r="F45">
        <v>1741</v>
      </c>
      <c r="G45" s="1">
        <v>16211</v>
      </c>
      <c r="H45" s="2">
        <v>45390</v>
      </c>
      <c r="I45" t="s">
        <v>27</v>
      </c>
      <c r="J45" t="s">
        <v>87</v>
      </c>
      <c r="K45" t="s">
        <v>18</v>
      </c>
    </row>
    <row r="46" spans="1:11">
      <c r="A46" t="s">
        <v>35</v>
      </c>
      <c r="B46" t="s">
        <v>36</v>
      </c>
      <c r="C46" t="s">
        <v>59</v>
      </c>
      <c r="D46" t="s">
        <v>66</v>
      </c>
      <c r="E46" t="s">
        <v>15</v>
      </c>
      <c r="F46">
        <v>565</v>
      </c>
      <c r="G46" s="1">
        <v>32496</v>
      </c>
      <c r="H46" s="2">
        <v>45237</v>
      </c>
      <c r="I46" t="s">
        <v>16</v>
      </c>
      <c r="J46" t="s">
        <v>88</v>
      </c>
      <c r="K46" t="s">
        <v>47</v>
      </c>
    </row>
    <row r="47" spans="1:11">
      <c r="A47" t="s">
        <v>35</v>
      </c>
      <c r="B47" t="s">
        <v>36</v>
      </c>
      <c r="C47" t="s">
        <v>25</v>
      </c>
      <c r="D47" t="s">
        <v>21</v>
      </c>
      <c r="E47" t="s">
        <v>15</v>
      </c>
      <c r="F47">
        <v>293</v>
      </c>
      <c r="G47" s="1">
        <v>40588</v>
      </c>
      <c r="H47" s="2">
        <v>45433</v>
      </c>
      <c r="I47" t="s">
        <v>41</v>
      </c>
      <c r="J47" t="s">
        <v>89</v>
      </c>
      <c r="K47" t="s">
        <v>47</v>
      </c>
    </row>
    <row r="48" spans="1:11">
      <c r="A48" t="s">
        <v>24</v>
      </c>
      <c r="B48" t="s">
        <v>49</v>
      </c>
      <c r="C48" t="s">
        <v>25</v>
      </c>
      <c r="D48" t="s">
        <v>21</v>
      </c>
      <c r="E48" t="s">
        <v>38</v>
      </c>
      <c r="F48">
        <v>1032</v>
      </c>
      <c r="G48" s="1">
        <v>23173</v>
      </c>
      <c r="H48" s="2">
        <v>45326</v>
      </c>
      <c r="I48" t="s">
        <v>27</v>
      </c>
      <c r="J48" t="s">
        <v>90</v>
      </c>
      <c r="K48" t="s">
        <v>47</v>
      </c>
    </row>
    <row r="49" spans="1:11">
      <c r="A49" t="s">
        <v>45</v>
      </c>
      <c r="B49" t="s">
        <v>51</v>
      </c>
      <c r="C49" t="s">
        <v>25</v>
      </c>
      <c r="D49" t="s">
        <v>66</v>
      </c>
      <c r="E49" t="s">
        <v>38</v>
      </c>
      <c r="F49">
        <v>1315</v>
      </c>
      <c r="G49" s="1">
        <v>3801</v>
      </c>
      <c r="H49" s="2">
        <v>45287</v>
      </c>
      <c r="I49" t="s">
        <v>16</v>
      </c>
      <c r="J49" t="s">
        <v>91</v>
      </c>
      <c r="K49" t="s">
        <v>18</v>
      </c>
    </row>
    <row r="50" spans="1:11">
      <c r="A50" t="s">
        <v>11</v>
      </c>
      <c r="B50" t="s">
        <v>19</v>
      </c>
      <c r="C50" t="s">
        <v>59</v>
      </c>
      <c r="D50" t="s">
        <v>14</v>
      </c>
      <c r="E50">
        <v>60</v>
      </c>
      <c r="F50">
        <v>1499</v>
      </c>
      <c r="G50" s="1">
        <v>18175</v>
      </c>
      <c r="H50" s="2">
        <v>45159</v>
      </c>
      <c r="I50" t="s">
        <v>39</v>
      </c>
      <c r="J50" t="s">
        <v>92</v>
      </c>
      <c r="K50" t="s">
        <v>34</v>
      </c>
    </row>
    <row r="51" spans="1:11">
      <c r="A51" t="s">
        <v>11</v>
      </c>
      <c r="B51" t="s">
        <v>51</v>
      </c>
      <c r="C51" t="s">
        <v>25</v>
      </c>
      <c r="D51" t="s">
        <v>66</v>
      </c>
      <c r="E51" t="s">
        <v>15</v>
      </c>
      <c r="F51">
        <v>1427</v>
      </c>
      <c r="G51" s="1">
        <v>1053</v>
      </c>
      <c r="H51" s="2">
        <v>45498</v>
      </c>
      <c r="I51" t="s">
        <v>39</v>
      </c>
      <c r="J51" t="s">
        <v>93</v>
      </c>
      <c r="K51" t="s">
        <v>18</v>
      </c>
    </row>
    <row r="52" spans="1:11">
      <c r="A52" t="s">
        <v>45</v>
      </c>
      <c r="B52" t="s">
        <v>36</v>
      </c>
      <c r="C52" t="s">
        <v>59</v>
      </c>
      <c r="D52" t="s">
        <v>21</v>
      </c>
      <c r="E52">
        <v>60</v>
      </c>
      <c r="F52">
        <v>1044</v>
      </c>
      <c r="G52" s="1">
        <v>29042</v>
      </c>
      <c r="H52" s="2">
        <v>45242</v>
      </c>
      <c r="I52" t="s">
        <v>41</v>
      </c>
      <c r="J52" t="s">
        <v>94</v>
      </c>
      <c r="K52" t="s">
        <v>29</v>
      </c>
    </row>
    <row r="53" spans="1:11">
      <c r="A53" t="s">
        <v>11</v>
      </c>
      <c r="B53" t="s">
        <v>12</v>
      </c>
      <c r="C53" t="s">
        <v>20</v>
      </c>
      <c r="D53" t="s">
        <v>31</v>
      </c>
      <c r="E53">
        <v>60</v>
      </c>
      <c r="F53">
        <v>257</v>
      </c>
      <c r="G53" s="1">
        <v>28677</v>
      </c>
      <c r="H53" s="2">
        <v>45268</v>
      </c>
      <c r="I53" t="s">
        <v>27</v>
      </c>
      <c r="J53" t="s">
        <v>95</v>
      </c>
      <c r="K53" t="s">
        <v>44</v>
      </c>
    </row>
    <row r="54" spans="1:11">
      <c r="A54" t="s">
        <v>45</v>
      </c>
      <c r="B54" t="s">
        <v>36</v>
      </c>
      <c r="C54" t="s">
        <v>25</v>
      </c>
      <c r="D54" t="s">
        <v>26</v>
      </c>
      <c r="E54">
        <v>30</v>
      </c>
      <c r="F54">
        <v>1768</v>
      </c>
      <c r="G54" s="1">
        <v>40547</v>
      </c>
      <c r="H54" s="2">
        <v>45263</v>
      </c>
      <c r="I54" t="s">
        <v>27</v>
      </c>
      <c r="J54" t="s">
        <v>96</v>
      </c>
      <c r="K54" t="s">
        <v>29</v>
      </c>
    </row>
    <row r="55" spans="1:11">
      <c r="A55" t="s">
        <v>11</v>
      </c>
      <c r="B55" t="s">
        <v>19</v>
      </c>
      <c r="C55" t="s">
        <v>59</v>
      </c>
      <c r="D55" t="s">
        <v>66</v>
      </c>
      <c r="E55" t="s">
        <v>15</v>
      </c>
      <c r="F55">
        <v>654</v>
      </c>
      <c r="G55" s="1">
        <v>16542</v>
      </c>
      <c r="H55" s="2">
        <v>45243</v>
      </c>
      <c r="I55" t="s">
        <v>32</v>
      </c>
      <c r="J55" t="s">
        <v>97</v>
      </c>
      <c r="K55" t="s">
        <v>29</v>
      </c>
    </row>
    <row r="56" spans="1:11">
      <c r="A56" t="s">
        <v>35</v>
      </c>
      <c r="B56" t="s">
        <v>51</v>
      </c>
      <c r="C56" t="s">
        <v>13</v>
      </c>
      <c r="D56" t="s">
        <v>14</v>
      </c>
      <c r="E56">
        <v>60</v>
      </c>
      <c r="F56">
        <v>1137</v>
      </c>
      <c r="G56" s="1">
        <v>33706</v>
      </c>
      <c r="H56" s="2">
        <v>45490</v>
      </c>
      <c r="I56" t="s">
        <v>41</v>
      </c>
      <c r="J56" t="s">
        <v>98</v>
      </c>
      <c r="K56" t="s">
        <v>29</v>
      </c>
    </row>
    <row r="57" spans="1:11">
      <c r="A57" t="s">
        <v>24</v>
      </c>
      <c r="B57" t="s">
        <v>19</v>
      </c>
      <c r="C57" t="s">
        <v>25</v>
      </c>
      <c r="D57" t="s">
        <v>31</v>
      </c>
      <c r="E57">
        <v>30</v>
      </c>
      <c r="F57">
        <v>739</v>
      </c>
      <c r="G57" s="1">
        <v>38821</v>
      </c>
      <c r="H57" s="2">
        <v>45268</v>
      </c>
      <c r="I57" t="s">
        <v>16</v>
      </c>
      <c r="J57" t="s">
        <v>99</v>
      </c>
      <c r="K57" t="s">
        <v>34</v>
      </c>
    </row>
    <row r="58" spans="1:11">
      <c r="A58" t="s">
        <v>45</v>
      </c>
      <c r="B58" t="s">
        <v>19</v>
      </c>
      <c r="C58" t="s">
        <v>25</v>
      </c>
      <c r="D58" t="s">
        <v>31</v>
      </c>
      <c r="E58" t="s">
        <v>22</v>
      </c>
      <c r="F58">
        <v>1610</v>
      </c>
      <c r="G58" s="1">
        <v>5779</v>
      </c>
      <c r="H58" s="2">
        <v>45198</v>
      </c>
      <c r="I58" t="s">
        <v>41</v>
      </c>
      <c r="J58" t="s">
        <v>100</v>
      </c>
      <c r="K58" t="s">
        <v>34</v>
      </c>
    </row>
    <row r="59" spans="1:11">
      <c r="A59" t="s">
        <v>64</v>
      </c>
      <c r="B59" t="s">
        <v>36</v>
      </c>
      <c r="C59" t="s">
        <v>59</v>
      </c>
      <c r="D59" t="s">
        <v>21</v>
      </c>
      <c r="E59">
        <v>60</v>
      </c>
      <c r="F59">
        <v>1703</v>
      </c>
      <c r="G59" s="1">
        <v>7678</v>
      </c>
      <c r="H59" s="2">
        <v>45324</v>
      </c>
      <c r="I59" t="s">
        <v>27</v>
      </c>
      <c r="J59" t="s">
        <v>101</v>
      </c>
      <c r="K59" t="s">
        <v>29</v>
      </c>
    </row>
    <row r="60" spans="1:11">
      <c r="A60" t="s">
        <v>11</v>
      </c>
      <c r="B60" t="s">
        <v>49</v>
      </c>
      <c r="C60" t="s">
        <v>20</v>
      </c>
      <c r="D60" t="s">
        <v>66</v>
      </c>
      <c r="E60">
        <v>60</v>
      </c>
      <c r="F60">
        <v>1639</v>
      </c>
      <c r="G60" s="1">
        <v>15878</v>
      </c>
      <c r="H60" s="2">
        <v>45184</v>
      </c>
      <c r="I60" t="s">
        <v>39</v>
      </c>
      <c r="J60" t="s">
        <v>102</v>
      </c>
      <c r="K60" t="s">
        <v>34</v>
      </c>
    </row>
    <row r="61" spans="1:11">
      <c r="A61" t="s">
        <v>11</v>
      </c>
      <c r="B61" t="s">
        <v>12</v>
      </c>
      <c r="C61" t="s">
        <v>25</v>
      </c>
      <c r="D61" t="s">
        <v>31</v>
      </c>
      <c r="E61" t="s">
        <v>22</v>
      </c>
      <c r="F61">
        <v>1219</v>
      </c>
      <c r="G61" s="1">
        <v>48415</v>
      </c>
      <c r="H61" s="2">
        <v>45379</v>
      </c>
      <c r="I61" t="s">
        <v>16</v>
      </c>
      <c r="J61" t="s">
        <v>103</v>
      </c>
      <c r="K61" t="s">
        <v>47</v>
      </c>
    </row>
    <row r="62" spans="1:11">
      <c r="A62" t="s">
        <v>45</v>
      </c>
      <c r="B62" t="s">
        <v>19</v>
      </c>
      <c r="C62" t="s">
        <v>59</v>
      </c>
      <c r="D62" t="s">
        <v>26</v>
      </c>
      <c r="E62" t="s">
        <v>22</v>
      </c>
      <c r="F62">
        <v>871</v>
      </c>
      <c r="G62" s="1">
        <v>41051</v>
      </c>
      <c r="H62" s="2">
        <v>45292</v>
      </c>
      <c r="I62" t="s">
        <v>32</v>
      </c>
      <c r="J62" t="s">
        <v>104</v>
      </c>
      <c r="K62" t="s">
        <v>29</v>
      </c>
    </row>
    <row r="63" spans="1:11">
      <c r="A63" t="s">
        <v>35</v>
      </c>
      <c r="B63" t="s">
        <v>12</v>
      </c>
      <c r="C63" t="s">
        <v>20</v>
      </c>
      <c r="D63" t="s">
        <v>66</v>
      </c>
      <c r="E63" t="s">
        <v>15</v>
      </c>
      <c r="F63">
        <v>995</v>
      </c>
      <c r="G63" s="1">
        <v>17900</v>
      </c>
      <c r="H63" s="2">
        <v>45330</v>
      </c>
      <c r="I63" t="s">
        <v>16</v>
      </c>
      <c r="J63" t="s">
        <v>105</v>
      </c>
      <c r="K63" t="s">
        <v>44</v>
      </c>
    </row>
    <row r="64" spans="1:11">
      <c r="A64" t="s">
        <v>11</v>
      </c>
      <c r="B64" t="s">
        <v>19</v>
      </c>
      <c r="C64" t="s">
        <v>30</v>
      </c>
      <c r="D64" t="s">
        <v>66</v>
      </c>
      <c r="E64">
        <v>30</v>
      </c>
      <c r="F64">
        <v>1446</v>
      </c>
      <c r="G64" s="1">
        <v>37654</v>
      </c>
      <c r="H64" s="2">
        <v>45260</v>
      </c>
      <c r="I64" t="s">
        <v>27</v>
      </c>
      <c r="J64" t="s">
        <v>106</v>
      </c>
      <c r="K64" t="s">
        <v>29</v>
      </c>
    </row>
    <row r="65" spans="1:11">
      <c r="A65" t="s">
        <v>11</v>
      </c>
      <c r="B65" t="s">
        <v>19</v>
      </c>
      <c r="C65" t="s">
        <v>13</v>
      </c>
      <c r="D65" t="s">
        <v>31</v>
      </c>
      <c r="E65">
        <v>60</v>
      </c>
      <c r="F65">
        <v>1269</v>
      </c>
      <c r="G65" s="1">
        <v>22319</v>
      </c>
      <c r="H65" s="2">
        <v>45250</v>
      </c>
      <c r="I65" t="s">
        <v>41</v>
      </c>
      <c r="J65" t="s">
        <v>107</v>
      </c>
      <c r="K65" t="s">
        <v>44</v>
      </c>
    </row>
    <row r="66" spans="1:11">
      <c r="A66" t="s">
        <v>45</v>
      </c>
      <c r="B66" t="s">
        <v>12</v>
      </c>
      <c r="C66" t="s">
        <v>59</v>
      </c>
      <c r="D66" t="s">
        <v>26</v>
      </c>
      <c r="E66" t="s">
        <v>38</v>
      </c>
      <c r="F66">
        <v>1232</v>
      </c>
      <c r="G66" s="1">
        <v>19247</v>
      </c>
      <c r="H66" s="2">
        <v>45377</v>
      </c>
      <c r="I66" t="s">
        <v>39</v>
      </c>
      <c r="J66" t="s">
        <v>108</v>
      </c>
      <c r="K66" t="s">
        <v>29</v>
      </c>
    </row>
    <row r="67" spans="1:11">
      <c r="A67" t="s">
        <v>45</v>
      </c>
      <c r="B67" t="s">
        <v>19</v>
      </c>
      <c r="C67" t="s">
        <v>13</v>
      </c>
      <c r="D67" t="s">
        <v>26</v>
      </c>
      <c r="E67">
        <v>30</v>
      </c>
      <c r="F67">
        <v>814</v>
      </c>
      <c r="G67" s="1">
        <v>25411</v>
      </c>
      <c r="H67" s="2">
        <v>45283</v>
      </c>
      <c r="I67" t="s">
        <v>16</v>
      </c>
      <c r="J67" t="s">
        <v>109</v>
      </c>
      <c r="K67" t="s">
        <v>44</v>
      </c>
    </row>
    <row r="68" spans="1:11">
      <c r="A68" t="s">
        <v>11</v>
      </c>
      <c r="B68" t="s">
        <v>36</v>
      </c>
      <c r="C68" t="s">
        <v>59</v>
      </c>
      <c r="D68" t="s">
        <v>31</v>
      </c>
      <c r="E68" t="s">
        <v>22</v>
      </c>
      <c r="F68">
        <v>157</v>
      </c>
      <c r="G68" s="1">
        <v>3809</v>
      </c>
      <c r="H68" s="2">
        <v>45405</v>
      </c>
      <c r="I68" t="s">
        <v>16</v>
      </c>
      <c r="J68" t="s">
        <v>110</v>
      </c>
      <c r="K68" t="s">
        <v>47</v>
      </c>
    </row>
    <row r="69" spans="1:11">
      <c r="A69" t="s">
        <v>45</v>
      </c>
      <c r="B69" t="s">
        <v>49</v>
      </c>
      <c r="C69" t="s">
        <v>59</v>
      </c>
      <c r="D69" t="s">
        <v>31</v>
      </c>
      <c r="E69">
        <v>30</v>
      </c>
      <c r="F69">
        <v>272</v>
      </c>
      <c r="G69" s="1">
        <v>39524</v>
      </c>
      <c r="H69" s="2">
        <v>45482</v>
      </c>
      <c r="I69" t="s">
        <v>16</v>
      </c>
      <c r="J69" t="s">
        <v>111</v>
      </c>
      <c r="K69" t="s">
        <v>34</v>
      </c>
    </row>
    <row r="70" spans="1:11">
      <c r="A70" t="s">
        <v>11</v>
      </c>
      <c r="B70" t="s">
        <v>12</v>
      </c>
      <c r="C70" t="s">
        <v>20</v>
      </c>
      <c r="D70" t="s">
        <v>21</v>
      </c>
      <c r="E70" t="s">
        <v>15</v>
      </c>
      <c r="F70">
        <v>1222</v>
      </c>
      <c r="G70" s="1">
        <v>19740</v>
      </c>
      <c r="H70" s="2">
        <v>45248</v>
      </c>
      <c r="I70" t="s">
        <v>16</v>
      </c>
      <c r="J70" t="s">
        <v>112</v>
      </c>
      <c r="K70" t="s">
        <v>34</v>
      </c>
    </row>
    <row r="71" spans="1:11">
      <c r="A71" t="s">
        <v>64</v>
      </c>
      <c r="B71" t="s">
        <v>19</v>
      </c>
      <c r="C71" t="s">
        <v>25</v>
      </c>
      <c r="D71" t="s">
        <v>66</v>
      </c>
      <c r="E71" t="s">
        <v>38</v>
      </c>
      <c r="F71">
        <v>151</v>
      </c>
      <c r="G71" s="1">
        <v>18797</v>
      </c>
      <c r="H71" s="2">
        <v>45332</v>
      </c>
      <c r="I71" t="s">
        <v>39</v>
      </c>
      <c r="J71" t="s">
        <v>113</v>
      </c>
      <c r="K71" t="s">
        <v>29</v>
      </c>
    </row>
    <row r="72" spans="1:11">
      <c r="A72" t="s">
        <v>64</v>
      </c>
      <c r="B72" t="s">
        <v>36</v>
      </c>
      <c r="C72" t="s">
        <v>25</v>
      </c>
      <c r="D72" t="s">
        <v>21</v>
      </c>
      <c r="E72" t="s">
        <v>38</v>
      </c>
      <c r="F72">
        <v>798</v>
      </c>
      <c r="G72" s="1">
        <v>23785</v>
      </c>
      <c r="H72" s="2">
        <v>45476</v>
      </c>
      <c r="I72" t="s">
        <v>16</v>
      </c>
      <c r="J72" t="s">
        <v>114</v>
      </c>
      <c r="K72" t="s">
        <v>44</v>
      </c>
    </row>
    <row r="73" spans="1:11">
      <c r="A73" t="s">
        <v>45</v>
      </c>
      <c r="B73" t="s">
        <v>12</v>
      </c>
      <c r="C73" t="s">
        <v>30</v>
      </c>
      <c r="D73" t="s">
        <v>26</v>
      </c>
      <c r="E73" t="s">
        <v>38</v>
      </c>
      <c r="F73">
        <v>310</v>
      </c>
      <c r="G73" s="1">
        <v>31204</v>
      </c>
      <c r="H73" s="2">
        <v>45157</v>
      </c>
      <c r="I73" t="s">
        <v>16</v>
      </c>
      <c r="J73" t="s">
        <v>115</v>
      </c>
      <c r="K73" t="s">
        <v>44</v>
      </c>
    </row>
    <row r="74" spans="1:11">
      <c r="A74" t="s">
        <v>11</v>
      </c>
      <c r="B74" t="s">
        <v>19</v>
      </c>
      <c r="C74" t="s">
        <v>13</v>
      </c>
      <c r="D74" t="s">
        <v>26</v>
      </c>
      <c r="E74" t="s">
        <v>38</v>
      </c>
      <c r="F74">
        <v>1280</v>
      </c>
      <c r="G74" s="1">
        <v>45096</v>
      </c>
      <c r="H74" s="2">
        <v>45462</v>
      </c>
      <c r="I74" t="s">
        <v>39</v>
      </c>
      <c r="J74" t="s">
        <v>116</v>
      </c>
      <c r="K74" t="s">
        <v>44</v>
      </c>
    </row>
    <row r="75" spans="1:11">
      <c r="A75" t="s">
        <v>35</v>
      </c>
      <c r="B75" t="s">
        <v>36</v>
      </c>
      <c r="C75" t="s">
        <v>59</v>
      </c>
      <c r="D75" t="s">
        <v>14</v>
      </c>
      <c r="E75" t="s">
        <v>15</v>
      </c>
      <c r="F75">
        <v>1776</v>
      </c>
      <c r="G75" s="1">
        <v>30640</v>
      </c>
      <c r="H75" s="2">
        <v>45457</v>
      </c>
      <c r="I75" t="s">
        <v>39</v>
      </c>
      <c r="J75" t="s">
        <v>117</v>
      </c>
      <c r="K75" t="s">
        <v>34</v>
      </c>
    </row>
    <row r="76" spans="1:11">
      <c r="A76" t="s">
        <v>24</v>
      </c>
      <c r="B76" t="s">
        <v>49</v>
      </c>
      <c r="C76" t="s">
        <v>20</v>
      </c>
      <c r="D76" t="s">
        <v>21</v>
      </c>
      <c r="E76">
        <v>30</v>
      </c>
      <c r="F76">
        <v>784</v>
      </c>
      <c r="G76" s="1">
        <v>25665</v>
      </c>
      <c r="H76" s="2">
        <v>45417</v>
      </c>
      <c r="I76" t="s">
        <v>16</v>
      </c>
      <c r="J76" t="s">
        <v>118</v>
      </c>
      <c r="K76" t="s">
        <v>29</v>
      </c>
    </row>
    <row r="77" spans="1:11">
      <c r="A77" t="s">
        <v>45</v>
      </c>
      <c r="B77" t="s">
        <v>49</v>
      </c>
      <c r="C77" t="s">
        <v>30</v>
      </c>
      <c r="D77" t="s">
        <v>66</v>
      </c>
      <c r="E77">
        <v>60</v>
      </c>
      <c r="F77">
        <v>1936</v>
      </c>
      <c r="G77" s="1">
        <v>40605</v>
      </c>
      <c r="H77" s="2">
        <v>45259</v>
      </c>
      <c r="I77" t="s">
        <v>27</v>
      </c>
      <c r="J77" t="s">
        <v>119</v>
      </c>
      <c r="K77" t="s">
        <v>44</v>
      </c>
    </row>
    <row r="78" spans="1:11">
      <c r="A78" t="s">
        <v>64</v>
      </c>
      <c r="B78" t="s">
        <v>36</v>
      </c>
      <c r="C78" t="s">
        <v>20</v>
      </c>
      <c r="D78" t="s">
        <v>31</v>
      </c>
      <c r="E78" t="s">
        <v>15</v>
      </c>
      <c r="F78">
        <v>1675</v>
      </c>
      <c r="G78" s="1">
        <v>29315</v>
      </c>
      <c r="H78" s="2">
        <v>45237</v>
      </c>
      <c r="I78" t="s">
        <v>27</v>
      </c>
      <c r="J78" t="s">
        <v>120</v>
      </c>
      <c r="K78" t="s">
        <v>34</v>
      </c>
    </row>
    <row r="79" spans="1:11">
      <c r="A79" t="s">
        <v>24</v>
      </c>
      <c r="B79" t="s">
        <v>19</v>
      </c>
      <c r="C79" t="s">
        <v>25</v>
      </c>
      <c r="D79" t="s">
        <v>21</v>
      </c>
      <c r="E79" t="s">
        <v>22</v>
      </c>
      <c r="F79">
        <v>906</v>
      </c>
      <c r="G79" s="1">
        <v>10256</v>
      </c>
      <c r="H79" s="2">
        <v>45159</v>
      </c>
      <c r="I79" t="s">
        <v>16</v>
      </c>
      <c r="J79" t="s">
        <v>121</v>
      </c>
      <c r="K79" t="s">
        <v>44</v>
      </c>
    </row>
    <row r="80" spans="1:11">
      <c r="A80" t="s">
        <v>35</v>
      </c>
      <c r="B80" t="s">
        <v>19</v>
      </c>
      <c r="C80" t="s">
        <v>20</v>
      </c>
      <c r="D80" t="s">
        <v>31</v>
      </c>
      <c r="E80">
        <v>60</v>
      </c>
      <c r="F80">
        <v>873</v>
      </c>
      <c r="G80" s="1">
        <v>44797</v>
      </c>
      <c r="H80" s="2">
        <v>45192</v>
      </c>
      <c r="I80" t="s">
        <v>41</v>
      </c>
      <c r="J80" t="s">
        <v>122</v>
      </c>
      <c r="K80" t="s">
        <v>29</v>
      </c>
    </row>
    <row r="81" spans="1:11">
      <c r="A81" t="s">
        <v>35</v>
      </c>
      <c r="B81" t="s">
        <v>36</v>
      </c>
      <c r="C81" t="s">
        <v>20</v>
      </c>
      <c r="D81" t="s">
        <v>66</v>
      </c>
      <c r="E81">
        <v>30</v>
      </c>
      <c r="F81">
        <v>1227</v>
      </c>
      <c r="G81" s="1">
        <v>37132</v>
      </c>
      <c r="H81" s="2">
        <v>45421</v>
      </c>
      <c r="I81" t="s">
        <v>16</v>
      </c>
      <c r="J81" t="s">
        <v>123</v>
      </c>
      <c r="K81" t="s">
        <v>34</v>
      </c>
    </row>
    <row r="82" spans="1:11">
      <c r="A82" t="s">
        <v>35</v>
      </c>
      <c r="B82" t="s">
        <v>49</v>
      </c>
      <c r="C82" t="s">
        <v>25</v>
      </c>
      <c r="D82" t="s">
        <v>21</v>
      </c>
      <c r="E82">
        <v>30</v>
      </c>
      <c r="F82">
        <v>1921</v>
      </c>
      <c r="G82" s="1">
        <v>8234</v>
      </c>
      <c r="H82" s="2">
        <v>45136</v>
      </c>
      <c r="I82" t="s">
        <v>16</v>
      </c>
      <c r="J82" t="s">
        <v>124</v>
      </c>
      <c r="K82" t="s">
        <v>34</v>
      </c>
    </row>
    <row r="83" spans="1:11">
      <c r="A83" t="s">
        <v>45</v>
      </c>
      <c r="B83" t="s">
        <v>51</v>
      </c>
      <c r="C83" t="s">
        <v>59</v>
      </c>
      <c r="D83" t="s">
        <v>21</v>
      </c>
      <c r="E83" t="s">
        <v>38</v>
      </c>
      <c r="F83">
        <v>1907</v>
      </c>
      <c r="G83" s="1">
        <v>11906</v>
      </c>
      <c r="H83" s="2">
        <v>45387</v>
      </c>
      <c r="I83" t="s">
        <v>32</v>
      </c>
      <c r="J83" t="s">
        <v>125</v>
      </c>
      <c r="K83" t="s">
        <v>44</v>
      </c>
    </row>
    <row r="84" spans="1:11">
      <c r="A84" t="s">
        <v>64</v>
      </c>
      <c r="B84" t="s">
        <v>49</v>
      </c>
      <c r="C84" t="s">
        <v>20</v>
      </c>
      <c r="D84" t="s">
        <v>31</v>
      </c>
      <c r="E84">
        <v>60</v>
      </c>
      <c r="F84">
        <v>1766</v>
      </c>
      <c r="G84" s="1">
        <v>36835</v>
      </c>
      <c r="H84" s="2">
        <v>45368</v>
      </c>
      <c r="I84" t="s">
        <v>27</v>
      </c>
      <c r="J84" t="s">
        <v>126</v>
      </c>
      <c r="K84" t="s">
        <v>34</v>
      </c>
    </row>
    <row r="85" spans="1:11">
      <c r="A85" t="s">
        <v>45</v>
      </c>
      <c r="B85" t="s">
        <v>19</v>
      </c>
      <c r="C85" t="s">
        <v>59</v>
      </c>
      <c r="D85" t="s">
        <v>66</v>
      </c>
      <c r="E85">
        <v>60</v>
      </c>
      <c r="F85">
        <v>793</v>
      </c>
      <c r="G85" s="1">
        <v>45468</v>
      </c>
      <c r="H85" s="2">
        <v>45256</v>
      </c>
      <c r="I85" t="s">
        <v>27</v>
      </c>
      <c r="J85" t="s">
        <v>127</v>
      </c>
      <c r="K85" t="s">
        <v>29</v>
      </c>
    </row>
    <row r="86" spans="1:11">
      <c r="A86" t="s">
        <v>45</v>
      </c>
      <c r="B86" t="s">
        <v>12</v>
      </c>
      <c r="C86" t="s">
        <v>20</v>
      </c>
      <c r="D86" t="s">
        <v>26</v>
      </c>
      <c r="E86" t="s">
        <v>22</v>
      </c>
      <c r="F86">
        <v>1738</v>
      </c>
      <c r="G86" s="1">
        <v>22945</v>
      </c>
      <c r="H86" s="2">
        <v>45343</v>
      </c>
      <c r="I86" t="s">
        <v>16</v>
      </c>
      <c r="J86" t="s">
        <v>128</v>
      </c>
      <c r="K86" t="s">
        <v>47</v>
      </c>
    </row>
    <row r="87" spans="1:11">
      <c r="A87" t="s">
        <v>35</v>
      </c>
      <c r="B87" t="s">
        <v>51</v>
      </c>
      <c r="C87" t="s">
        <v>13</v>
      </c>
      <c r="D87" t="s">
        <v>66</v>
      </c>
      <c r="E87" t="s">
        <v>22</v>
      </c>
      <c r="F87">
        <v>1088</v>
      </c>
      <c r="G87" s="1">
        <v>46398</v>
      </c>
      <c r="H87" s="2">
        <v>45481</v>
      </c>
      <c r="I87" t="s">
        <v>16</v>
      </c>
      <c r="J87" t="s">
        <v>129</v>
      </c>
      <c r="K87" t="s">
        <v>44</v>
      </c>
    </row>
    <row r="88" spans="1:11">
      <c r="A88" t="s">
        <v>35</v>
      </c>
      <c r="B88" t="s">
        <v>12</v>
      </c>
      <c r="C88" t="s">
        <v>30</v>
      </c>
      <c r="D88" t="s">
        <v>66</v>
      </c>
      <c r="E88" t="s">
        <v>22</v>
      </c>
      <c r="F88">
        <v>643</v>
      </c>
      <c r="G88" s="1">
        <v>1303</v>
      </c>
      <c r="H88" s="2">
        <v>45452</v>
      </c>
      <c r="I88" t="s">
        <v>27</v>
      </c>
      <c r="J88" t="s">
        <v>130</v>
      </c>
      <c r="K88" t="s">
        <v>29</v>
      </c>
    </row>
    <row r="89" spans="1:11">
      <c r="A89" t="s">
        <v>64</v>
      </c>
      <c r="B89" t="s">
        <v>19</v>
      </c>
      <c r="C89" t="s">
        <v>59</v>
      </c>
      <c r="D89" t="s">
        <v>66</v>
      </c>
      <c r="E89" t="s">
        <v>38</v>
      </c>
      <c r="F89">
        <v>1498</v>
      </c>
      <c r="G89" s="1">
        <v>33259</v>
      </c>
      <c r="H89" s="2">
        <v>45500</v>
      </c>
      <c r="I89" t="s">
        <v>16</v>
      </c>
      <c r="J89" t="s">
        <v>131</v>
      </c>
      <c r="K89" t="s">
        <v>29</v>
      </c>
    </row>
    <row r="90" spans="1:11">
      <c r="A90" t="s">
        <v>24</v>
      </c>
      <c r="B90" t="s">
        <v>36</v>
      </c>
      <c r="C90" t="s">
        <v>30</v>
      </c>
      <c r="D90" t="s">
        <v>66</v>
      </c>
      <c r="E90">
        <v>30</v>
      </c>
      <c r="F90">
        <v>1558</v>
      </c>
      <c r="G90" s="1">
        <v>8553</v>
      </c>
      <c r="H90" s="2">
        <v>45275</v>
      </c>
      <c r="I90" t="s">
        <v>32</v>
      </c>
      <c r="J90" t="s">
        <v>132</v>
      </c>
      <c r="K90" t="s">
        <v>29</v>
      </c>
    </row>
    <row r="91" spans="1:11">
      <c r="A91" t="s">
        <v>64</v>
      </c>
      <c r="B91" t="s">
        <v>49</v>
      </c>
      <c r="C91" t="s">
        <v>25</v>
      </c>
      <c r="D91" t="s">
        <v>26</v>
      </c>
      <c r="E91">
        <v>30</v>
      </c>
      <c r="F91">
        <v>1423</v>
      </c>
      <c r="G91" s="1">
        <v>28304</v>
      </c>
      <c r="H91" s="2">
        <v>45287</v>
      </c>
      <c r="I91" t="s">
        <v>32</v>
      </c>
      <c r="J91" t="s">
        <v>133</v>
      </c>
      <c r="K91" t="s">
        <v>44</v>
      </c>
    </row>
    <row r="92" spans="1:11">
      <c r="A92" t="s">
        <v>64</v>
      </c>
      <c r="B92" t="s">
        <v>36</v>
      </c>
      <c r="C92" t="s">
        <v>25</v>
      </c>
      <c r="D92" t="s">
        <v>14</v>
      </c>
      <c r="E92" t="s">
        <v>38</v>
      </c>
      <c r="F92">
        <v>1777</v>
      </c>
      <c r="G92" s="1">
        <v>33795</v>
      </c>
      <c r="H92" s="2">
        <v>45333</v>
      </c>
      <c r="I92" t="s">
        <v>16</v>
      </c>
      <c r="J92" t="s">
        <v>134</v>
      </c>
      <c r="K92" t="s">
        <v>34</v>
      </c>
    </row>
    <row r="93" spans="1:11">
      <c r="A93" t="s">
        <v>24</v>
      </c>
      <c r="B93" t="s">
        <v>36</v>
      </c>
      <c r="C93" t="s">
        <v>13</v>
      </c>
      <c r="D93" t="s">
        <v>66</v>
      </c>
      <c r="E93" t="s">
        <v>22</v>
      </c>
      <c r="F93">
        <v>1908</v>
      </c>
      <c r="G93" s="1">
        <v>34115</v>
      </c>
      <c r="H93" s="2">
        <v>45233</v>
      </c>
      <c r="I93" t="s">
        <v>32</v>
      </c>
      <c r="J93" t="s">
        <v>135</v>
      </c>
      <c r="K93" t="s">
        <v>18</v>
      </c>
    </row>
    <row r="94" spans="1:11">
      <c r="A94" t="s">
        <v>35</v>
      </c>
      <c r="B94" t="s">
        <v>19</v>
      </c>
      <c r="C94" t="s">
        <v>25</v>
      </c>
      <c r="D94" t="s">
        <v>31</v>
      </c>
      <c r="E94" t="s">
        <v>22</v>
      </c>
      <c r="F94">
        <v>1291</v>
      </c>
      <c r="G94" s="1">
        <v>30051</v>
      </c>
      <c r="H94" s="2">
        <v>45298</v>
      </c>
      <c r="I94" t="s">
        <v>39</v>
      </c>
      <c r="J94" t="s">
        <v>136</v>
      </c>
      <c r="K94" t="s">
        <v>34</v>
      </c>
    </row>
    <row r="95" spans="1:11">
      <c r="A95" t="s">
        <v>45</v>
      </c>
      <c r="B95" t="s">
        <v>36</v>
      </c>
      <c r="C95" t="s">
        <v>13</v>
      </c>
      <c r="D95" t="s">
        <v>26</v>
      </c>
      <c r="E95" t="s">
        <v>38</v>
      </c>
      <c r="F95">
        <v>1702</v>
      </c>
      <c r="G95" s="1">
        <v>29950</v>
      </c>
      <c r="H95" s="2">
        <v>45151</v>
      </c>
      <c r="I95" t="s">
        <v>16</v>
      </c>
      <c r="J95" t="s">
        <v>137</v>
      </c>
      <c r="K95" t="s">
        <v>34</v>
      </c>
    </row>
    <row r="96" spans="1:11">
      <c r="A96" t="s">
        <v>24</v>
      </c>
      <c r="B96" t="s">
        <v>51</v>
      </c>
      <c r="C96" t="s">
        <v>30</v>
      </c>
      <c r="D96" t="s">
        <v>21</v>
      </c>
      <c r="E96">
        <v>60</v>
      </c>
      <c r="F96">
        <v>1367</v>
      </c>
      <c r="G96" s="1">
        <v>30714</v>
      </c>
      <c r="H96" s="2">
        <v>45395</v>
      </c>
      <c r="I96" t="s">
        <v>27</v>
      </c>
      <c r="J96" t="s">
        <v>138</v>
      </c>
      <c r="K96" t="s">
        <v>34</v>
      </c>
    </row>
    <row r="97" spans="1:11">
      <c r="A97" t="s">
        <v>64</v>
      </c>
      <c r="B97" t="s">
        <v>36</v>
      </c>
      <c r="C97" t="s">
        <v>13</v>
      </c>
      <c r="D97" t="s">
        <v>14</v>
      </c>
      <c r="E97">
        <v>30</v>
      </c>
      <c r="F97">
        <v>1583</v>
      </c>
      <c r="G97" s="1">
        <v>45689</v>
      </c>
      <c r="H97" s="2">
        <v>45165</v>
      </c>
      <c r="I97" t="s">
        <v>32</v>
      </c>
      <c r="J97" t="s">
        <v>139</v>
      </c>
      <c r="K97" t="s">
        <v>47</v>
      </c>
    </row>
    <row r="98" spans="1:11">
      <c r="A98" t="s">
        <v>24</v>
      </c>
      <c r="B98" t="s">
        <v>36</v>
      </c>
      <c r="C98" t="s">
        <v>25</v>
      </c>
      <c r="D98" t="s">
        <v>21</v>
      </c>
      <c r="E98" t="s">
        <v>22</v>
      </c>
      <c r="F98">
        <v>848</v>
      </c>
      <c r="G98" s="1">
        <v>35016</v>
      </c>
      <c r="H98" s="2">
        <v>45366</v>
      </c>
      <c r="I98" t="s">
        <v>16</v>
      </c>
      <c r="J98" t="s">
        <v>140</v>
      </c>
      <c r="K98" t="s">
        <v>47</v>
      </c>
    </row>
    <row r="99" spans="1:11">
      <c r="A99" t="s">
        <v>11</v>
      </c>
      <c r="B99" t="s">
        <v>49</v>
      </c>
      <c r="C99" t="s">
        <v>59</v>
      </c>
      <c r="D99" t="s">
        <v>31</v>
      </c>
      <c r="E99" t="s">
        <v>22</v>
      </c>
      <c r="F99">
        <v>1886</v>
      </c>
      <c r="G99" s="1">
        <v>11515</v>
      </c>
      <c r="H99" s="2">
        <v>45453</v>
      </c>
      <c r="I99" t="s">
        <v>41</v>
      </c>
      <c r="J99" t="s">
        <v>141</v>
      </c>
      <c r="K99" t="s">
        <v>47</v>
      </c>
    </row>
    <row r="100" spans="1:11">
      <c r="A100" t="s">
        <v>64</v>
      </c>
      <c r="B100" t="s">
        <v>36</v>
      </c>
      <c r="C100" t="s">
        <v>13</v>
      </c>
      <c r="D100" t="s">
        <v>66</v>
      </c>
      <c r="E100" t="s">
        <v>15</v>
      </c>
      <c r="F100">
        <v>1391</v>
      </c>
      <c r="G100" s="1">
        <v>49897</v>
      </c>
      <c r="H100" s="2">
        <v>45186</v>
      </c>
      <c r="I100" t="s">
        <v>16</v>
      </c>
      <c r="J100" t="s">
        <v>142</v>
      </c>
      <c r="K100" t="s">
        <v>47</v>
      </c>
    </row>
    <row r="101" spans="1:11">
      <c r="A101" t="s">
        <v>35</v>
      </c>
      <c r="B101" t="s">
        <v>51</v>
      </c>
      <c r="C101" t="s">
        <v>30</v>
      </c>
      <c r="D101" t="s">
        <v>66</v>
      </c>
      <c r="E101">
        <v>60</v>
      </c>
      <c r="F101">
        <v>536</v>
      </c>
      <c r="G101" s="1">
        <v>12572</v>
      </c>
      <c r="H101" s="2">
        <v>45206</v>
      </c>
      <c r="I101" t="s">
        <v>27</v>
      </c>
      <c r="J101" t="s">
        <v>143</v>
      </c>
      <c r="K101" t="s">
        <v>44</v>
      </c>
    </row>
    <row r="102" spans="1:11">
      <c r="A102" t="s">
        <v>11</v>
      </c>
      <c r="B102" t="s">
        <v>51</v>
      </c>
      <c r="C102" t="s">
        <v>30</v>
      </c>
      <c r="D102" t="s">
        <v>21</v>
      </c>
      <c r="E102">
        <v>60</v>
      </c>
      <c r="F102">
        <v>1999</v>
      </c>
      <c r="G102" s="1">
        <v>40809</v>
      </c>
      <c r="H102" s="2">
        <v>45367</v>
      </c>
      <c r="I102" t="s">
        <v>16</v>
      </c>
      <c r="J102" t="s">
        <v>144</v>
      </c>
      <c r="K102" t="s">
        <v>34</v>
      </c>
    </row>
    <row r="103" spans="1:11">
      <c r="A103" t="s">
        <v>64</v>
      </c>
      <c r="B103" t="s">
        <v>51</v>
      </c>
      <c r="C103" t="s">
        <v>13</v>
      </c>
      <c r="D103" t="s">
        <v>66</v>
      </c>
      <c r="E103" t="s">
        <v>38</v>
      </c>
      <c r="F103">
        <v>1192</v>
      </c>
      <c r="G103" s="1">
        <v>39757</v>
      </c>
      <c r="H103" s="2">
        <v>45493</v>
      </c>
      <c r="I103" t="s">
        <v>27</v>
      </c>
      <c r="J103" t="s">
        <v>145</v>
      </c>
      <c r="K103" t="s">
        <v>18</v>
      </c>
    </row>
    <row r="104" spans="1:11">
      <c r="A104" t="s">
        <v>64</v>
      </c>
      <c r="B104" t="s">
        <v>12</v>
      </c>
      <c r="C104" t="s">
        <v>20</v>
      </c>
      <c r="D104" t="s">
        <v>66</v>
      </c>
      <c r="E104" t="s">
        <v>15</v>
      </c>
      <c r="F104">
        <v>846</v>
      </c>
      <c r="G104" s="1">
        <v>2237</v>
      </c>
      <c r="H104" s="2">
        <v>45205</v>
      </c>
      <c r="I104" t="s">
        <v>41</v>
      </c>
      <c r="J104" t="s">
        <v>146</v>
      </c>
      <c r="K104" t="s">
        <v>34</v>
      </c>
    </row>
    <row r="105" spans="1:11">
      <c r="A105" t="s">
        <v>45</v>
      </c>
      <c r="B105" t="s">
        <v>19</v>
      </c>
      <c r="C105" t="s">
        <v>30</v>
      </c>
      <c r="D105" t="s">
        <v>21</v>
      </c>
      <c r="E105" t="s">
        <v>38</v>
      </c>
      <c r="F105">
        <v>731</v>
      </c>
      <c r="G105" s="1">
        <v>35093</v>
      </c>
      <c r="H105" s="2">
        <v>45222</v>
      </c>
      <c r="I105" t="s">
        <v>27</v>
      </c>
      <c r="J105" t="s">
        <v>147</v>
      </c>
      <c r="K105" t="s">
        <v>34</v>
      </c>
    </row>
    <row r="106" spans="1:11">
      <c r="A106" t="s">
        <v>45</v>
      </c>
      <c r="B106" t="s">
        <v>12</v>
      </c>
      <c r="C106" t="s">
        <v>13</v>
      </c>
      <c r="D106" t="s">
        <v>14</v>
      </c>
      <c r="E106">
        <v>30</v>
      </c>
      <c r="F106">
        <v>1943</v>
      </c>
      <c r="G106" s="1">
        <v>44592</v>
      </c>
      <c r="H106" s="2">
        <v>45431</v>
      </c>
      <c r="I106" t="s">
        <v>32</v>
      </c>
      <c r="J106" t="s">
        <v>148</v>
      </c>
      <c r="K106" t="s">
        <v>34</v>
      </c>
    </row>
    <row r="107" spans="1:11">
      <c r="A107" t="s">
        <v>45</v>
      </c>
      <c r="B107" t="s">
        <v>49</v>
      </c>
      <c r="C107" t="s">
        <v>25</v>
      </c>
      <c r="D107" t="s">
        <v>14</v>
      </c>
      <c r="E107">
        <v>60</v>
      </c>
      <c r="F107">
        <v>1017</v>
      </c>
      <c r="G107" s="1">
        <v>29700</v>
      </c>
      <c r="H107" s="2">
        <v>45217</v>
      </c>
      <c r="I107" t="s">
        <v>32</v>
      </c>
      <c r="J107" t="s">
        <v>149</v>
      </c>
      <c r="K107" t="s">
        <v>29</v>
      </c>
    </row>
    <row r="108" spans="1:11">
      <c r="A108" t="s">
        <v>45</v>
      </c>
      <c r="B108" t="s">
        <v>19</v>
      </c>
      <c r="C108" t="s">
        <v>20</v>
      </c>
      <c r="D108" t="s">
        <v>21</v>
      </c>
      <c r="E108" t="s">
        <v>38</v>
      </c>
      <c r="F108">
        <v>929</v>
      </c>
      <c r="G108" s="1">
        <v>37018</v>
      </c>
      <c r="H108" s="2">
        <v>45496</v>
      </c>
      <c r="I108" t="s">
        <v>41</v>
      </c>
      <c r="J108" t="s">
        <v>150</v>
      </c>
      <c r="K108" t="s">
        <v>18</v>
      </c>
    </row>
    <row r="109" spans="1:11">
      <c r="A109" t="s">
        <v>64</v>
      </c>
      <c r="B109" t="s">
        <v>51</v>
      </c>
      <c r="C109" t="s">
        <v>25</v>
      </c>
      <c r="D109" t="s">
        <v>31</v>
      </c>
      <c r="E109">
        <v>60</v>
      </c>
      <c r="F109">
        <v>811</v>
      </c>
      <c r="G109" s="1">
        <v>44885</v>
      </c>
      <c r="H109" s="2">
        <v>45250</v>
      </c>
      <c r="I109" t="s">
        <v>16</v>
      </c>
      <c r="J109" t="s">
        <v>151</v>
      </c>
      <c r="K109" t="s">
        <v>44</v>
      </c>
    </row>
    <row r="110" spans="1:11">
      <c r="A110" t="s">
        <v>24</v>
      </c>
      <c r="B110" t="s">
        <v>49</v>
      </c>
      <c r="C110" t="s">
        <v>59</v>
      </c>
      <c r="D110" t="s">
        <v>21</v>
      </c>
      <c r="E110">
        <v>60</v>
      </c>
      <c r="F110">
        <v>820</v>
      </c>
      <c r="G110" s="1">
        <v>14086</v>
      </c>
      <c r="H110" s="2">
        <v>45322</v>
      </c>
      <c r="I110" t="s">
        <v>27</v>
      </c>
      <c r="J110" t="s">
        <v>152</v>
      </c>
      <c r="K110" t="s">
        <v>44</v>
      </c>
    </row>
    <row r="111" spans="1:11">
      <c r="A111" t="s">
        <v>45</v>
      </c>
      <c r="B111" t="s">
        <v>19</v>
      </c>
      <c r="C111" t="s">
        <v>59</v>
      </c>
      <c r="D111" t="s">
        <v>14</v>
      </c>
      <c r="E111">
        <v>60</v>
      </c>
      <c r="F111">
        <v>698</v>
      </c>
      <c r="G111" s="1">
        <v>27380</v>
      </c>
      <c r="H111" s="2">
        <v>45499</v>
      </c>
      <c r="I111" t="s">
        <v>27</v>
      </c>
      <c r="J111" t="s">
        <v>153</v>
      </c>
      <c r="K111" t="s">
        <v>44</v>
      </c>
    </row>
    <row r="112" spans="1:11">
      <c r="A112" t="s">
        <v>35</v>
      </c>
      <c r="B112" t="s">
        <v>49</v>
      </c>
      <c r="C112" t="s">
        <v>25</v>
      </c>
      <c r="D112" t="s">
        <v>66</v>
      </c>
      <c r="E112" t="s">
        <v>38</v>
      </c>
      <c r="F112">
        <v>679</v>
      </c>
      <c r="G112" s="1">
        <v>35477</v>
      </c>
      <c r="H112" s="2">
        <v>45475</v>
      </c>
      <c r="I112" t="s">
        <v>16</v>
      </c>
      <c r="J112" t="s">
        <v>154</v>
      </c>
      <c r="K112" t="s">
        <v>47</v>
      </c>
    </row>
    <row r="113" spans="1:11">
      <c r="A113" t="s">
        <v>35</v>
      </c>
      <c r="B113" t="s">
        <v>36</v>
      </c>
      <c r="C113" t="s">
        <v>25</v>
      </c>
      <c r="D113" t="s">
        <v>31</v>
      </c>
      <c r="E113" t="s">
        <v>15</v>
      </c>
      <c r="F113">
        <v>1225</v>
      </c>
      <c r="G113" s="1">
        <v>47265</v>
      </c>
      <c r="H113" s="2">
        <v>45284</v>
      </c>
      <c r="I113" t="s">
        <v>16</v>
      </c>
      <c r="J113" t="s">
        <v>155</v>
      </c>
      <c r="K113" t="s">
        <v>34</v>
      </c>
    </row>
    <row r="114" spans="1:11">
      <c r="A114" t="s">
        <v>11</v>
      </c>
      <c r="B114" t="s">
        <v>12</v>
      </c>
      <c r="C114" t="s">
        <v>59</v>
      </c>
      <c r="D114" t="s">
        <v>66</v>
      </c>
      <c r="E114">
        <v>60</v>
      </c>
      <c r="F114">
        <v>1913</v>
      </c>
      <c r="G114" s="1">
        <v>37244</v>
      </c>
      <c r="H114" s="2">
        <v>45266</v>
      </c>
      <c r="I114" t="s">
        <v>27</v>
      </c>
      <c r="J114" t="s">
        <v>156</v>
      </c>
      <c r="K114" t="s">
        <v>29</v>
      </c>
    </row>
    <row r="115" spans="1:11">
      <c r="A115" t="s">
        <v>11</v>
      </c>
      <c r="B115" t="s">
        <v>12</v>
      </c>
      <c r="C115" t="s">
        <v>13</v>
      </c>
      <c r="D115" t="s">
        <v>14</v>
      </c>
      <c r="E115" t="s">
        <v>38</v>
      </c>
      <c r="F115">
        <v>1381</v>
      </c>
      <c r="G115" s="1">
        <v>43046</v>
      </c>
      <c r="H115" s="2">
        <v>45501</v>
      </c>
      <c r="I115" t="s">
        <v>39</v>
      </c>
      <c r="J115" t="s">
        <v>157</v>
      </c>
      <c r="K115" t="s">
        <v>44</v>
      </c>
    </row>
    <row r="116" spans="1:11">
      <c r="A116" t="s">
        <v>45</v>
      </c>
      <c r="B116" t="s">
        <v>12</v>
      </c>
      <c r="C116" t="s">
        <v>30</v>
      </c>
      <c r="D116" t="s">
        <v>14</v>
      </c>
      <c r="E116" t="s">
        <v>15</v>
      </c>
      <c r="F116">
        <v>939</v>
      </c>
      <c r="G116" s="1">
        <v>37589</v>
      </c>
      <c r="H116" s="2">
        <v>45262</v>
      </c>
      <c r="I116" t="s">
        <v>32</v>
      </c>
      <c r="J116" t="s">
        <v>158</v>
      </c>
      <c r="K116" t="s">
        <v>47</v>
      </c>
    </row>
    <row r="117" spans="1:11">
      <c r="A117" t="s">
        <v>11</v>
      </c>
      <c r="B117" t="s">
        <v>51</v>
      </c>
      <c r="C117" t="s">
        <v>30</v>
      </c>
      <c r="D117" t="s">
        <v>31</v>
      </c>
      <c r="E117" t="s">
        <v>38</v>
      </c>
      <c r="F117">
        <v>472</v>
      </c>
      <c r="G117" s="1">
        <v>7516</v>
      </c>
      <c r="H117" s="2">
        <v>45328</v>
      </c>
      <c r="I117" t="s">
        <v>16</v>
      </c>
      <c r="J117" t="s">
        <v>159</v>
      </c>
      <c r="K117" t="s">
        <v>44</v>
      </c>
    </row>
    <row r="118" spans="1:11">
      <c r="A118" t="s">
        <v>35</v>
      </c>
      <c r="B118" t="s">
        <v>49</v>
      </c>
      <c r="C118" t="s">
        <v>59</v>
      </c>
      <c r="D118" t="s">
        <v>14</v>
      </c>
      <c r="E118" t="s">
        <v>22</v>
      </c>
      <c r="F118">
        <v>405</v>
      </c>
      <c r="G118" s="1">
        <v>19413</v>
      </c>
      <c r="H118" s="2">
        <v>45356</v>
      </c>
      <c r="I118" t="s">
        <v>32</v>
      </c>
      <c r="J118" t="s">
        <v>160</v>
      </c>
      <c r="K118" t="s">
        <v>44</v>
      </c>
    </row>
    <row r="119" spans="1:11">
      <c r="A119" t="s">
        <v>24</v>
      </c>
      <c r="B119" t="s">
        <v>51</v>
      </c>
      <c r="C119" t="s">
        <v>20</v>
      </c>
      <c r="D119" t="s">
        <v>26</v>
      </c>
      <c r="E119" t="s">
        <v>38</v>
      </c>
      <c r="F119">
        <v>383</v>
      </c>
      <c r="G119" s="1">
        <v>9225</v>
      </c>
      <c r="H119" s="2">
        <v>45220</v>
      </c>
      <c r="I119" t="s">
        <v>41</v>
      </c>
      <c r="J119" t="s">
        <v>161</v>
      </c>
      <c r="K119" t="s">
        <v>44</v>
      </c>
    </row>
    <row r="120" spans="1:11">
      <c r="A120" t="s">
        <v>35</v>
      </c>
      <c r="B120" t="s">
        <v>51</v>
      </c>
      <c r="C120" t="s">
        <v>59</v>
      </c>
      <c r="D120" t="s">
        <v>14</v>
      </c>
      <c r="E120" t="s">
        <v>38</v>
      </c>
      <c r="F120">
        <v>1863</v>
      </c>
      <c r="G120" s="1">
        <v>35677</v>
      </c>
      <c r="H120" s="2">
        <v>45362</v>
      </c>
      <c r="I120" t="s">
        <v>16</v>
      </c>
      <c r="J120" t="s">
        <v>162</v>
      </c>
      <c r="K120" t="s">
        <v>29</v>
      </c>
    </row>
    <row r="121" spans="1:11">
      <c r="A121" t="s">
        <v>24</v>
      </c>
      <c r="B121" t="s">
        <v>36</v>
      </c>
      <c r="C121" t="s">
        <v>59</v>
      </c>
      <c r="D121" t="s">
        <v>31</v>
      </c>
      <c r="E121" t="s">
        <v>22</v>
      </c>
      <c r="F121">
        <v>469</v>
      </c>
      <c r="G121" s="1">
        <v>9657</v>
      </c>
      <c r="H121" s="2">
        <v>45488</v>
      </c>
      <c r="I121" t="s">
        <v>16</v>
      </c>
      <c r="J121" t="s">
        <v>163</v>
      </c>
      <c r="K121" t="s">
        <v>18</v>
      </c>
    </row>
    <row r="122" spans="1:11">
      <c r="A122" t="s">
        <v>45</v>
      </c>
      <c r="B122" t="s">
        <v>49</v>
      </c>
      <c r="C122" t="s">
        <v>30</v>
      </c>
      <c r="D122" t="s">
        <v>26</v>
      </c>
      <c r="E122" t="s">
        <v>15</v>
      </c>
      <c r="F122">
        <v>1296</v>
      </c>
      <c r="G122" s="1">
        <v>14169</v>
      </c>
      <c r="H122" s="2">
        <v>45344</v>
      </c>
      <c r="I122" t="s">
        <v>39</v>
      </c>
      <c r="J122" t="s">
        <v>164</v>
      </c>
      <c r="K122" t="s">
        <v>29</v>
      </c>
    </row>
    <row r="123" spans="1:11">
      <c r="A123" t="s">
        <v>64</v>
      </c>
      <c r="B123" t="s">
        <v>36</v>
      </c>
      <c r="C123" t="s">
        <v>13</v>
      </c>
      <c r="D123" t="s">
        <v>66</v>
      </c>
      <c r="E123">
        <v>60</v>
      </c>
      <c r="F123">
        <v>1350</v>
      </c>
      <c r="G123" s="1">
        <v>24407</v>
      </c>
      <c r="H123" s="2">
        <v>45425</v>
      </c>
      <c r="I123" t="s">
        <v>16</v>
      </c>
      <c r="J123" t="s">
        <v>165</v>
      </c>
      <c r="K123" t="s">
        <v>29</v>
      </c>
    </row>
    <row r="124" spans="1:11">
      <c r="A124" t="s">
        <v>11</v>
      </c>
      <c r="B124" t="s">
        <v>36</v>
      </c>
      <c r="C124" t="s">
        <v>13</v>
      </c>
      <c r="D124" t="s">
        <v>31</v>
      </c>
      <c r="E124" t="s">
        <v>15</v>
      </c>
      <c r="F124">
        <v>930</v>
      </c>
      <c r="G124" s="1">
        <v>3721</v>
      </c>
      <c r="H124" s="2">
        <v>45333</v>
      </c>
      <c r="I124" t="s">
        <v>39</v>
      </c>
      <c r="J124" t="s">
        <v>166</v>
      </c>
      <c r="K124" t="s">
        <v>44</v>
      </c>
    </row>
    <row r="125" spans="1:11">
      <c r="A125" t="s">
        <v>35</v>
      </c>
      <c r="B125" t="s">
        <v>36</v>
      </c>
      <c r="C125" t="s">
        <v>25</v>
      </c>
      <c r="D125" t="s">
        <v>31</v>
      </c>
      <c r="E125" t="s">
        <v>38</v>
      </c>
      <c r="F125">
        <v>1185</v>
      </c>
      <c r="G125" s="1">
        <v>43131</v>
      </c>
      <c r="H125" s="2">
        <v>45354</v>
      </c>
      <c r="I125" t="s">
        <v>32</v>
      </c>
      <c r="J125" t="s">
        <v>167</v>
      </c>
      <c r="K125" t="s">
        <v>18</v>
      </c>
    </row>
    <row r="126" spans="1:11">
      <c r="A126" t="s">
        <v>24</v>
      </c>
      <c r="B126" t="s">
        <v>36</v>
      </c>
      <c r="C126" t="s">
        <v>25</v>
      </c>
      <c r="D126" t="s">
        <v>26</v>
      </c>
      <c r="E126">
        <v>60</v>
      </c>
      <c r="F126">
        <v>179</v>
      </c>
      <c r="G126" s="1">
        <v>37526</v>
      </c>
      <c r="H126" s="2">
        <v>45219</v>
      </c>
      <c r="I126" t="s">
        <v>16</v>
      </c>
      <c r="J126" t="s">
        <v>168</v>
      </c>
      <c r="K126" t="s">
        <v>47</v>
      </c>
    </row>
    <row r="127" spans="1:11">
      <c r="A127" t="s">
        <v>11</v>
      </c>
      <c r="B127" t="s">
        <v>49</v>
      </c>
      <c r="C127" t="s">
        <v>30</v>
      </c>
      <c r="D127" t="s">
        <v>31</v>
      </c>
      <c r="E127">
        <v>30</v>
      </c>
      <c r="F127">
        <v>1859</v>
      </c>
      <c r="G127" s="1">
        <v>27781</v>
      </c>
      <c r="H127" s="2">
        <v>45300</v>
      </c>
      <c r="I127" t="s">
        <v>16</v>
      </c>
      <c r="J127" t="s">
        <v>169</v>
      </c>
      <c r="K127" t="s">
        <v>34</v>
      </c>
    </row>
    <row r="128" spans="1:11">
      <c r="A128" t="s">
        <v>64</v>
      </c>
      <c r="B128" t="s">
        <v>36</v>
      </c>
      <c r="C128" t="s">
        <v>25</v>
      </c>
      <c r="D128" t="s">
        <v>26</v>
      </c>
      <c r="E128">
        <v>60</v>
      </c>
      <c r="F128">
        <v>1089</v>
      </c>
      <c r="G128" s="1">
        <v>6993</v>
      </c>
      <c r="H128" s="2">
        <v>45185</v>
      </c>
      <c r="I128" t="s">
        <v>27</v>
      </c>
      <c r="J128" t="s">
        <v>170</v>
      </c>
      <c r="K128" t="s">
        <v>44</v>
      </c>
    </row>
    <row r="129" spans="1:11">
      <c r="A129" t="s">
        <v>45</v>
      </c>
      <c r="B129" t="s">
        <v>49</v>
      </c>
      <c r="C129" t="s">
        <v>13</v>
      </c>
      <c r="D129" t="s">
        <v>31</v>
      </c>
      <c r="E129" t="s">
        <v>38</v>
      </c>
      <c r="F129">
        <v>1428</v>
      </c>
      <c r="G129" s="1">
        <v>38657</v>
      </c>
      <c r="H129" s="2">
        <v>45208</v>
      </c>
      <c r="I129" t="s">
        <v>27</v>
      </c>
      <c r="J129" t="s">
        <v>171</v>
      </c>
      <c r="K129" t="s">
        <v>44</v>
      </c>
    </row>
    <row r="130" spans="1:11">
      <c r="A130" t="s">
        <v>45</v>
      </c>
      <c r="B130" t="s">
        <v>19</v>
      </c>
      <c r="C130" t="s">
        <v>59</v>
      </c>
      <c r="D130" t="s">
        <v>21</v>
      </c>
      <c r="E130" t="s">
        <v>38</v>
      </c>
      <c r="F130">
        <v>431</v>
      </c>
      <c r="G130" s="1">
        <v>42644</v>
      </c>
      <c r="H130" s="2">
        <v>45333</v>
      </c>
      <c r="I130" t="s">
        <v>27</v>
      </c>
      <c r="J130" t="s">
        <v>172</v>
      </c>
      <c r="K130" t="s">
        <v>47</v>
      </c>
    </row>
    <row r="131" spans="1:11">
      <c r="A131" t="s">
        <v>11</v>
      </c>
      <c r="B131" t="s">
        <v>51</v>
      </c>
      <c r="C131" t="s">
        <v>25</v>
      </c>
      <c r="D131" t="s">
        <v>26</v>
      </c>
      <c r="E131" t="s">
        <v>15</v>
      </c>
      <c r="F131">
        <v>1670</v>
      </c>
      <c r="G131" s="1">
        <v>44138</v>
      </c>
      <c r="H131" s="2">
        <v>45361</v>
      </c>
      <c r="I131" t="s">
        <v>27</v>
      </c>
      <c r="J131" t="s">
        <v>173</v>
      </c>
      <c r="K131" t="s">
        <v>29</v>
      </c>
    </row>
    <row r="132" spans="1:11">
      <c r="A132" t="s">
        <v>64</v>
      </c>
      <c r="B132" t="s">
        <v>49</v>
      </c>
      <c r="C132" t="s">
        <v>13</v>
      </c>
      <c r="D132" t="s">
        <v>14</v>
      </c>
      <c r="E132" t="s">
        <v>22</v>
      </c>
      <c r="F132">
        <v>206</v>
      </c>
      <c r="G132" s="1">
        <v>5211</v>
      </c>
      <c r="H132" s="2">
        <v>45417</v>
      </c>
      <c r="I132" t="s">
        <v>41</v>
      </c>
      <c r="J132" t="s">
        <v>174</v>
      </c>
      <c r="K132" t="s">
        <v>29</v>
      </c>
    </row>
    <row r="133" spans="1:11">
      <c r="A133" t="s">
        <v>45</v>
      </c>
      <c r="B133" t="s">
        <v>19</v>
      </c>
      <c r="C133" t="s">
        <v>20</v>
      </c>
      <c r="D133" t="s">
        <v>14</v>
      </c>
      <c r="E133" t="s">
        <v>22</v>
      </c>
      <c r="F133">
        <v>1499</v>
      </c>
      <c r="G133" s="1">
        <v>42504</v>
      </c>
      <c r="H133" s="2">
        <v>45232</v>
      </c>
      <c r="I133" t="s">
        <v>16</v>
      </c>
      <c r="J133" t="s">
        <v>175</v>
      </c>
      <c r="K133" t="s">
        <v>34</v>
      </c>
    </row>
    <row r="134" spans="1:11">
      <c r="A134" t="s">
        <v>11</v>
      </c>
      <c r="B134" t="s">
        <v>19</v>
      </c>
      <c r="C134" t="s">
        <v>20</v>
      </c>
      <c r="D134" t="s">
        <v>21</v>
      </c>
      <c r="E134">
        <v>60</v>
      </c>
      <c r="F134">
        <v>1503</v>
      </c>
      <c r="G134" s="1">
        <v>24284</v>
      </c>
      <c r="H134" s="2">
        <v>45457</v>
      </c>
      <c r="I134" t="s">
        <v>41</v>
      </c>
      <c r="J134" t="s">
        <v>176</v>
      </c>
      <c r="K134" t="s">
        <v>44</v>
      </c>
    </row>
    <row r="135" spans="1:11">
      <c r="A135" t="s">
        <v>45</v>
      </c>
      <c r="B135" t="s">
        <v>51</v>
      </c>
      <c r="C135" t="s">
        <v>59</v>
      </c>
      <c r="D135" t="s">
        <v>66</v>
      </c>
      <c r="E135">
        <v>60</v>
      </c>
      <c r="F135">
        <v>1473</v>
      </c>
      <c r="G135" s="1">
        <v>49653</v>
      </c>
      <c r="H135" s="2">
        <v>45192</v>
      </c>
      <c r="I135" t="s">
        <v>41</v>
      </c>
      <c r="J135" t="s">
        <v>177</v>
      </c>
      <c r="K135" t="s">
        <v>44</v>
      </c>
    </row>
    <row r="136" spans="1:11">
      <c r="A136" t="s">
        <v>64</v>
      </c>
      <c r="B136" t="s">
        <v>36</v>
      </c>
      <c r="C136" t="s">
        <v>25</v>
      </c>
      <c r="D136" t="s">
        <v>14</v>
      </c>
      <c r="E136" t="s">
        <v>38</v>
      </c>
      <c r="F136">
        <v>1294</v>
      </c>
      <c r="G136" s="1">
        <v>14645</v>
      </c>
      <c r="H136" s="2">
        <v>45458</v>
      </c>
      <c r="I136" t="s">
        <v>16</v>
      </c>
      <c r="J136" t="s">
        <v>178</v>
      </c>
      <c r="K136" t="s">
        <v>34</v>
      </c>
    </row>
    <row r="137" spans="1:11">
      <c r="A137" t="s">
        <v>24</v>
      </c>
      <c r="B137" t="s">
        <v>49</v>
      </c>
      <c r="C137" t="s">
        <v>59</v>
      </c>
      <c r="D137" t="s">
        <v>21</v>
      </c>
      <c r="E137" t="s">
        <v>22</v>
      </c>
      <c r="F137">
        <v>1337</v>
      </c>
      <c r="G137" s="1">
        <v>21269</v>
      </c>
      <c r="H137" s="2">
        <v>45304</v>
      </c>
      <c r="I137" t="s">
        <v>39</v>
      </c>
      <c r="J137" t="s">
        <v>179</v>
      </c>
      <c r="K137" t="s">
        <v>18</v>
      </c>
    </row>
    <row r="138" spans="1:11">
      <c r="A138" t="s">
        <v>11</v>
      </c>
      <c r="B138" t="s">
        <v>19</v>
      </c>
      <c r="C138" t="s">
        <v>13</v>
      </c>
      <c r="D138" t="s">
        <v>14</v>
      </c>
      <c r="E138" t="s">
        <v>15</v>
      </c>
      <c r="F138">
        <v>580</v>
      </c>
      <c r="G138" s="1">
        <v>15529</v>
      </c>
      <c r="H138" s="2">
        <v>45491</v>
      </c>
      <c r="I138" t="s">
        <v>16</v>
      </c>
      <c r="J138" t="s">
        <v>180</v>
      </c>
      <c r="K138" t="s">
        <v>29</v>
      </c>
    </row>
    <row r="139" spans="1:11">
      <c r="A139" t="s">
        <v>64</v>
      </c>
      <c r="B139" t="s">
        <v>36</v>
      </c>
      <c r="C139" t="s">
        <v>13</v>
      </c>
      <c r="D139" t="s">
        <v>21</v>
      </c>
      <c r="E139">
        <v>60</v>
      </c>
      <c r="F139">
        <v>1872</v>
      </c>
      <c r="G139" s="1">
        <v>30435</v>
      </c>
      <c r="H139" s="2">
        <v>45150</v>
      </c>
      <c r="I139" t="s">
        <v>27</v>
      </c>
      <c r="J139" t="s">
        <v>181</v>
      </c>
      <c r="K139" t="s">
        <v>34</v>
      </c>
    </row>
    <row r="140" spans="1:11">
      <c r="A140" t="s">
        <v>45</v>
      </c>
      <c r="B140" t="s">
        <v>12</v>
      </c>
      <c r="C140" t="s">
        <v>25</v>
      </c>
      <c r="D140" t="s">
        <v>21</v>
      </c>
      <c r="E140" t="s">
        <v>38</v>
      </c>
      <c r="F140">
        <v>532</v>
      </c>
      <c r="G140" s="1">
        <v>28042</v>
      </c>
      <c r="H140" s="2">
        <v>45143</v>
      </c>
      <c r="I140" t="s">
        <v>16</v>
      </c>
      <c r="J140" t="s">
        <v>182</v>
      </c>
      <c r="K140" t="s">
        <v>18</v>
      </c>
    </row>
    <row r="141" spans="1:11">
      <c r="A141" t="s">
        <v>45</v>
      </c>
      <c r="B141" t="s">
        <v>51</v>
      </c>
      <c r="C141" t="s">
        <v>13</v>
      </c>
      <c r="D141" t="s">
        <v>14</v>
      </c>
      <c r="E141" t="s">
        <v>22</v>
      </c>
      <c r="F141">
        <v>181</v>
      </c>
      <c r="G141" s="1">
        <v>32650</v>
      </c>
      <c r="H141" s="2">
        <v>45430</v>
      </c>
      <c r="I141" t="s">
        <v>41</v>
      </c>
      <c r="J141" t="s">
        <v>183</v>
      </c>
      <c r="K141" t="s">
        <v>47</v>
      </c>
    </row>
    <row r="142" spans="1:11">
      <c r="A142" t="s">
        <v>11</v>
      </c>
      <c r="B142" t="s">
        <v>36</v>
      </c>
      <c r="C142" t="s">
        <v>25</v>
      </c>
      <c r="D142" t="s">
        <v>21</v>
      </c>
      <c r="E142" t="s">
        <v>38</v>
      </c>
      <c r="F142">
        <v>422</v>
      </c>
      <c r="G142" s="1">
        <v>32388</v>
      </c>
      <c r="H142" s="2">
        <v>45262</v>
      </c>
      <c r="I142" t="s">
        <v>39</v>
      </c>
      <c r="J142" t="s">
        <v>184</v>
      </c>
      <c r="K142" t="s">
        <v>44</v>
      </c>
    </row>
    <row r="143" spans="1:11">
      <c r="A143" t="s">
        <v>64</v>
      </c>
      <c r="B143" t="s">
        <v>36</v>
      </c>
      <c r="C143" t="s">
        <v>20</v>
      </c>
      <c r="D143" t="s">
        <v>21</v>
      </c>
      <c r="E143" t="s">
        <v>22</v>
      </c>
      <c r="F143">
        <v>892</v>
      </c>
      <c r="G143" s="1">
        <v>9396</v>
      </c>
      <c r="H143" s="2">
        <v>45274</v>
      </c>
      <c r="I143" t="s">
        <v>16</v>
      </c>
      <c r="J143" t="s">
        <v>185</v>
      </c>
      <c r="K143" t="s">
        <v>18</v>
      </c>
    </row>
    <row r="144" spans="1:11">
      <c r="A144" t="s">
        <v>45</v>
      </c>
      <c r="B144" t="s">
        <v>19</v>
      </c>
      <c r="C144" t="s">
        <v>20</v>
      </c>
      <c r="D144" t="s">
        <v>66</v>
      </c>
      <c r="E144">
        <v>30</v>
      </c>
      <c r="F144">
        <v>1964</v>
      </c>
      <c r="G144" s="1">
        <v>11786</v>
      </c>
      <c r="H144" s="2">
        <v>45433</v>
      </c>
      <c r="I144" t="s">
        <v>32</v>
      </c>
      <c r="J144" t="s">
        <v>186</v>
      </c>
      <c r="K144" t="s">
        <v>47</v>
      </c>
    </row>
    <row r="145" spans="1:11">
      <c r="A145" t="s">
        <v>35</v>
      </c>
      <c r="B145" t="s">
        <v>51</v>
      </c>
      <c r="C145" t="s">
        <v>13</v>
      </c>
      <c r="D145" t="s">
        <v>66</v>
      </c>
      <c r="E145">
        <v>30</v>
      </c>
      <c r="F145">
        <v>1698</v>
      </c>
      <c r="G145" s="1">
        <v>19170</v>
      </c>
      <c r="H145" s="2">
        <v>45136</v>
      </c>
      <c r="I145" t="s">
        <v>39</v>
      </c>
      <c r="J145" t="s">
        <v>187</v>
      </c>
      <c r="K145" t="s">
        <v>34</v>
      </c>
    </row>
    <row r="146" spans="1:11">
      <c r="A146" t="s">
        <v>11</v>
      </c>
      <c r="B146" t="s">
        <v>19</v>
      </c>
      <c r="C146" t="s">
        <v>20</v>
      </c>
      <c r="D146" t="s">
        <v>21</v>
      </c>
      <c r="E146">
        <v>60</v>
      </c>
      <c r="F146">
        <v>1222</v>
      </c>
      <c r="G146" s="1">
        <v>28574</v>
      </c>
      <c r="H146" s="2">
        <v>45279</v>
      </c>
      <c r="I146" t="s">
        <v>41</v>
      </c>
      <c r="J146" t="s">
        <v>188</v>
      </c>
      <c r="K146" t="s">
        <v>18</v>
      </c>
    </row>
    <row r="147" spans="1:11">
      <c r="A147" t="s">
        <v>11</v>
      </c>
      <c r="B147" t="s">
        <v>36</v>
      </c>
      <c r="C147" t="s">
        <v>59</v>
      </c>
      <c r="D147" t="s">
        <v>26</v>
      </c>
      <c r="E147" t="s">
        <v>38</v>
      </c>
      <c r="F147">
        <v>604</v>
      </c>
      <c r="G147" s="1">
        <v>38185</v>
      </c>
      <c r="H147" s="2">
        <v>45361</v>
      </c>
      <c r="I147" t="s">
        <v>16</v>
      </c>
      <c r="J147" t="s">
        <v>189</v>
      </c>
      <c r="K147" t="s">
        <v>47</v>
      </c>
    </row>
    <row r="148" spans="1:11">
      <c r="A148" t="s">
        <v>24</v>
      </c>
      <c r="B148" t="s">
        <v>51</v>
      </c>
      <c r="C148" t="s">
        <v>20</v>
      </c>
      <c r="D148" t="s">
        <v>66</v>
      </c>
      <c r="E148" t="s">
        <v>15</v>
      </c>
      <c r="F148">
        <v>1811</v>
      </c>
      <c r="G148" s="1">
        <v>42397</v>
      </c>
      <c r="H148" s="2">
        <v>45146</v>
      </c>
      <c r="I148" t="s">
        <v>32</v>
      </c>
      <c r="J148" t="s">
        <v>190</v>
      </c>
      <c r="K148" t="s">
        <v>44</v>
      </c>
    </row>
    <row r="149" spans="1:11">
      <c r="A149" t="s">
        <v>35</v>
      </c>
      <c r="B149" t="s">
        <v>49</v>
      </c>
      <c r="C149" t="s">
        <v>30</v>
      </c>
      <c r="D149" t="s">
        <v>66</v>
      </c>
      <c r="E149">
        <v>60</v>
      </c>
      <c r="F149">
        <v>560</v>
      </c>
      <c r="G149" s="1">
        <v>42407</v>
      </c>
      <c r="H149" s="2">
        <v>45426</v>
      </c>
      <c r="I149" t="s">
        <v>39</v>
      </c>
      <c r="J149" t="s">
        <v>191</v>
      </c>
      <c r="K149" t="s">
        <v>34</v>
      </c>
    </row>
    <row r="150" spans="1:11">
      <c r="A150" t="s">
        <v>35</v>
      </c>
      <c r="B150" t="s">
        <v>19</v>
      </c>
      <c r="C150" t="s">
        <v>13</v>
      </c>
      <c r="D150" t="s">
        <v>66</v>
      </c>
      <c r="E150" t="s">
        <v>38</v>
      </c>
      <c r="F150">
        <v>862</v>
      </c>
      <c r="G150" s="1">
        <v>49311</v>
      </c>
      <c r="H150" s="2">
        <v>45376</v>
      </c>
      <c r="I150" t="s">
        <v>39</v>
      </c>
      <c r="J150" t="s">
        <v>192</v>
      </c>
      <c r="K150" t="s">
        <v>44</v>
      </c>
    </row>
    <row r="151" spans="1:11">
      <c r="A151" t="s">
        <v>24</v>
      </c>
      <c r="B151" t="s">
        <v>51</v>
      </c>
      <c r="C151" t="s">
        <v>13</v>
      </c>
      <c r="D151" t="s">
        <v>21</v>
      </c>
      <c r="E151" t="s">
        <v>15</v>
      </c>
      <c r="F151">
        <v>1017</v>
      </c>
      <c r="G151" s="1">
        <v>21123</v>
      </c>
      <c r="H151" s="2">
        <v>45365</v>
      </c>
      <c r="I151" t="s">
        <v>27</v>
      </c>
      <c r="J151" t="s">
        <v>193</v>
      </c>
      <c r="K151" t="s">
        <v>18</v>
      </c>
    </row>
    <row r="152" spans="1:11">
      <c r="A152" t="s">
        <v>35</v>
      </c>
      <c r="B152" t="s">
        <v>12</v>
      </c>
      <c r="C152" t="s">
        <v>20</v>
      </c>
      <c r="D152" t="s">
        <v>66</v>
      </c>
      <c r="E152">
        <v>30</v>
      </c>
      <c r="F152">
        <v>1468</v>
      </c>
      <c r="G152" s="1">
        <v>32204</v>
      </c>
      <c r="H152" s="2">
        <v>45378</v>
      </c>
      <c r="I152" t="s">
        <v>16</v>
      </c>
      <c r="J152" t="s">
        <v>194</v>
      </c>
      <c r="K152" t="s">
        <v>44</v>
      </c>
    </row>
    <row r="153" spans="1:11">
      <c r="A153" t="s">
        <v>24</v>
      </c>
      <c r="B153" t="s">
        <v>12</v>
      </c>
      <c r="C153" t="s">
        <v>59</v>
      </c>
      <c r="D153" t="s">
        <v>31</v>
      </c>
      <c r="E153">
        <v>30</v>
      </c>
      <c r="F153">
        <v>1647</v>
      </c>
      <c r="G153" s="1">
        <v>21201</v>
      </c>
      <c r="H153" s="2">
        <v>45330</v>
      </c>
      <c r="I153" t="s">
        <v>41</v>
      </c>
      <c r="J153" t="s">
        <v>195</v>
      </c>
      <c r="K153" t="s">
        <v>18</v>
      </c>
    </row>
    <row r="154" spans="1:11">
      <c r="A154" t="s">
        <v>45</v>
      </c>
      <c r="B154" t="s">
        <v>36</v>
      </c>
      <c r="C154" t="s">
        <v>13</v>
      </c>
      <c r="D154" t="s">
        <v>66</v>
      </c>
      <c r="E154">
        <v>30</v>
      </c>
      <c r="F154">
        <v>254</v>
      </c>
      <c r="G154" s="1">
        <v>43256</v>
      </c>
      <c r="H154" s="2">
        <v>45169</v>
      </c>
      <c r="I154" t="s">
        <v>27</v>
      </c>
      <c r="J154" t="s">
        <v>196</v>
      </c>
      <c r="K154" t="s">
        <v>34</v>
      </c>
    </row>
    <row r="155" spans="1:11">
      <c r="A155" t="s">
        <v>64</v>
      </c>
      <c r="B155" t="s">
        <v>51</v>
      </c>
      <c r="C155" t="s">
        <v>59</v>
      </c>
      <c r="D155" t="s">
        <v>26</v>
      </c>
      <c r="E155" t="s">
        <v>38</v>
      </c>
      <c r="F155">
        <v>1661</v>
      </c>
      <c r="G155" s="1">
        <v>8678</v>
      </c>
      <c r="H155" s="2">
        <v>45388</v>
      </c>
      <c r="I155" t="s">
        <v>27</v>
      </c>
      <c r="J155" t="s">
        <v>197</v>
      </c>
      <c r="K155" t="s">
        <v>18</v>
      </c>
    </row>
    <row r="156" spans="1:11">
      <c r="A156" t="s">
        <v>11</v>
      </c>
      <c r="B156" t="s">
        <v>49</v>
      </c>
      <c r="C156" t="s">
        <v>59</v>
      </c>
      <c r="D156" t="s">
        <v>31</v>
      </c>
      <c r="E156" t="s">
        <v>22</v>
      </c>
      <c r="F156">
        <v>1446</v>
      </c>
      <c r="G156" s="1">
        <v>49381</v>
      </c>
      <c r="H156" s="2">
        <v>45367</v>
      </c>
      <c r="I156" t="s">
        <v>32</v>
      </c>
      <c r="J156" t="s">
        <v>198</v>
      </c>
      <c r="K156" t="s">
        <v>47</v>
      </c>
    </row>
    <row r="157" spans="1:11">
      <c r="A157" t="s">
        <v>64</v>
      </c>
      <c r="B157" t="s">
        <v>36</v>
      </c>
      <c r="C157" t="s">
        <v>59</v>
      </c>
      <c r="D157" t="s">
        <v>31</v>
      </c>
      <c r="E157" t="s">
        <v>22</v>
      </c>
      <c r="F157">
        <v>936</v>
      </c>
      <c r="G157" s="1">
        <v>48645</v>
      </c>
      <c r="H157" s="2">
        <v>45136</v>
      </c>
      <c r="I157" t="s">
        <v>32</v>
      </c>
      <c r="J157" t="s">
        <v>199</v>
      </c>
      <c r="K157" t="s">
        <v>47</v>
      </c>
    </row>
    <row r="158" spans="1:11">
      <c r="A158" t="s">
        <v>11</v>
      </c>
      <c r="B158" t="s">
        <v>12</v>
      </c>
      <c r="C158" t="s">
        <v>30</v>
      </c>
      <c r="D158" t="s">
        <v>21</v>
      </c>
      <c r="E158">
        <v>30</v>
      </c>
      <c r="F158">
        <v>1623</v>
      </c>
      <c r="G158" s="1">
        <v>21818</v>
      </c>
      <c r="H158" s="2">
        <v>45426</v>
      </c>
      <c r="I158" t="s">
        <v>16</v>
      </c>
      <c r="J158" t="s">
        <v>200</v>
      </c>
      <c r="K158" t="s">
        <v>34</v>
      </c>
    </row>
    <row r="159" spans="1:11">
      <c r="A159" t="s">
        <v>45</v>
      </c>
      <c r="B159" t="s">
        <v>36</v>
      </c>
      <c r="C159" t="s">
        <v>20</v>
      </c>
      <c r="D159" t="s">
        <v>26</v>
      </c>
      <c r="E159">
        <v>30</v>
      </c>
      <c r="F159">
        <v>1318</v>
      </c>
      <c r="G159" s="1">
        <v>7513</v>
      </c>
      <c r="H159" s="2">
        <v>45476</v>
      </c>
      <c r="I159" t="s">
        <v>16</v>
      </c>
      <c r="J159" t="s">
        <v>201</v>
      </c>
      <c r="K159" t="s">
        <v>47</v>
      </c>
    </row>
    <row r="160" spans="1:11">
      <c r="A160" t="s">
        <v>35</v>
      </c>
      <c r="B160" t="s">
        <v>36</v>
      </c>
      <c r="C160" t="s">
        <v>30</v>
      </c>
      <c r="D160" t="s">
        <v>14</v>
      </c>
      <c r="E160">
        <v>30</v>
      </c>
      <c r="F160">
        <v>123</v>
      </c>
      <c r="G160" s="1">
        <v>4294</v>
      </c>
      <c r="H160" s="2">
        <v>45300</v>
      </c>
      <c r="I160" t="s">
        <v>32</v>
      </c>
      <c r="J160" t="s">
        <v>202</v>
      </c>
      <c r="K160" t="s">
        <v>29</v>
      </c>
    </row>
    <row r="161" spans="1:11">
      <c r="A161" t="s">
        <v>64</v>
      </c>
      <c r="B161" t="s">
        <v>49</v>
      </c>
      <c r="C161" t="s">
        <v>13</v>
      </c>
      <c r="D161" t="s">
        <v>26</v>
      </c>
      <c r="E161">
        <v>30</v>
      </c>
      <c r="F161">
        <v>1466</v>
      </c>
      <c r="G161" s="1">
        <v>24941</v>
      </c>
      <c r="H161" s="2">
        <v>45495</v>
      </c>
      <c r="I161" t="s">
        <v>27</v>
      </c>
      <c r="J161" t="s">
        <v>203</v>
      </c>
      <c r="K161" t="s">
        <v>47</v>
      </c>
    </row>
    <row r="162" spans="1:11">
      <c r="A162" t="s">
        <v>64</v>
      </c>
      <c r="B162" t="s">
        <v>51</v>
      </c>
      <c r="C162" t="s">
        <v>20</v>
      </c>
      <c r="D162" t="s">
        <v>26</v>
      </c>
      <c r="E162">
        <v>60</v>
      </c>
      <c r="F162">
        <v>390</v>
      </c>
      <c r="G162" s="1">
        <v>46339</v>
      </c>
      <c r="H162" s="2">
        <v>45148</v>
      </c>
      <c r="I162" t="s">
        <v>27</v>
      </c>
      <c r="J162" t="s">
        <v>204</v>
      </c>
      <c r="K162" t="s">
        <v>18</v>
      </c>
    </row>
    <row r="163" spans="1:11">
      <c r="A163" t="s">
        <v>35</v>
      </c>
      <c r="B163" t="s">
        <v>36</v>
      </c>
      <c r="C163" t="s">
        <v>59</v>
      </c>
      <c r="D163" t="s">
        <v>66</v>
      </c>
      <c r="E163" t="s">
        <v>15</v>
      </c>
      <c r="F163">
        <v>1586</v>
      </c>
      <c r="G163" s="1">
        <v>9800</v>
      </c>
      <c r="H163" s="2">
        <v>45425</v>
      </c>
      <c r="I163" t="s">
        <v>32</v>
      </c>
      <c r="J163" t="s">
        <v>205</v>
      </c>
      <c r="K163" t="s">
        <v>47</v>
      </c>
    </row>
    <row r="164" spans="1:11">
      <c r="A164" t="s">
        <v>64</v>
      </c>
      <c r="B164" t="s">
        <v>49</v>
      </c>
      <c r="C164" t="s">
        <v>59</v>
      </c>
      <c r="D164" t="s">
        <v>21</v>
      </c>
      <c r="E164" t="s">
        <v>38</v>
      </c>
      <c r="F164">
        <v>739</v>
      </c>
      <c r="G164" s="1">
        <v>48204</v>
      </c>
      <c r="H164" s="2">
        <v>45328</v>
      </c>
      <c r="I164" t="s">
        <v>41</v>
      </c>
      <c r="J164" t="s">
        <v>206</v>
      </c>
      <c r="K164" t="s">
        <v>34</v>
      </c>
    </row>
    <row r="165" spans="1:11">
      <c r="A165" t="s">
        <v>35</v>
      </c>
      <c r="B165" t="s">
        <v>49</v>
      </c>
      <c r="C165" t="s">
        <v>25</v>
      </c>
      <c r="D165" t="s">
        <v>31</v>
      </c>
      <c r="E165" t="s">
        <v>38</v>
      </c>
      <c r="F165">
        <v>1267</v>
      </c>
      <c r="G165" s="1">
        <v>19752</v>
      </c>
      <c r="H165" s="2">
        <v>45400</v>
      </c>
      <c r="I165" t="s">
        <v>39</v>
      </c>
      <c r="J165" t="s">
        <v>207</v>
      </c>
      <c r="K165" t="s">
        <v>44</v>
      </c>
    </row>
    <row r="166" spans="1:11">
      <c r="A166" t="s">
        <v>35</v>
      </c>
      <c r="B166" t="s">
        <v>36</v>
      </c>
      <c r="C166" t="s">
        <v>13</v>
      </c>
      <c r="D166" t="s">
        <v>66</v>
      </c>
      <c r="E166">
        <v>30</v>
      </c>
      <c r="F166">
        <v>1834</v>
      </c>
      <c r="G166" s="1">
        <v>37074</v>
      </c>
      <c r="H166" s="2">
        <v>45485</v>
      </c>
      <c r="I166" t="s">
        <v>32</v>
      </c>
      <c r="J166" t="s">
        <v>208</v>
      </c>
      <c r="K166" t="s">
        <v>44</v>
      </c>
    </row>
    <row r="167" spans="1:11">
      <c r="A167" t="s">
        <v>45</v>
      </c>
      <c r="B167" t="s">
        <v>49</v>
      </c>
      <c r="C167" t="s">
        <v>20</v>
      </c>
      <c r="D167" t="s">
        <v>66</v>
      </c>
      <c r="E167" t="s">
        <v>38</v>
      </c>
      <c r="F167">
        <v>667</v>
      </c>
      <c r="G167" s="1">
        <v>7794</v>
      </c>
      <c r="H167" s="2">
        <v>45384</v>
      </c>
      <c r="I167" t="s">
        <v>27</v>
      </c>
      <c r="J167" t="s">
        <v>209</v>
      </c>
      <c r="K167" t="s">
        <v>29</v>
      </c>
    </row>
    <row r="168" spans="1:11">
      <c r="A168" t="s">
        <v>64</v>
      </c>
      <c r="B168" t="s">
        <v>51</v>
      </c>
      <c r="C168" t="s">
        <v>30</v>
      </c>
      <c r="D168" t="s">
        <v>31</v>
      </c>
      <c r="E168">
        <v>60</v>
      </c>
      <c r="F168">
        <v>1360</v>
      </c>
      <c r="G168" s="1">
        <v>33904</v>
      </c>
      <c r="H168" s="2">
        <v>45168</v>
      </c>
      <c r="I168" t="s">
        <v>27</v>
      </c>
      <c r="J168" t="s">
        <v>210</v>
      </c>
      <c r="K168" t="s">
        <v>34</v>
      </c>
    </row>
    <row r="169" spans="1:11">
      <c r="A169" t="s">
        <v>24</v>
      </c>
      <c r="B169" t="s">
        <v>19</v>
      </c>
      <c r="C169" t="s">
        <v>13</v>
      </c>
      <c r="D169" t="s">
        <v>26</v>
      </c>
      <c r="E169">
        <v>60</v>
      </c>
      <c r="F169">
        <v>1124</v>
      </c>
      <c r="G169" s="1">
        <v>15758</v>
      </c>
      <c r="H169" s="2">
        <v>45231</v>
      </c>
      <c r="I169" t="s">
        <v>41</v>
      </c>
      <c r="J169" t="s">
        <v>211</v>
      </c>
      <c r="K169" t="s">
        <v>34</v>
      </c>
    </row>
    <row r="170" spans="1:11">
      <c r="A170" t="s">
        <v>24</v>
      </c>
      <c r="B170" t="s">
        <v>12</v>
      </c>
      <c r="C170" t="s">
        <v>13</v>
      </c>
      <c r="D170" t="s">
        <v>66</v>
      </c>
      <c r="E170">
        <v>60</v>
      </c>
      <c r="F170">
        <v>236</v>
      </c>
      <c r="G170" s="1">
        <v>46906</v>
      </c>
      <c r="H170" s="2">
        <v>45164</v>
      </c>
      <c r="I170" t="s">
        <v>39</v>
      </c>
      <c r="J170" t="s">
        <v>212</v>
      </c>
      <c r="K170" t="s">
        <v>29</v>
      </c>
    </row>
    <row r="171" spans="1:11">
      <c r="A171" t="s">
        <v>35</v>
      </c>
      <c r="B171" t="s">
        <v>19</v>
      </c>
      <c r="C171" t="s">
        <v>13</v>
      </c>
      <c r="D171" t="s">
        <v>26</v>
      </c>
      <c r="E171">
        <v>60</v>
      </c>
      <c r="F171">
        <v>1134</v>
      </c>
      <c r="G171" s="1">
        <v>13081</v>
      </c>
      <c r="H171" s="2">
        <v>45368</v>
      </c>
      <c r="I171" t="s">
        <v>27</v>
      </c>
      <c r="J171" t="s">
        <v>213</v>
      </c>
      <c r="K171" t="s">
        <v>18</v>
      </c>
    </row>
    <row r="172" spans="1:11">
      <c r="A172" t="s">
        <v>35</v>
      </c>
      <c r="B172" t="s">
        <v>51</v>
      </c>
      <c r="C172" t="s">
        <v>30</v>
      </c>
      <c r="D172" t="s">
        <v>66</v>
      </c>
      <c r="E172" t="s">
        <v>22</v>
      </c>
      <c r="F172">
        <v>1262</v>
      </c>
      <c r="G172" s="1">
        <v>23680</v>
      </c>
      <c r="H172" s="2">
        <v>45143</v>
      </c>
      <c r="I172" t="s">
        <v>27</v>
      </c>
      <c r="J172" t="s">
        <v>214</v>
      </c>
      <c r="K172" t="s">
        <v>47</v>
      </c>
    </row>
    <row r="173" spans="1:11">
      <c r="A173" t="s">
        <v>11</v>
      </c>
      <c r="B173" t="s">
        <v>51</v>
      </c>
      <c r="C173" t="s">
        <v>25</v>
      </c>
      <c r="D173" t="s">
        <v>14</v>
      </c>
      <c r="E173" t="s">
        <v>38</v>
      </c>
      <c r="F173">
        <v>153</v>
      </c>
      <c r="G173" s="1">
        <v>19965</v>
      </c>
      <c r="H173" s="2">
        <v>45209</v>
      </c>
      <c r="I173" t="s">
        <v>41</v>
      </c>
      <c r="J173" t="s">
        <v>215</v>
      </c>
      <c r="K173" t="s">
        <v>34</v>
      </c>
    </row>
    <row r="174" spans="1:11">
      <c r="A174" t="s">
        <v>45</v>
      </c>
      <c r="B174" t="s">
        <v>12</v>
      </c>
      <c r="C174" t="s">
        <v>30</v>
      </c>
      <c r="D174" t="s">
        <v>21</v>
      </c>
      <c r="E174" t="s">
        <v>15</v>
      </c>
      <c r="F174">
        <v>1159</v>
      </c>
      <c r="G174" s="1">
        <v>49694</v>
      </c>
      <c r="H174" s="2">
        <v>45411</v>
      </c>
      <c r="I174" t="s">
        <v>16</v>
      </c>
      <c r="J174" t="s">
        <v>216</v>
      </c>
      <c r="K174" t="s">
        <v>47</v>
      </c>
    </row>
    <row r="175" spans="1:11">
      <c r="A175" t="s">
        <v>24</v>
      </c>
      <c r="B175" t="s">
        <v>51</v>
      </c>
      <c r="C175" t="s">
        <v>30</v>
      </c>
      <c r="D175" t="s">
        <v>21</v>
      </c>
      <c r="E175">
        <v>30</v>
      </c>
      <c r="F175">
        <v>575</v>
      </c>
      <c r="G175" s="1">
        <v>42355</v>
      </c>
      <c r="H175" s="2">
        <v>45156</v>
      </c>
      <c r="I175" t="s">
        <v>16</v>
      </c>
      <c r="J175" t="s">
        <v>217</v>
      </c>
      <c r="K175" t="s">
        <v>34</v>
      </c>
    </row>
    <row r="176" spans="1:11">
      <c r="A176" t="s">
        <v>45</v>
      </c>
      <c r="B176" t="s">
        <v>19</v>
      </c>
      <c r="C176" t="s">
        <v>25</v>
      </c>
      <c r="D176" t="s">
        <v>66</v>
      </c>
      <c r="E176">
        <v>60</v>
      </c>
      <c r="F176">
        <v>189</v>
      </c>
      <c r="G176" s="1">
        <v>45637</v>
      </c>
      <c r="H176" s="2">
        <v>45142</v>
      </c>
      <c r="I176" t="s">
        <v>27</v>
      </c>
      <c r="J176" t="s">
        <v>218</v>
      </c>
      <c r="K176" t="s">
        <v>34</v>
      </c>
    </row>
    <row r="177" spans="1:11">
      <c r="A177" t="s">
        <v>24</v>
      </c>
      <c r="B177" t="s">
        <v>12</v>
      </c>
      <c r="C177" t="s">
        <v>25</v>
      </c>
      <c r="D177" t="s">
        <v>66</v>
      </c>
      <c r="E177">
        <v>60</v>
      </c>
      <c r="F177">
        <v>1132</v>
      </c>
      <c r="G177" s="1">
        <v>46407</v>
      </c>
      <c r="H177" s="2">
        <v>45303</v>
      </c>
      <c r="I177" t="s">
        <v>39</v>
      </c>
      <c r="J177" t="s">
        <v>219</v>
      </c>
      <c r="K177" t="s">
        <v>18</v>
      </c>
    </row>
    <row r="178" spans="1:11">
      <c r="A178" t="s">
        <v>35</v>
      </c>
      <c r="B178" t="s">
        <v>19</v>
      </c>
      <c r="C178" t="s">
        <v>30</v>
      </c>
      <c r="D178" t="s">
        <v>14</v>
      </c>
      <c r="E178" t="s">
        <v>22</v>
      </c>
      <c r="F178">
        <v>411</v>
      </c>
      <c r="G178" s="1">
        <v>37320</v>
      </c>
      <c r="H178" s="2">
        <v>45431</v>
      </c>
      <c r="I178" t="s">
        <v>41</v>
      </c>
      <c r="J178" t="s">
        <v>220</v>
      </c>
      <c r="K178" t="s">
        <v>18</v>
      </c>
    </row>
    <row r="179" spans="1:11">
      <c r="A179" t="s">
        <v>64</v>
      </c>
      <c r="B179" t="s">
        <v>51</v>
      </c>
      <c r="C179" t="s">
        <v>59</v>
      </c>
      <c r="D179" t="s">
        <v>26</v>
      </c>
      <c r="E179" t="s">
        <v>22</v>
      </c>
      <c r="F179">
        <v>165</v>
      </c>
      <c r="G179" s="1">
        <v>26575</v>
      </c>
      <c r="H179" s="2">
        <v>45273</v>
      </c>
      <c r="I179" t="s">
        <v>16</v>
      </c>
      <c r="J179" t="s">
        <v>221</v>
      </c>
      <c r="K179" t="s">
        <v>34</v>
      </c>
    </row>
    <row r="180" spans="1:11">
      <c r="A180" t="s">
        <v>45</v>
      </c>
      <c r="B180" t="s">
        <v>49</v>
      </c>
      <c r="C180" t="s">
        <v>30</v>
      </c>
      <c r="D180" t="s">
        <v>14</v>
      </c>
      <c r="E180" t="s">
        <v>22</v>
      </c>
      <c r="F180">
        <v>1178</v>
      </c>
      <c r="G180" s="1">
        <v>33005</v>
      </c>
      <c r="H180" s="2">
        <v>45184</v>
      </c>
      <c r="I180" t="s">
        <v>39</v>
      </c>
      <c r="J180" t="s">
        <v>222</v>
      </c>
      <c r="K180" t="s">
        <v>47</v>
      </c>
    </row>
    <row r="181" spans="1:11">
      <c r="A181" t="s">
        <v>35</v>
      </c>
      <c r="B181" t="s">
        <v>49</v>
      </c>
      <c r="C181" t="s">
        <v>13</v>
      </c>
      <c r="D181" t="s">
        <v>14</v>
      </c>
      <c r="E181" t="s">
        <v>22</v>
      </c>
      <c r="F181">
        <v>526</v>
      </c>
      <c r="G181" s="1">
        <v>43392</v>
      </c>
      <c r="H181" s="2">
        <v>45301</v>
      </c>
      <c r="I181" t="s">
        <v>27</v>
      </c>
      <c r="J181" t="s">
        <v>223</v>
      </c>
      <c r="K181" t="s">
        <v>47</v>
      </c>
    </row>
    <row r="182" spans="1:11">
      <c r="A182" t="s">
        <v>64</v>
      </c>
      <c r="B182" t="s">
        <v>49</v>
      </c>
      <c r="C182" t="s">
        <v>59</v>
      </c>
      <c r="D182" t="s">
        <v>66</v>
      </c>
      <c r="E182" t="s">
        <v>22</v>
      </c>
      <c r="F182">
        <v>1084</v>
      </c>
      <c r="G182" s="1">
        <v>34603</v>
      </c>
      <c r="H182" s="2">
        <v>45250</v>
      </c>
      <c r="I182" t="s">
        <v>16</v>
      </c>
      <c r="J182" t="s">
        <v>224</v>
      </c>
      <c r="K182" t="s">
        <v>34</v>
      </c>
    </row>
    <row r="183" spans="1:11">
      <c r="A183" t="s">
        <v>64</v>
      </c>
      <c r="B183" t="s">
        <v>49</v>
      </c>
      <c r="C183" t="s">
        <v>25</v>
      </c>
      <c r="D183" t="s">
        <v>26</v>
      </c>
      <c r="E183" t="s">
        <v>15</v>
      </c>
      <c r="F183">
        <v>574</v>
      </c>
      <c r="G183" s="1">
        <v>27787</v>
      </c>
      <c r="H183" s="2">
        <v>45195</v>
      </c>
      <c r="I183" t="s">
        <v>41</v>
      </c>
      <c r="J183" t="s">
        <v>225</v>
      </c>
      <c r="K183" t="s">
        <v>34</v>
      </c>
    </row>
    <row r="184" spans="1:11">
      <c r="A184" t="s">
        <v>45</v>
      </c>
      <c r="B184" t="s">
        <v>49</v>
      </c>
      <c r="C184" t="s">
        <v>13</v>
      </c>
      <c r="D184" t="s">
        <v>14</v>
      </c>
      <c r="E184" t="s">
        <v>22</v>
      </c>
      <c r="F184">
        <v>1915</v>
      </c>
      <c r="G184" s="1">
        <v>41152</v>
      </c>
      <c r="H184" s="2">
        <v>45248</v>
      </c>
      <c r="I184" t="s">
        <v>41</v>
      </c>
      <c r="J184" t="s">
        <v>226</v>
      </c>
      <c r="K184" t="s">
        <v>44</v>
      </c>
    </row>
    <row r="185" spans="1:11">
      <c r="A185" t="s">
        <v>24</v>
      </c>
      <c r="B185" t="s">
        <v>36</v>
      </c>
      <c r="C185" t="s">
        <v>20</v>
      </c>
      <c r="D185" t="s">
        <v>26</v>
      </c>
      <c r="E185" t="s">
        <v>22</v>
      </c>
      <c r="F185">
        <v>686</v>
      </c>
      <c r="G185" s="1">
        <v>47207</v>
      </c>
      <c r="H185" s="2">
        <v>45420</v>
      </c>
      <c r="I185" t="s">
        <v>16</v>
      </c>
      <c r="J185" t="s">
        <v>227</v>
      </c>
      <c r="K185" t="s">
        <v>29</v>
      </c>
    </row>
    <row r="186" spans="1:11">
      <c r="A186" t="s">
        <v>35</v>
      </c>
      <c r="B186" t="s">
        <v>36</v>
      </c>
      <c r="C186" t="s">
        <v>30</v>
      </c>
      <c r="D186" t="s">
        <v>14</v>
      </c>
      <c r="E186" t="s">
        <v>38</v>
      </c>
      <c r="F186">
        <v>489</v>
      </c>
      <c r="G186" s="1">
        <v>31891</v>
      </c>
      <c r="H186" s="2">
        <v>45481</v>
      </c>
      <c r="I186" t="s">
        <v>16</v>
      </c>
      <c r="J186" t="s">
        <v>228</v>
      </c>
      <c r="K186" t="s">
        <v>47</v>
      </c>
    </row>
    <row r="187" spans="1:11">
      <c r="A187" t="s">
        <v>45</v>
      </c>
      <c r="B187" t="s">
        <v>49</v>
      </c>
      <c r="C187" t="s">
        <v>59</v>
      </c>
      <c r="D187" t="s">
        <v>21</v>
      </c>
      <c r="E187">
        <v>60</v>
      </c>
      <c r="F187">
        <v>1995</v>
      </c>
      <c r="G187" s="1">
        <v>25257</v>
      </c>
      <c r="H187" s="2">
        <v>45253</v>
      </c>
      <c r="I187" t="s">
        <v>16</v>
      </c>
      <c r="J187" t="s">
        <v>229</v>
      </c>
      <c r="K187" t="s">
        <v>34</v>
      </c>
    </row>
    <row r="188" spans="1:11">
      <c r="A188" t="s">
        <v>24</v>
      </c>
      <c r="B188" t="s">
        <v>19</v>
      </c>
      <c r="C188" t="s">
        <v>59</v>
      </c>
      <c r="D188" t="s">
        <v>21</v>
      </c>
      <c r="E188" t="s">
        <v>22</v>
      </c>
      <c r="F188">
        <v>1454</v>
      </c>
      <c r="G188" s="1">
        <v>28319</v>
      </c>
      <c r="H188" s="2">
        <v>45408</v>
      </c>
      <c r="I188" t="s">
        <v>32</v>
      </c>
      <c r="J188" t="s">
        <v>230</v>
      </c>
      <c r="K188" t="s">
        <v>18</v>
      </c>
    </row>
    <row r="189" spans="1:11">
      <c r="A189" t="s">
        <v>35</v>
      </c>
      <c r="B189" t="s">
        <v>12</v>
      </c>
      <c r="C189" t="s">
        <v>13</v>
      </c>
      <c r="D189" t="s">
        <v>31</v>
      </c>
      <c r="E189" t="s">
        <v>38</v>
      </c>
      <c r="F189">
        <v>221</v>
      </c>
      <c r="G189" s="1">
        <v>20149</v>
      </c>
      <c r="H189" s="2">
        <v>45185</v>
      </c>
      <c r="I189" t="s">
        <v>39</v>
      </c>
      <c r="J189" t="s">
        <v>231</v>
      </c>
      <c r="K189" t="s">
        <v>34</v>
      </c>
    </row>
    <row r="190" spans="1:11">
      <c r="A190" t="s">
        <v>11</v>
      </c>
      <c r="B190" t="s">
        <v>12</v>
      </c>
      <c r="C190" t="s">
        <v>13</v>
      </c>
      <c r="D190" t="s">
        <v>14</v>
      </c>
      <c r="E190" t="s">
        <v>22</v>
      </c>
      <c r="F190">
        <v>449</v>
      </c>
      <c r="G190" s="1">
        <v>20979</v>
      </c>
      <c r="H190" s="2">
        <v>45303</v>
      </c>
      <c r="I190" t="s">
        <v>39</v>
      </c>
      <c r="J190" t="s">
        <v>232</v>
      </c>
      <c r="K190" t="s">
        <v>34</v>
      </c>
    </row>
    <row r="191" spans="1:11">
      <c r="A191" t="s">
        <v>11</v>
      </c>
      <c r="B191" t="s">
        <v>51</v>
      </c>
      <c r="C191" t="s">
        <v>30</v>
      </c>
      <c r="D191" t="s">
        <v>21</v>
      </c>
      <c r="E191">
        <v>60</v>
      </c>
      <c r="F191">
        <v>1180</v>
      </c>
      <c r="G191" s="1">
        <v>24090</v>
      </c>
      <c r="H191" s="2">
        <v>45357</v>
      </c>
      <c r="I191" t="s">
        <v>16</v>
      </c>
      <c r="J191" t="s">
        <v>233</v>
      </c>
      <c r="K191" t="s">
        <v>47</v>
      </c>
    </row>
    <row r="192" spans="1:11">
      <c r="A192" t="s">
        <v>45</v>
      </c>
      <c r="B192" t="s">
        <v>12</v>
      </c>
      <c r="C192" t="s">
        <v>13</v>
      </c>
      <c r="D192" t="s">
        <v>26</v>
      </c>
      <c r="E192">
        <v>30</v>
      </c>
      <c r="F192">
        <v>898</v>
      </c>
      <c r="G192" s="1">
        <v>10545</v>
      </c>
      <c r="H192" s="2">
        <v>45159</v>
      </c>
      <c r="I192" t="s">
        <v>32</v>
      </c>
      <c r="J192" t="s">
        <v>234</v>
      </c>
      <c r="K192" t="s">
        <v>34</v>
      </c>
    </row>
    <row r="193" spans="1:11">
      <c r="A193" t="s">
        <v>45</v>
      </c>
      <c r="B193" t="s">
        <v>12</v>
      </c>
      <c r="C193" t="s">
        <v>20</v>
      </c>
      <c r="D193" t="s">
        <v>31</v>
      </c>
      <c r="E193">
        <v>60</v>
      </c>
      <c r="F193">
        <v>967</v>
      </c>
      <c r="G193" s="1">
        <v>37020</v>
      </c>
      <c r="H193" s="2">
        <v>45422</v>
      </c>
      <c r="I193" t="s">
        <v>32</v>
      </c>
      <c r="J193" t="s">
        <v>235</v>
      </c>
      <c r="K193" t="s">
        <v>47</v>
      </c>
    </row>
    <row r="194" spans="1:11">
      <c r="A194" t="s">
        <v>45</v>
      </c>
      <c r="B194" t="s">
        <v>12</v>
      </c>
      <c r="C194" t="s">
        <v>30</v>
      </c>
      <c r="D194" t="s">
        <v>26</v>
      </c>
      <c r="E194">
        <v>60</v>
      </c>
      <c r="F194">
        <v>909</v>
      </c>
      <c r="G194" s="1">
        <v>12714</v>
      </c>
      <c r="H194" s="2">
        <v>45340</v>
      </c>
      <c r="I194" t="s">
        <v>27</v>
      </c>
      <c r="J194" t="s">
        <v>236</v>
      </c>
      <c r="K194" t="s">
        <v>44</v>
      </c>
    </row>
    <row r="195" spans="1:11">
      <c r="A195" t="s">
        <v>45</v>
      </c>
      <c r="B195" t="s">
        <v>51</v>
      </c>
      <c r="C195" t="s">
        <v>25</v>
      </c>
      <c r="D195" t="s">
        <v>14</v>
      </c>
      <c r="E195" t="s">
        <v>22</v>
      </c>
      <c r="F195">
        <v>654</v>
      </c>
      <c r="G195" s="1">
        <v>8859</v>
      </c>
      <c r="H195" s="2">
        <v>45261</v>
      </c>
      <c r="I195" t="s">
        <v>32</v>
      </c>
      <c r="J195" t="s">
        <v>237</v>
      </c>
      <c r="K195" t="s">
        <v>29</v>
      </c>
    </row>
    <row r="196" spans="1:11">
      <c r="A196" t="s">
        <v>35</v>
      </c>
      <c r="B196" t="s">
        <v>36</v>
      </c>
      <c r="C196" t="s">
        <v>30</v>
      </c>
      <c r="D196" t="s">
        <v>21</v>
      </c>
      <c r="E196">
        <v>30</v>
      </c>
      <c r="F196">
        <v>883</v>
      </c>
      <c r="G196" s="1">
        <v>14721</v>
      </c>
      <c r="H196" s="2">
        <v>45193</v>
      </c>
      <c r="I196" t="s">
        <v>16</v>
      </c>
      <c r="J196" t="s">
        <v>238</v>
      </c>
      <c r="K196" t="s">
        <v>18</v>
      </c>
    </row>
    <row r="197" spans="1:11">
      <c r="A197" t="s">
        <v>11</v>
      </c>
      <c r="B197" t="s">
        <v>12</v>
      </c>
      <c r="C197" t="s">
        <v>20</v>
      </c>
      <c r="D197" t="s">
        <v>14</v>
      </c>
      <c r="E197" t="s">
        <v>22</v>
      </c>
      <c r="F197">
        <v>565</v>
      </c>
      <c r="G197" s="1">
        <v>4821</v>
      </c>
      <c r="H197" s="2">
        <v>45321</v>
      </c>
      <c r="I197" t="s">
        <v>39</v>
      </c>
      <c r="J197" t="s">
        <v>239</v>
      </c>
      <c r="K197" t="s">
        <v>18</v>
      </c>
    </row>
    <row r="198" spans="1:11">
      <c r="A198" t="s">
        <v>11</v>
      </c>
      <c r="B198" t="s">
        <v>36</v>
      </c>
      <c r="C198" t="s">
        <v>25</v>
      </c>
      <c r="D198" t="s">
        <v>66</v>
      </c>
      <c r="E198" t="s">
        <v>15</v>
      </c>
      <c r="F198">
        <v>933</v>
      </c>
      <c r="G198" s="1">
        <v>26268</v>
      </c>
      <c r="H198" s="2">
        <v>45419</v>
      </c>
      <c r="I198" t="s">
        <v>41</v>
      </c>
      <c r="J198" t="s">
        <v>240</v>
      </c>
      <c r="K198" t="s">
        <v>29</v>
      </c>
    </row>
    <row r="199" spans="1:11">
      <c r="A199" t="s">
        <v>35</v>
      </c>
      <c r="B199" t="s">
        <v>12</v>
      </c>
      <c r="C199" t="s">
        <v>30</v>
      </c>
      <c r="D199" t="s">
        <v>14</v>
      </c>
      <c r="E199" t="s">
        <v>38</v>
      </c>
      <c r="F199">
        <v>1793</v>
      </c>
      <c r="G199" s="1">
        <v>12451</v>
      </c>
      <c r="H199" s="2">
        <v>45467</v>
      </c>
      <c r="I199" t="s">
        <v>27</v>
      </c>
      <c r="J199" t="s">
        <v>241</v>
      </c>
      <c r="K199" t="s">
        <v>44</v>
      </c>
    </row>
    <row r="200" spans="1:11">
      <c r="A200" t="s">
        <v>24</v>
      </c>
      <c r="B200" t="s">
        <v>36</v>
      </c>
      <c r="C200" t="s">
        <v>59</v>
      </c>
      <c r="D200" t="s">
        <v>21</v>
      </c>
      <c r="E200" t="s">
        <v>22</v>
      </c>
      <c r="F200">
        <v>697</v>
      </c>
      <c r="G200" s="1">
        <v>19171</v>
      </c>
      <c r="H200" s="2">
        <v>45347</v>
      </c>
      <c r="I200" t="s">
        <v>32</v>
      </c>
      <c r="J200" t="s">
        <v>242</v>
      </c>
      <c r="K200" t="s">
        <v>34</v>
      </c>
    </row>
    <row r="201" spans="1:11">
      <c r="A201" t="s">
        <v>64</v>
      </c>
      <c r="B201" t="s">
        <v>36</v>
      </c>
      <c r="C201" t="s">
        <v>20</v>
      </c>
      <c r="D201" t="s">
        <v>66</v>
      </c>
      <c r="E201">
        <v>30</v>
      </c>
      <c r="F201">
        <v>379</v>
      </c>
      <c r="G201" s="1">
        <v>45953</v>
      </c>
      <c r="H201" s="2">
        <v>45231</v>
      </c>
      <c r="I201" t="s">
        <v>32</v>
      </c>
      <c r="J201" t="s">
        <v>243</v>
      </c>
      <c r="K201" t="s">
        <v>47</v>
      </c>
    </row>
    <row r="202" spans="1:11">
      <c r="A202" t="s">
        <v>64</v>
      </c>
      <c r="B202" t="s">
        <v>49</v>
      </c>
      <c r="C202" t="s">
        <v>30</v>
      </c>
      <c r="D202" t="s">
        <v>31</v>
      </c>
      <c r="E202">
        <v>60</v>
      </c>
      <c r="F202">
        <v>1640</v>
      </c>
      <c r="G202" s="1">
        <v>18487</v>
      </c>
      <c r="H202" s="2">
        <v>45204</v>
      </c>
      <c r="I202" t="s">
        <v>16</v>
      </c>
      <c r="J202" t="s">
        <v>244</v>
      </c>
      <c r="K202" t="s">
        <v>18</v>
      </c>
    </row>
    <row r="203" spans="1:11">
      <c r="A203" t="s">
        <v>35</v>
      </c>
      <c r="B203" t="s">
        <v>19</v>
      </c>
      <c r="C203" t="s">
        <v>59</v>
      </c>
      <c r="D203" t="s">
        <v>21</v>
      </c>
      <c r="E203" t="s">
        <v>38</v>
      </c>
      <c r="F203">
        <v>244</v>
      </c>
      <c r="G203" s="1">
        <v>29056</v>
      </c>
      <c r="H203" s="2">
        <v>45298</v>
      </c>
      <c r="I203" t="s">
        <v>32</v>
      </c>
      <c r="J203" t="s">
        <v>245</v>
      </c>
      <c r="K203" t="s">
        <v>47</v>
      </c>
    </row>
    <row r="204" spans="1:11">
      <c r="A204" t="s">
        <v>35</v>
      </c>
      <c r="B204" t="s">
        <v>51</v>
      </c>
      <c r="C204" t="s">
        <v>13</v>
      </c>
      <c r="D204" t="s">
        <v>31</v>
      </c>
      <c r="E204">
        <v>60</v>
      </c>
      <c r="F204">
        <v>482</v>
      </c>
      <c r="G204" s="1">
        <v>4566</v>
      </c>
      <c r="H204" s="2">
        <v>45199</v>
      </c>
      <c r="I204" t="s">
        <v>32</v>
      </c>
      <c r="J204" t="s">
        <v>246</v>
      </c>
      <c r="K204" t="s">
        <v>44</v>
      </c>
    </row>
    <row r="205" spans="1:11">
      <c r="A205" t="s">
        <v>11</v>
      </c>
      <c r="B205" t="s">
        <v>49</v>
      </c>
      <c r="C205" t="s">
        <v>30</v>
      </c>
      <c r="D205" t="s">
        <v>21</v>
      </c>
      <c r="E205">
        <v>60</v>
      </c>
      <c r="F205">
        <v>982</v>
      </c>
      <c r="G205" s="1">
        <v>5040</v>
      </c>
      <c r="H205" s="2">
        <v>45290</v>
      </c>
      <c r="I205" t="s">
        <v>32</v>
      </c>
      <c r="J205" t="s">
        <v>247</v>
      </c>
      <c r="K205" t="s">
        <v>29</v>
      </c>
    </row>
    <row r="206" spans="1:11">
      <c r="A206" t="s">
        <v>64</v>
      </c>
      <c r="B206" t="s">
        <v>19</v>
      </c>
      <c r="C206" t="s">
        <v>13</v>
      </c>
      <c r="D206" t="s">
        <v>14</v>
      </c>
      <c r="E206" t="s">
        <v>22</v>
      </c>
      <c r="F206">
        <v>401</v>
      </c>
      <c r="G206" s="1">
        <v>33003</v>
      </c>
      <c r="H206" s="2">
        <v>45240</v>
      </c>
      <c r="I206" t="s">
        <v>32</v>
      </c>
      <c r="J206" t="s">
        <v>248</v>
      </c>
      <c r="K206" t="s">
        <v>29</v>
      </c>
    </row>
    <row r="207" spans="1:11">
      <c r="A207" t="s">
        <v>35</v>
      </c>
      <c r="B207" t="s">
        <v>19</v>
      </c>
      <c r="C207" t="s">
        <v>25</v>
      </c>
      <c r="D207" t="s">
        <v>14</v>
      </c>
      <c r="E207">
        <v>60</v>
      </c>
      <c r="F207">
        <v>1315</v>
      </c>
      <c r="G207" s="1">
        <v>13838</v>
      </c>
      <c r="H207" s="2">
        <v>45329</v>
      </c>
      <c r="I207" t="s">
        <v>16</v>
      </c>
      <c r="J207" t="s">
        <v>249</v>
      </c>
      <c r="K207" t="s">
        <v>18</v>
      </c>
    </row>
    <row r="208" spans="1:11">
      <c r="A208" t="s">
        <v>11</v>
      </c>
      <c r="B208" t="s">
        <v>12</v>
      </c>
      <c r="C208" t="s">
        <v>25</v>
      </c>
      <c r="D208" t="s">
        <v>21</v>
      </c>
      <c r="E208" t="s">
        <v>38</v>
      </c>
      <c r="F208">
        <v>1986</v>
      </c>
      <c r="G208" s="1">
        <v>21856</v>
      </c>
      <c r="H208" s="2">
        <v>45306</v>
      </c>
      <c r="I208" t="s">
        <v>16</v>
      </c>
      <c r="J208" t="s">
        <v>250</v>
      </c>
      <c r="K208" t="s">
        <v>34</v>
      </c>
    </row>
    <row r="209" spans="1:11">
      <c r="A209" t="s">
        <v>45</v>
      </c>
      <c r="B209" t="s">
        <v>12</v>
      </c>
      <c r="C209" t="s">
        <v>20</v>
      </c>
      <c r="D209" t="s">
        <v>31</v>
      </c>
      <c r="E209" t="s">
        <v>22</v>
      </c>
      <c r="F209">
        <v>626</v>
      </c>
      <c r="G209" s="1">
        <v>41156</v>
      </c>
      <c r="H209" s="2">
        <v>45253</v>
      </c>
      <c r="I209" t="s">
        <v>41</v>
      </c>
      <c r="J209" t="s">
        <v>251</v>
      </c>
      <c r="K209" t="s">
        <v>34</v>
      </c>
    </row>
    <row r="210" spans="1:11">
      <c r="A210" t="s">
        <v>64</v>
      </c>
      <c r="B210" t="s">
        <v>36</v>
      </c>
      <c r="C210" t="s">
        <v>13</v>
      </c>
      <c r="D210" t="s">
        <v>26</v>
      </c>
      <c r="E210">
        <v>30</v>
      </c>
      <c r="F210">
        <v>817</v>
      </c>
      <c r="G210" s="1">
        <v>41978</v>
      </c>
      <c r="H210" s="2">
        <v>45223</v>
      </c>
      <c r="I210" t="s">
        <v>39</v>
      </c>
      <c r="J210" t="s">
        <v>252</v>
      </c>
      <c r="K210" t="s">
        <v>18</v>
      </c>
    </row>
    <row r="211" spans="1:11">
      <c r="A211" t="s">
        <v>45</v>
      </c>
      <c r="B211" t="s">
        <v>12</v>
      </c>
      <c r="C211" t="s">
        <v>59</v>
      </c>
      <c r="D211" t="s">
        <v>26</v>
      </c>
      <c r="E211" t="s">
        <v>38</v>
      </c>
      <c r="F211">
        <v>1540</v>
      </c>
      <c r="G211" s="1">
        <v>46616</v>
      </c>
      <c r="H211" s="2">
        <v>45424</v>
      </c>
      <c r="I211" t="s">
        <v>39</v>
      </c>
      <c r="J211" t="s">
        <v>253</v>
      </c>
      <c r="K211" t="s">
        <v>18</v>
      </c>
    </row>
    <row r="212" spans="1:11">
      <c r="A212" t="s">
        <v>11</v>
      </c>
      <c r="B212" t="s">
        <v>49</v>
      </c>
      <c r="C212" t="s">
        <v>20</v>
      </c>
      <c r="D212" t="s">
        <v>26</v>
      </c>
      <c r="E212">
        <v>60</v>
      </c>
      <c r="F212">
        <v>1352</v>
      </c>
      <c r="G212" s="1">
        <v>9133</v>
      </c>
      <c r="H212" s="2">
        <v>45302</v>
      </c>
      <c r="I212" t="s">
        <v>27</v>
      </c>
      <c r="J212" t="s">
        <v>254</v>
      </c>
      <c r="K212" t="s">
        <v>47</v>
      </c>
    </row>
    <row r="213" spans="1:11">
      <c r="A213" t="s">
        <v>35</v>
      </c>
      <c r="B213" t="s">
        <v>19</v>
      </c>
      <c r="C213" t="s">
        <v>30</v>
      </c>
      <c r="D213" t="s">
        <v>14</v>
      </c>
      <c r="E213" t="s">
        <v>38</v>
      </c>
      <c r="F213">
        <v>428</v>
      </c>
      <c r="G213" s="1">
        <v>26054</v>
      </c>
      <c r="H213" s="2">
        <v>45179</v>
      </c>
      <c r="I213" t="s">
        <v>32</v>
      </c>
      <c r="J213" t="s">
        <v>255</v>
      </c>
      <c r="K213" t="s">
        <v>34</v>
      </c>
    </row>
    <row r="214" spans="1:11">
      <c r="A214" t="s">
        <v>64</v>
      </c>
      <c r="B214" t="s">
        <v>51</v>
      </c>
      <c r="C214" t="s">
        <v>30</v>
      </c>
      <c r="D214" t="s">
        <v>66</v>
      </c>
      <c r="E214">
        <v>60</v>
      </c>
      <c r="F214">
        <v>1934</v>
      </c>
      <c r="G214" s="1">
        <v>41356</v>
      </c>
      <c r="H214" s="2">
        <v>45403</v>
      </c>
      <c r="I214" t="s">
        <v>16</v>
      </c>
      <c r="J214" t="s">
        <v>256</v>
      </c>
      <c r="K214" t="s">
        <v>29</v>
      </c>
    </row>
    <row r="215" spans="1:11">
      <c r="A215" t="s">
        <v>35</v>
      </c>
      <c r="B215" t="s">
        <v>51</v>
      </c>
      <c r="C215" t="s">
        <v>25</v>
      </c>
      <c r="D215" t="s">
        <v>31</v>
      </c>
      <c r="E215" t="s">
        <v>15</v>
      </c>
      <c r="F215">
        <v>1826</v>
      </c>
      <c r="G215" s="1">
        <v>2719</v>
      </c>
      <c r="H215" s="2">
        <v>45297</v>
      </c>
      <c r="I215" t="s">
        <v>16</v>
      </c>
      <c r="J215" t="s">
        <v>257</v>
      </c>
      <c r="K215" t="s">
        <v>47</v>
      </c>
    </row>
    <row r="216" spans="1:11">
      <c r="A216" t="s">
        <v>24</v>
      </c>
      <c r="B216" t="s">
        <v>51</v>
      </c>
      <c r="C216" t="s">
        <v>13</v>
      </c>
      <c r="D216" t="s">
        <v>26</v>
      </c>
      <c r="E216" t="s">
        <v>38</v>
      </c>
      <c r="F216">
        <v>594</v>
      </c>
      <c r="G216" s="1">
        <v>11887</v>
      </c>
      <c r="H216" s="2">
        <v>45166</v>
      </c>
      <c r="I216" t="s">
        <v>27</v>
      </c>
      <c r="J216" t="s">
        <v>258</v>
      </c>
      <c r="K216" t="s">
        <v>44</v>
      </c>
    </row>
    <row r="217" spans="1:11">
      <c r="A217" t="s">
        <v>64</v>
      </c>
      <c r="B217" t="s">
        <v>12</v>
      </c>
      <c r="C217" t="s">
        <v>30</v>
      </c>
      <c r="D217" t="s">
        <v>66</v>
      </c>
      <c r="E217" t="s">
        <v>15</v>
      </c>
      <c r="F217">
        <v>105</v>
      </c>
      <c r="G217" s="1">
        <v>36153</v>
      </c>
      <c r="H217" s="2">
        <v>45499</v>
      </c>
      <c r="I217" t="s">
        <v>39</v>
      </c>
      <c r="J217" t="s">
        <v>259</v>
      </c>
      <c r="K217" t="s">
        <v>34</v>
      </c>
    </row>
    <row r="218" spans="1:11">
      <c r="A218" t="s">
        <v>35</v>
      </c>
      <c r="B218" t="s">
        <v>12</v>
      </c>
      <c r="C218" t="s">
        <v>13</v>
      </c>
      <c r="D218" t="s">
        <v>66</v>
      </c>
      <c r="E218" t="s">
        <v>15</v>
      </c>
      <c r="F218">
        <v>1169</v>
      </c>
      <c r="G218" s="1">
        <v>21685</v>
      </c>
      <c r="H218" s="2">
        <v>45252</v>
      </c>
      <c r="I218" t="s">
        <v>16</v>
      </c>
      <c r="J218" t="s">
        <v>260</v>
      </c>
      <c r="K218" t="s">
        <v>18</v>
      </c>
    </row>
    <row r="219" spans="1:11">
      <c r="A219" t="s">
        <v>45</v>
      </c>
      <c r="B219" t="s">
        <v>51</v>
      </c>
      <c r="C219" t="s">
        <v>13</v>
      </c>
      <c r="D219" t="s">
        <v>21</v>
      </c>
      <c r="E219">
        <v>30</v>
      </c>
      <c r="F219">
        <v>1463</v>
      </c>
      <c r="G219" s="1">
        <v>49601</v>
      </c>
      <c r="H219" s="2">
        <v>45200</v>
      </c>
      <c r="I219" t="s">
        <v>27</v>
      </c>
      <c r="J219" t="s">
        <v>261</v>
      </c>
      <c r="K219" t="s">
        <v>47</v>
      </c>
    </row>
    <row r="220" spans="1:11">
      <c r="A220" t="s">
        <v>35</v>
      </c>
      <c r="B220" t="s">
        <v>12</v>
      </c>
      <c r="C220" t="s">
        <v>13</v>
      </c>
      <c r="D220" t="s">
        <v>66</v>
      </c>
      <c r="E220" t="s">
        <v>15</v>
      </c>
      <c r="F220">
        <v>1091</v>
      </c>
      <c r="G220" s="1">
        <v>15021</v>
      </c>
      <c r="H220" s="2">
        <v>45458</v>
      </c>
      <c r="I220" t="s">
        <v>41</v>
      </c>
      <c r="J220" t="s">
        <v>262</v>
      </c>
      <c r="K220" t="s">
        <v>29</v>
      </c>
    </row>
    <row r="221" spans="1:11">
      <c r="A221" t="s">
        <v>35</v>
      </c>
      <c r="B221" t="s">
        <v>51</v>
      </c>
      <c r="C221" t="s">
        <v>30</v>
      </c>
      <c r="D221" t="s">
        <v>26</v>
      </c>
      <c r="E221" t="s">
        <v>38</v>
      </c>
      <c r="F221">
        <v>230</v>
      </c>
      <c r="G221" s="1">
        <v>15353</v>
      </c>
      <c r="H221" s="2">
        <v>45414</v>
      </c>
      <c r="I221" t="s">
        <v>32</v>
      </c>
      <c r="J221" t="s">
        <v>263</v>
      </c>
      <c r="K221" t="s">
        <v>47</v>
      </c>
    </row>
    <row r="222" spans="1:11">
      <c r="A222" t="s">
        <v>24</v>
      </c>
      <c r="B222" t="s">
        <v>19</v>
      </c>
      <c r="C222" t="s">
        <v>20</v>
      </c>
      <c r="D222" t="s">
        <v>21</v>
      </c>
      <c r="E222">
        <v>30</v>
      </c>
      <c r="F222">
        <v>1603</v>
      </c>
      <c r="G222" s="1">
        <v>46470</v>
      </c>
      <c r="H222" s="2">
        <v>45274</v>
      </c>
      <c r="I222" t="s">
        <v>27</v>
      </c>
      <c r="J222" t="s">
        <v>264</v>
      </c>
      <c r="K222" t="s">
        <v>47</v>
      </c>
    </row>
    <row r="223" spans="1:11">
      <c r="A223" t="s">
        <v>35</v>
      </c>
      <c r="B223" t="s">
        <v>49</v>
      </c>
      <c r="C223" t="s">
        <v>25</v>
      </c>
      <c r="D223" t="s">
        <v>14</v>
      </c>
      <c r="E223">
        <v>60</v>
      </c>
      <c r="F223">
        <v>522</v>
      </c>
      <c r="G223" s="1">
        <v>32783</v>
      </c>
      <c r="H223" s="2">
        <v>45500</v>
      </c>
      <c r="I223" t="s">
        <v>27</v>
      </c>
      <c r="J223" t="s">
        <v>265</v>
      </c>
      <c r="K223" t="s">
        <v>47</v>
      </c>
    </row>
    <row r="224" spans="1:11">
      <c r="A224" t="s">
        <v>45</v>
      </c>
      <c r="B224" t="s">
        <v>12</v>
      </c>
      <c r="C224" t="s">
        <v>20</v>
      </c>
      <c r="D224" t="s">
        <v>26</v>
      </c>
      <c r="E224" t="s">
        <v>22</v>
      </c>
      <c r="F224">
        <v>302</v>
      </c>
      <c r="G224" s="1">
        <v>9722</v>
      </c>
      <c r="H224" s="2">
        <v>45362</v>
      </c>
      <c r="I224" t="s">
        <v>39</v>
      </c>
      <c r="J224" t="s">
        <v>266</v>
      </c>
      <c r="K224" t="s">
        <v>44</v>
      </c>
    </row>
    <row r="225" spans="1:11">
      <c r="A225" t="s">
        <v>24</v>
      </c>
      <c r="B225" t="s">
        <v>36</v>
      </c>
      <c r="C225" t="s">
        <v>13</v>
      </c>
      <c r="D225" t="s">
        <v>66</v>
      </c>
      <c r="E225" t="s">
        <v>38</v>
      </c>
      <c r="F225">
        <v>664</v>
      </c>
      <c r="G225" s="1">
        <v>32835</v>
      </c>
      <c r="H225" s="2">
        <v>45276</v>
      </c>
      <c r="I225" t="s">
        <v>41</v>
      </c>
      <c r="J225" t="s">
        <v>267</v>
      </c>
      <c r="K225" t="s">
        <v>34</v>
      </c>
    </row>
    <row r="226" spans="1:11">
      <c r="A226" t="s">
        <v>11</v>
      </c>
      <c r="B226" t="s">
        <v>36</v>
      </c>
      <c r="C226" t="s">
        <v>13</v>
      </c>
      <c r="D226" t="s">
        <v>21</v>
      </c>
      <c r="E226">
        <v>60</v>
      </c>
      <c r="F226">
        <v>1701</v>
      </c>
      <c r="G226" s="1">
        <v>36720</v>
      </c>
      <c r="H226" s="2">
        <v>45308</v>
      </c>
      <c r="I226" t="s">
        <v>32</v>
      </c>
      <c r="J226" t="s">
        <v>268</v>
      </c>
      <c r="K226" t="s">
        <v>47</v>
      </c>
    </row>
    <row r="227" spans="1:11">
      <c r="A227" t="s">
        <v>11</v>
      </c>
      <c r="B227" t="s">
        <v>12</v>
      </c>
      <c r="C227" t="s">
        <v>25</v>
      </c>
      <c r="D227" t="s">
        <v>21</v>
      </c>
      <c r="E227">
        <v>30</v>
      </c>
      <c r="F227">
        <v>1048</v>
      </c>
      <c r="G227" s="1">
        <v>1486</v>
      </c>
      <c r="H227" s="2">
        <v>45285</v>
      </c>
      <c r="I227" t="s">
        <v>27</v>
      </c>
      <c r="J227" t="s">
        <v>269</v>
      </c>
      <c r="K227" t="s">
        <v>47</v>
      </c>
    </row>
    <row r="228" spans="1:11">
      <c r="A228" t="s">
        <v>64</v>
      </c>
      <c r="B228" t="s">
        <v>49</v>
      </c>
      <c r="C228" t="s">
        <v>13</v>
      </c>
      <c r="D228" t="s">
        <v>66</v>
      </c>
      <c r="E228" t="s">
        <v>38</v>
      </c>
      <c r="F228">
        <v>1570</v>
      </c>
      <c r="G228" s="1">
        <v>17354</v>
      </c>
      <c r="H228" s="2">
        <v>45147</v>
      </c>
      <c r="I228" t="s">
        <v>27</v>
      </c>
      <c r="J228" t="s">
        <v>270</v>
      </c>
      <c r="K228" t="s">
        <v>29</v>
      </c>
    </row>
    <row r="229" spans="1:11">
      <c r="A229" t="s">
        <v>64</v>
      </c>
      <c r="B229" t="s">
        <v>19</v>
      </c>
      <c r="C229" t="s">
        <v>13</v>
      </c>
      <c r="D229" t="s">
        <v>21</v>
      </c>
      <c r="E229">
        <v>30</v>
      </c>
      <c r="F229">
        <v>109</v>
      </c>
      <c r="G229" s="1">
        <v>17302</v>
      </c>
      <c r="H229" s="2">
        <v>45137</v>
      </c>
      <c r="I229" t="s">
        <v>27</v>
      </c>
      <c r="J229" t="s">
        <v>271</v>
      </c>
      <c r="K229" t="s">
        <v>47</v>
      </c>
    </row>
    <row r="230" spans="1:11">
      <c r="A230" t="s">
        <v>64</v>
      </c>
      <c r="B230" t="s">
        <v>51</v>
      </c>
      <c r="C230" t="s">
        <v>25</v>
      </c>
      <c r="D230" t="s">
        <v>14</v>
      </c>
      <c r="E230" t="s">
        <v>38</v>
      </c>
      <c r="F230">
        <v>141</v>
      </c>
      <c r="G230" s="1">
        <v>19153</v>
      </c>
      <c r="H230" s="2">
        <v>45227</v>
      </c>
      <c r="I230" t="s">
        <v>39</v>
      </c>
      <c r="J230" t="s">
        <v>272</v>
      </c>
      <c r="K230" t="s">
        <v>47</v>
      </c>
    </row>
    <row r="231" spans="1:11">
      <c r="A231" t="s">
        <v>11</v>
      </c>
      <c r="B231" t="s">
        <v>19</v>
      </c>
      <c r="C231" t="s">
        <v>20</v>
      </c>
      <c r="D231" t="s">
        <v>31</v>
      </c>
      <c r="E231">
        <v>60</v>
      </c>
      <c r="F231">
        <v>1239</v>
      </c>
      <c r="G231" s="1">
        <v>36616</v>
      </c>
      <c r="H231" s="2">
        <v>45297</v>
      </c>
      <c r="I231" t="s">
        <v>27</v>
      </c>
      <c r="J231" t="s">
        <v>273</v>
      </c>
      <c r="K231" t="s">
        <v>18</v>
      </c>
    </row>
    <row r="232" spans="1:11">
      <c r="A232" t="s">
        <v>64</v>
      </c>
      <c r="B232" t="s">
        <v>19</v>
      </c>
      <c r="C232" t="s">
        <v>13</v>
      </c>
      <c r="D232" t="s">
        <v>26</v>
      </c>
      <c r="E232">
        <v>60</v>
      </c>
      <c r="F232">
        <v>1499</v>
      </c>
      <c r="G232" s="1">
        <v>4766</v>
      </c>
      <c r="H232" s="2">
        <v>45456</v>
      </c>
      <c r="I232" t="s">
        <v>27</v>
      </c>
      <c r="J232" t="s">
        <v>274</v>
      </c>
      <c r="K232" t="s">
        <v>44</v>
      </c>
    </row>
    <row r="233" spans="1:11">
      <c r="A233" t="s">
        <v>64</v>
      </c>
      <c r="B233" t="s">
        <v>19</v>
      </c>
      <c r="C233" t="s">
        <v>13</v>
      </c>
      <c r="D233" t="s">
        <v>31</v>
      </c>
      <c r="E233">
        <v>60</v>
      </c>
      <c r="F233">
        <v>1869</v>
      </c>
      <c r="G233" s="1">
        <v>25748</v>
      </c>
      <c r="H233" s="2">
        <v>45235</v>
      </c>
      <c r="I233" t="s">
        <v>16</v>
      </c>
      <c r="J233" t="s">
        <v>275</v>
      </c>
      <c r="K233" t="s">
        <v>44</v>
      </c>
    </row>
    <row r="234" spans="1:11">
      <c r="A234" t="s">
        <v>35</v>
      </c>
      <c r="B234" t="s">
        <v>12</v>
      </c>
      <c r="C234" t="s">
        <v>59</v>
      </c>
      <c r="D234" t="s">
        <v>14</v>
      </c>
      <c r="E234">
        <v>30</v>
      </c>
      <c r="F234">
        <v>1355</v>
      </c>
      <c r="G234" s="1">
        <v>27880</v>
      </c>
      <c r="H234" s="2">
        <v>45358</v>
      </c>
      <c r="I234" t="s">
        <v>16</v>
      </c>
      <c r="J234" t="s">
        <v>276</v>
      </c>
      <c r="K234" t="s">
        <v>18</v>
      </c>
    </row>
    <row r="235" spans="1:11">
      <c r="A235" t="s">
        <v>35</v>
      </c>
      <c r="B235" t="s">
        <v>36</v>
      </c>
      <c r="C235" t="s">
        <v>25</v>
      </c>
      <c r="D235" t="s">
        <v>14</v>
      </c>
      <c r="E235">
        <v>30</v>
      </c>
      <c r="F235">
        <v>1173</v>
      </c>
      <c r="G235" s="1">
        <v>8649</v>
      </c>
      <c r="H235" s="2">
        <v>45300</v>
      </c>
      <c r="I235" t="s">
        <v>16</v>
      </c>
      <c r="J235" t="s">
        <v>277</v>
      </c>
      <c r="K235" t="s">
        <v>44</v>
      </c>
    </row>
    <row r="236" spans="1:11">
      <c r="A236" t="s">
        <v>64</v>
      </c>
      <c r="B236" t="s">
        <v>51</v>
      </c>
      <c r="C236" t="s">
        <v>59</v>
      </c>
      <c r="D236" t="s">
        <v>31</v>
      </c>
      <c r="E236">
        <v>60</v>
      </c>
      <c r="F236">
        <v>828</v>
      </c>
      <c r="G236" s="1">
        <v>30214</v>
      </c>
      <c r="H236" s="2">
        <v>45468</v>
      </c>
      <c r="I236" t="s">
        <v>41</v>
      </c>
      <c r="J236" t="s">
        <v>278</v>
      </c>
      <c r="K236" t="s">
        <v>34</v>
      </c>
    </row>
    <row r="237" spans="1:11">
      <c r="A237" t="s">
        <v>35</v>
      </c>
      <c r="B237" t="s">
        <v>12</v>
      </c>
      <c r="C237" t="s">
        <v>59</v>
      </c>
      <c r="D237" t="s">
        <v>14</v>
      </c>
      <c r="E237">
        <v>30</v>
      </c>
      <c r="F237">
        <v>453</v>
      </c>
      <c r="G237" s="1">
        <v>10749</v>
      </c>
      <c r="H237" s="2">
        <v>45255</v>
      </c>
      <c r="I237" t="s">
        <v>39</v>
      </c>
      <c r="J237" t="s">
        <v>279</v>
      </c>
      <c r="K237" t="s">
        <v>47</v>
      </c>
    </row>
    <row r="238" spans="1:11">
      <c r="A238" t="s">
        <v>35</v>
      </c>
      <c r="B238" t="s">
        <v>49</v>
      </c>
      <c r="C238" t="s">
        <v>30</v>
      </c>
      <c r="D238" t="s">
        <v>66</v>
      </c>
      <c r="E238" t="s">
        <v>15</v>
      </c>
      <c r="F238">
        <v>132</v>
      </c>
      <c r="G238" s="1">
        <v>17487</v>
      </c>
      <c r="H238" s="2">
        <v>45288</v>
      </c>
      <c r="I238" t="s">
        <v>32</v>
      </c>
      <c r="J238" t="s">
        <v>280</v>
      </c>
      <c r="K238" t="s">
        <v>47</v>
      </c>
    </row>
    <row r="239" spans="1:11">
      <c r="A239" t="s">
        <v>45</v>
      </c>
      <c r="B239" t="s">
        <v>12</v>
      </c>
      <c r="C239" t="s">
        <v>20</v>
      </c>
      <c r="D239" t="s">
        <v>14</v>
      </c>
      <c r="E239" t="s">
        <v>22</v>
      </c>
      <c r="F239">
        <v>620</v>
      </c>
      <c r="G239" s="1">
        <v>32593</v>
      </c>
      <c r="H239" s="2">
        <v>45231</v>
      </c>
      <c r="I239" t="s">
        <v>32</v>
      </c>
      <c r="J239" t="s">
        <v>281</v>
      </c>
      <c r="K239" t="s">
        <v>29</v>
      </c>
    </row>
    <row r="240" spans="1:11">
      <c r="A240" t="s">
        <v>24</v>
      </c>
      <c r="B240" t="s">
        <v>19</v>
      </c>
      <c r="C240" t="s">
        <v>13</v>
      </c>
      <c r="D240" t="s">
        <v>31</v>
      </c>
      <c r="E240" t="s">
        <v>15</v>
      </c>
      <c r="F240">
        <v>1423</v>
      </c>
      <c r="G240" s="1">
        <v>21911</v>
      </c>
      <c r="H240" s="2">
        <v>45388</v>
      </c>
      <c r="I240" t="s">
        <v>27</v>
      </c>
      <c r="J240" t="s">
        <v>282</v>
      </c>
      <c r="K240" t="s">
        <v>29</v>
      </c>
    </row>
    <row r="241" spans="1:11">
      <c r="A241" t="s">
        <v>11</v>
      </c>
      <c r="B241" t="s">
        <v>51</v>
      </c>
      <c r="C241" t="s">
        <v>20</v>
      </c>
      <c r="D241" t="s">
        <v>21</v>
      </c>
      <c r="E241" t="s">
        <v>15</v>
      </c>
      <c r="F241">
        <v>1308</v>
      </c>
      <c r="G241" s="1">
        <v>16623</v>
      </c>
      <c r="H241" s="2">
        <v>45499</v>
      </c>
      <c r="I241" t="s">
        <v>16</v>
      </c>
      <c r="J241" t="s">
        <v>283</v>
      </c>
      <c r="K241" t="s">
        <v>18</v>
      </c>
    </row>
    <row r="242" spans="1:11">
      <c r="A242" t="s">
        <v>24</v>
      </c>
      <c r="B242" t="s">
        <v>49</v>
      </c>
      <c r="C242" t="s">
        <v>30</v>
      </c>
      <c r="D242" t="s">
        <v>21</v>
      </c>
      <c r="E242">
        <v>60</v>
      </c>
      <c r="F242">
        <v>460</v>
      </c>
      <c r="G242" s="1">
        <v>29993</v>
      </c>
      <c r="H242" s="2">
        <v>45367</v>
      </c>
      <c r="I242" t="s">
        <v>27</v>
      </c>
      <c r="J242" t="s">
        <v>284</v>
      </c>
      <c r="K242" t="s">
        <v>34</v>
      </c>
    </row>
    <row r="243" spans="1:11">
      <c r="A243" t="s">
        <v>11</v>
      </c>
      <c r="B243" t="s">
        <v>51</v>
      </c>
      <c r="C243" t="s">
        <v>30</v>
      </c>
      <c r="D243" t="s">
        <v>26</v>
      </c>
      <c r="E243" t="s">
        <v>38</v>
      </c>
      <c r="F243">
        <v>1598</v>
      </c>
      <c r="G243" s="1">
        <v>43114</v>
      </c>
      <c r="H243" s="2">
        <v>45311</v>
      </c>
      <c r="I243" t="s">
        <v>41</v>
      </c>
      <c r="J243" t="s">
        <v>285</v>
      </c>
      <c r="K243" t="s">
        <v>44</v>
      </c>
    </row>
    <row r="244" spans="1:11">
      <c r="A244" t="s">
        <v>24</v>
      </c>
      <c r="B244" t="s">
        <v>12</v>
      </c>
      <c r="C244" t="s">
        <v>13</v>
      </c>
      <c r="D244" t="s">
        <v>14</v>
      </c>
      <c r="E244" t="s">
        <v>15</v>
      </c>
      <c r="F244">
        <v>978</v>
      </c>
      <c r="G244" s="1">
        <v>46578</v>
      </c>
      <c r="H244" s="2">
        <v>45260</v>
      </c>
      <c r="I244" t="s">
        <v>39</v>
      </c>
      <c r="J244" t="s">
        <v>286</v>
      </c>
      <c r="K244" t="s">
        <v>29</v>
      </c>
    </row>
    <row r="245" spans="1:11">
      <c r="A245" t="s">
        <v>11</v>
      </c>
      <c r="B245" t="s">
        <v>51</v>
      </c>
      <c r="C245" t="s">
        <v>13</v>
      </c>
      <c r="D245" t="s">
        <v>26</v>
      </c>
      <c r="E245" t="s">
        <v>22</v>
      </c>
      <c r="F245">
        <v>1484</v>
      </c>
      <c r="G245" s="1">
        <v>15499</v>
      </c>
      <c r="H245" s="2">
        <v>45439</v>
      </c>
      <c r="I245" t="s">
        <v>41</v>
      </c>
      <c r="J245" t="s">
        <v>287</v>
      </c>
      <c r="K245" t="s">
        <v>34</v>
      </c>
    </row>
    <row r="246" spans="1:11">
      <c r="A246" t="s">
        <v>45</v>
      </c>
      <c r="B246" t="s">
        <v>36</v>
      </c>
      <c r="C246" t="s">
        <v>20</v>
      </c>
      <c r="D246" t="s">
        <v>21</v>
      </c>
      <c r="E246" t="s">
        <v>22</v>
      </c>
      <c r="F246">
        <v>1807</v>
      </c>
      <c r="G246" s="1">
        <v>37740</v>
      </c>
      <c r="H246" s="2">
        <v>45180</v>
      </c>
      <c r="I246" t="s">
        <v>16</v>
      </c>
      <c r="J246" t="s">
        <v>288</v>
      </c>
      <c r="K246" t="s">
        <v>18</v>
      </c>
    </row>
    <row r="247" spans="1:11">
      <c r="A247" t="s">
        <v>64</v>
      </c>
      <c r="B247" t="s">
        <v>51</v>
      </c>
      <c r="C247" t="s">
        <v>13</v>
      </c>
      <c r="D247" t="s">
        <v>14</v>
      </c>
      <c r="E247" t="s">
        <v>15</v>
      </c>
      <c r="F247">
        <v>1197</v>
      </c>
      <c r="G247" s="1">
        <v>36217</v>
      </c>
      <c r="H247" s="2">
        <v>45350</v>
      </c>
      <c r="I247" t="s">
        <v>16</v>
      </c>
      <c r="J247" t="s">
        <v>289</v>
      </c>
      <c r="K247" t="s">
        <v>44</v>
      </c>
    </row>
    <row r="248" spans="1:11">
      <c r="A248" t="s">
        <v>45</v>
      </c>
      <c r="B248" t="s">
        <v>19</v>
      </c>
      <c r="C248" t="s">
        <v>30</v>
      </c>
      <c r="D248" t="s">
        <v>14</v>
      </c>
      <c r="E248">
        <v>30</v>
      </c>
      <c r="F248">
        <v>1169</v>
      </c>
      <c r="G248" s="1">
        <v>33004</v>
      </c>
      <c r="H248" s="2">
        <v>45454</v>
      </c>
      <c r="I248" t="s">
        <v>16</v>
      </c>
      <c r="J248" t="s">
        <v>290</v>
      </c>
      <c r="K248" t="s">
        <v>44</v>
      </c>
    </row>
    <row r="249" spans="1:11">
      <c r="A249" t="s">
        <v>35</v>
      </c>
      <c r="B249" t="s">
        <v>19</v>
      </c>
      <c r="C249" t="s">
        <v>59</v>
      </c>
      <c r="D249" t="s">
        <v>31</v>
      </c>
      <c r="E249" t="s">
        <v>38</v>
      </c>
      <c r="F249">
        <v>1713</v>
      </c>
      <c r="G249" s="1">
        <v>30761</v>
      </c>
      <c r="H249" s="2">
        <v>45172</v>
      </c>
      <c r="I249" t="s">
        <v>41</v>
      </c>
      <c r="J249" t="s">
        <v>291</v>
      </c>
      <c r="K249" t="s">
        <v>44</v>
      </c>
    </row>
    <row r="250" spans="1:11">
      <c r="A250" t="s">
        <v>64</v>
      </c>
      <c r="B250" t="s">
        <v>19</v>
      </c>
      <c r="C250" t="s">
        <v>30</v>
      </c>
      <c r="D250" t="s">
        <v>21</v>
      </c>
      <c r="E250" t="s">
        <v>22</v>
      </c>
      <c r="F250">
        <v>1245</v>
      </c>
      <c r="G250" s="1">
        <v>32469</v>
      </c>
      <c r="H250" s="2">
        <v>45241</v>
      </c>
      <c r="I250" t="s">
        <v>27</v>
      </c>
      <c r="J250" t="s">
        <v>292</v>
      </c>
      <c r="K250" t="s">
        <v>34</v>
      </c>
    </row>
    <row r="251" spans="1:11">
      <c r="A251" t="s">
        <v>11</v>
      </c>
      <c r="B251" t="s">
        <v>19</v>
      </c>
      <c r="C251" t="s">
        <v>30</v>
      </c>
      <c r="D251" t="s">
        <v>31</v>
      </c>
      <c r="E251" t="s">
        <v>15</v>
      </c>
      <c r="F251">
        <v>454</v>
      </c>
      <c r="G251" s="1">
        <v>37133</v>
      </c>
      <c r="H251" s="2">
        <v>45310</v>
      </c>
      <c r="I251" t="s">
        <v>39</v>
      </c>
      <c r="J251" t="s">
        <v>293</v>
      </c>
      <c r="K251" t="s">
        <v>44</v>
      </c>
    </row>
    <row r="252" spans="1:11">
      <c r="A252" t="s">
        <v>35</v>
      </c>
      <c r="B252" t="s">
        <v>49</v>
      </c>
      <c r="C252" t="s">
        <v>20</v>
      </c>
      <c r="D252" t="s">
        <v>31</v>
      </c>
      <c r="E252">
        <v>30</v>
      </c>
      <c r="F252">
        <v>1550</v>
      </c>
      <c r="G252" s="1">
        <v>45767</v>
      </c>
      <c r="H252" s="2">
        <v>45178</v>
      </c>
      <c r="I252" t="s">
        <v>41</v>
      </c>
      <c r="J252" t="s">
        <v>294</v>
      </c>
      <c r="K252" t="s">
        <v>44</v>
      </c>
    </row>
    <row r="253" spans="1:11">
      <c r="A253" t="s">
        <v>64</v>
      </c>
      <c r="B253" t="s">
        <v>36</v>
      </c>
      <c r="C253" t="s">
        <v>59</v>
      </c>
      <c r="D253" t="s">
        <v>26</v>
      </c>
      <c r="E253" t="s">
        <v>22</v>
      </c>
      <c r="F253">
        <v>1488</v>
      </c>
      <c r="G253" s="1">
        <v>19770</v>
      </c>
      <c r="H253" s="2">
        <v>45484</v>
      </c>
      <c r="I253" t="s">
        <v>41</v>
      </c>
      <c r="J253" t="s">
        <v>295</v>
      </c>
      <c r="K253" t="s">
        <v>44</v>
      </c>
    </row>
    <row r="254" spans="1:11">
      <c r="A254" t="s">
        <v>11</v>
      </c>
      <c r="B254" t="s">
        <v>36</v>
      </c>
      <c r="C254" t="s">
        <v>59</v>
      </c>
      <c r="D254" t="s">
        <v>66</v>
      </c>
      <c r="E254">
        <v>30</v>
      </c>
      <c r="F254">
        <v>1207</v>
      </c>
      <c r="G254" s="1">
        <v>29546</v>
      </c>
      <c r="H254" s="2">
        <v>45238</v>
      </c>
      <c r="I254" t="s">
        <v>39</v>
      </c>
      <c r="J254" t="s">
        <v>296</v>
      </c>
      <c r="K254" t="s">
        <v>34</v>
      </c>
    </row>
    <row r="255" spans="1:11">
      <c r="A255" t="s">
        <v>24</v>
      </c>
      <c r="B255" t="s">
        <v>12</v>
      </c>
      <c r="C255" t="s">
        <v>30</v>
      </c>
      <c r="D255" t="s">
        <v>21</v>
      </c>
      <c r="E255">
        <v>30</v>
      </c>
      <c r="F255">
        <v>751</v>
      </c>
      <c r="G255" s="1">
        <v>46620</v>
      </c>
      <c r="H255" s="2">
        <v>45398</v>
      </c>
      <c r="I255" t="s">
        <v>39</v>
      </c>
      <c r="J255" t="s">
        <v>297</v>
      </c>
      <c r="K255" t="s">
        <v>18</v>
      </c>
    </row>
    <row r="256" spans="1:11">
      <c r="A256" t="s">
        <v>45</v>
      </c>
      <c r="B256" t="s">
        <v>36</v>
      </c>
      <c r="C256" t="s">
        <v>30</v>
      </c>
      <c r="D256" t="s">
        <v>14</v>
      </c>
      <c r="E256">
        <v>60</v>
      </c>
      <c r="F256">
        <v>1388</v>
      </c>
      <c r="G256" s="1">
        <v>44954</v>
      </c>
      <c r="H256" s="2">
        <v>45317</v>
      </c>
      <c r="I256" t="s">
        <v>27</v>
      </c>
      <c r="J256" t="s">
        <v>298</v>
      </c>
      <c r="K256" t="s">
        <v>18</v>
      </c>
    </row>
    <row r="257" spans="1:11">
      <c r="A257" t="s">
        <v>64</v>
      </c>
      <c r="B257" t="s">
        <v>19</v>
      </c>
      <c r="C257" t="s">
        <v>13</v>
      </c>
      <c r="D257" t="s">
        <v>14</v>
      </c>
      <c r="E257" t="s">
        <v>22</v>
      </c>
      <c r="F257">
        <v>712</v>
      </c>
      <c r="G257" s="1">
        <v>24140</v>
      </c>
      <c r="H257" s="2">
        <v>45248</v>
      </c>
      <c r="I257" t="s">
        <v>27</v>
      </c>
      <c r="J257" t="s">
        <v>299</v>
      </c>
      <c r="K257" t="s">
        <v>29</v>
      </c>
    </row>
    <row r="258" spans="1:11">
      <c r="A258" t="s">
        <v>45</v>
      </c>
      <c r="B258" t="s">
        <v>49</v>
      </c>
      <c r="C258" t="s">
        <v>13</v>
      </c>
      <c r="D258" t="s">
        <v>21</v>
      </c>
      <c r="E258" t="s">
        <v>22</v>
      </c>
      <c r="F258">
        <v>1428</v>
      </c>
      <c r="G258" s="1">
        <v>1848</v>
      </c>
      <c r="H258" s="2">
        <v>45331</v>
      </c>
      <c r="I258" t="s">
        <v>32</v>
      </c>
      <c r="J258" t="s">
        <v>300</v>
      </c>
      <c r="K258" t="s">
        <v>29</v>
      </c>
    </row>
    <row r="259" spans="1:11">
      <c r="A259" t="s">
        <v>11</v>
      </c>
      <c r="B259" t="s">
        <v>49</v>
      </c>
      <c r="C259" t="s">
        <v>30</v>
      </c>
      <c r="D259" t="s">
        <v>66</v>
      </c>
      <c r="E259" t="s">
        <v>22</v>
      </c>
      <c r="F259">
        <v>1437</v>
      </c>
      <c r="G259" s="1">
        <v>1329</v>
      </c>
      <c r="H259" s="2">
        <v>45382</v>
      </c>
      <c r="I259" t="s">
        <v>16</v>
      </c>
      <c r="J259" t="s">
        <v>301</v>
      </c>
      <c r="K259" t="s">
        <v>29</v>
      </c>
    </row>
    <row r="260" spans="1:11">
      <c r="A260" t="s">
        <v>24</v>
      </c>
      <c r="B260" t="s">
        <v>51</v>
      </c>
      <c r="C260" t="s">
        <v>59</v>
      </c>
      <c r="D260" t="s">
        <v>26</v>
      </c>
      <c r="E260">
        <v>60</v>
      </c>
      <c r="F260">
        <v>818</v>
      </c>
      <c r="G260" s="1">
        <v>34522</v>
      </c>
      <c r="H260" s="2">
        <v>45364</v>
      </c>
      <c r="I260" t="s">
        <v>39</v>
      </c>
      <c r="J260" t="s">
        <v>302</v>
      </c>
      <c r="K260" t="s">
        <v>18</v>
      </c>
    </row>
    <row r="261" spans="1:11">
      <c r="A261" t="s">
        <v>64</v>
      </c>
      <c r="B261" t="s">
        <v>49</v>
      </c>
      <c r="C261" t="s">
        <v>13</v>
      </c>
      <c r="D261" t="s">
        <v>31</v>
      </c>
      <c r="E261">
        <v>30</v>
      </c>
      <c r="F261">
        <v>1094</v>
      </c>
      <c r="G261" s="1">
        <v>34972</v>
      </c>
      <c r="H261" s="2">
        <v>45423</v>
      </c>
      <c r="I261" t="s">
        <v>39</v>
      </c>
      <c r="J261" t="s">
        <v>303</v>
      </c>
      <c r="K261" t="s">
        <v>44</v>
      </c>
    </row>
    <row r="262" spans="1:11">
      <c r="A262" t="s">
        <v>35</v>
      </c>
      <c r="B262" t="s">
        <v>12</v>
      </c>
      <c r="C262" t="s">
        <v>25</v>
      </c>
      <c r="D262" t="s">
        <v>26</v>
      </c>
      <c r="E262">
        <v>60</v>
      </c>
      <c r="F262">
        <v>1882</v>
      </c>
      <c r="G262" s="1">
        <v>1492</v>
      </c>
      <c r="H262" s="2">
        <v>45277</v>
      </c>
      <c r="I262" t="s">
        <v>16</v>
      </c>
      <c r="J262" t="s">
        <v>304</v>
      </c>
      <c r="K262" t="s">
        <v>29</v>
      </c>
    </row>
    <row r="263" spans="1:11">
      <c r="A263" t="s">
        <v>64</v>
      </c>
      <c r="B263" t="s">
        <v>36</v>
      </c>
      <c r="C263" t="s">
        <v>13</v>
      </c>
      <c r="D263" t="s">
        <v>66</v>
      </c>
      <c r="E263" t="s">
        <v>38</v>
      </c>
      <c r="F263">
        <v>1247</v>
      </c>
      <c r="G263" s="1">
        <v>40432</v>
      </c>
      <c r="H263" s="2">
        <v>45337</v>
      </c>
      <c r="I263" t="s">
        <v>39</v>
      </c>
      <c r="J263" t="s">
        <v>305</v>
      </c>
      <c r="K263" t="s">
        <v>29</v>
      </c>
    </row>
    <row r="264" spans="1:11">
      <c r="A264" t="s">
        <v>35</v>
      </c>
      <c r="B264" t="s">
        <v>49</v>
      </c>
      <c r="C264" t="s">
        <v>25</v>
      </c>
      <c r="D264" t="s">
        <v>21</v>
      </c>
      <c r="E264" t="s">
        <v>22</v>
      </c>
      <c r="F264">
        <v>1989</v>
      </c>
      <c r="G264" s="1">
        <v>14261</v>
      </c>
      <c r="H264" s="2">
        <v>45224</v>
      </c>
      <c r="I264" t="s">
        <v>41</v>
      </c>
      <c r="J264" t="s">
        <v>306</v>
      </c>
      <c r="K264" t="s">
        <v>29</v>
      </c>
    </row>
    <row r="265" spans="1:11">
      <c r="A265" t="s">
        <v>45</v>
      </c>
      <c r="B265" t="s">
        <v>19</v>
      </c>
      <c r="C265" t="s">
        <v>20</v>
      </c>
      <c r="D265" t="s">
        <v>26</v>
      </c>
      <c r="E265" t="s">
        <v>22</v>
      </c>
      <c r="F265">
        <v>1725</v>
      </c>
      <c r="G265" s="1">
        <v>26182</v>
      </c>
      <c r="H265" s="2">
        <v>45248</v>
      </c>
      <c r="I265" t="s">
        <v>16</v>
      </c>
      <c r="J265" t="s">
        <v>307</v>
      </c>
      <c r="K265" t="s">
        <v>44</v>
      </c>
    </row>
    <row r="266" spans="1:11">
      <c r="A266" t="s">
        <v>24</v>
      </c>
      <c r="B266" t="s">
        <v>36</v>
      </c>
      <c r="C266" t="s">
        <v>20</v>
      </c>
      <c r="D266" t="s">
        <v>26</v>
      </c>
      <c r="E266" t="s">
        <v>15</v>
      </c>
      <c r="F266">
        <v>815</v>
      </c>
      <c r="G266" s="1">
        <v>33782</v>
      </c>
      <c r="H266" s="2">
        <v>45204</v>
      </c>
      <c r="I266" t="s">
        <v>32</v>
      </c>
      <c r="J266" t="s">
        <v>308</v>
      </c>
      <c r="K266" t="s">
        <v>34</v>
      </c>
    </row>
    <row r="267" spans="1:11">
      <c r="A267" t="s">
        <v>64</v>
      </c>
      <c r="B267" t="s">
        <v>12</v>
      </c>
      <c r="C267" t="s">
        <v>59</v>
      </c>
      <c r="D267" t="s">
        <v>66</v>
      </c>
      <c r="E267">
        <v>60</v>
      </c>
      <c r="F267">
        <v>135</v>
      </c>
      <c r="G267" s="1">
        <v>40651</v>
      </c>
      <c r="H267" s="2">
        <v>45389</v>
      </c>
      <c r="I267" t="s">
        <v>39</v>
      </c>
      <c r="J267" t="s">
        <v>309</v>
      </c>
      <c r="K267" t="s">
        <v>18</v>
      </c>
    </row>
    <row r="268" spans="1:11">
      <c r="A268" t="s">
        <v>45</v>
      </c>
      <c r="B268" t="s">
        <v>19</v>
      </c>
      <c r="C268" t="s">
        <v>59</v>
      </c>
      <c r="D268" t="s">
        <v>21</v>
      </c>
      <c r="E268">
        <v>30</v>
      </c>
      <c r="F268">
        <v>1664</v>
      </c>
      <c r="G268" s="1">
        <v>25573</v>
      </c>
      <c r="H268" s="2">
        <v>45466</v>
      </c>
      <c r="I268" t="s">
        <v>16</v>
      </c>
      <c r="J268" t="s">
        <v>310</v>
      </c>
      <c r="K268" t="s">
        <v>44</v>
      </c>
    </row>
    <row r="269" spans="1:11">
      <c r="A269" t="s">
        <v>64</v>
      </c>
      <c r="B269" t="s">
        <v>36</v>
      </c>
      <c r="C269" t="s">
        <v>59</v>
      </c>
      <c r="D269" t="s">
        <v>26</v>
      </c>
      <c r="E269" t="s">
        <v>15</v>
      </c>
      <c r="F269">
        <v>1402</v>
      </c>
      <c r="G269" s="1">
        <v>31956</v>
      </c>
      <c r="H269" s="2">
        <v>45216</v>
      </c>
      <c r="I269" t="s">
        <v>32</v>
      </c>
      <c r="J269" t="s">
        <v>311</v>
      </c>
      <c r="K269" t="s">
        <v>18</v>
      </c>
    </row>
    <row r="270" spans="1:11">
      <c r="A270" t="s">
        <v>11</v>
      </c>
      <c r="B270" t="s">
        <v>19</v>
      </c>
      <c r="C270" t="s">
        <v>25</v>
      </c>
      <c r="D270" t="s">
        <v>66</v>
      </c>
      <c r="E270" t="s">
        <v>38</v>
      </c>
      <c r="F270">
        <v>153</v>
      </c>
      <c r="G270" s="1">
        <v>30983</v>
      </c>
      <c r="H270" s="2">
        <v>45298</v>
      </c>
      <c r="I270" t="s">
        <v>27</v>
      </c>
      <c r="J270" t="s">
        <v>312</v>
      </c>
      <c r="K270" t="s">
        <v>34</v>
      </c>
    </row>
    <row r="271" spans="1:11">
      <c r="A271" t="s">
        <v>11</v>
      </c>
      <c r="B271" t="s">
        <v>19</v>
      </c>
      <c r="C271" t="s">
        <v>13</v>
      </c>
      <c r="D271" t="s">
        <v>66</v>
      </c>
      <c r="E271">
        <v>60</v>
      </c>
      <c r="F271">
        <v>399</v>
      </c>
      <c r="G271" s="1">
        <v>21160</v>
      </c>
      <c r="H271" s="2">
        <v>45477</v>
      </c>
      <c r="I271" t="s">
        <v>39</v>
      </c>
      <c r="J271" t="s">
        <v>313</v>
      </c>
      <c r="K271" t="s">
        <v>29</v>
      </c>
    </row>
    <row r="272" spans="1:11">
      <c r="A272" t="s">
        <v>35</v>
      </c>
      <c r="B272" t="s">
        <v>19</v>
      </c>
      <c r="C272" t="s">
        <v>20</v>
      </c>
      <c r="D272" t="s">
        <v>14</v>
      </c>
      <c r="E272" t="s">
        <v>15</v>
      </c>
      <c r="F272">
        <v>314</v>
      </c>
      <c r="G272" s="1">
        <v>43409</v>
      </c>
      <c r="H272" s="2">
        <v>45337</v>
      </c>
      <c r="I272" t="s">
        <v>41</v>
      </c>
      <c r="J272" t="s">
        <v>314</v>
      </c>
      <c r="K272" t="s">
        <v>34</v>
      </c>
    </row>
    <row r="273" spans="1:11">
      <c r="A273" t="s">
        <v>64</v>
      </c>
      <c r="B273" t="s">
        <v>36</v>
      </c>
      <c r="C273" t="s">
        <v>20</v>
      </c>
      <c r="D273" t="s">
        <v>14</v>
      </c>
      <c r="E273">
        <v>60</v>
      </c>
      <c r="F273">
        <v>504</v>
      </c>
      <c r="G273" s="1">
        <v>46392</v>
      </c>
      <c r="H273" s="2">
        <v>45394</v>
      </c>
      <c r="I273" t="s">
        <v>16</v>
      </c>
      <c r="J273" t="s">
        <v>315</v>
      </c>
      <c r="K273" t="s">
        <v>34</v>
      </c>
    </row>
    <row r="274" spans="1:11">
      <c r="A274" t="s">
        <v>11</v>
      </c>
      <c r="B274" t="s">
        <v>12</v>
      </c>
      <c r="C274" t="s">
        <v>30</v>
      </c>
      <c r="D274" t="s">
        <v>66</v>
      </c>
      <c r="E274">
        <v>30</v>
      </c>
      <c r="F274">
        <v>214</v>
      </c>
      <c r="G274" s="1">
        <v>10257</v>
      </c>
      <c r="H274" s="2">
        <v>45232</v>
      </c>
      <c r="I274" t="s">
        <v>32</v>
      </c>
      <c r="J274" t="s">
        <v>316</v>
      </c>
      <c r="K274" t="s">
        <v>29</v>
      </c>
    </row>
    <row r="275" spans="1:11">
      <c r="A275" t="s">
        <v>64</v>
      </c>
      <c r="B275" t="s">
        <v>36</v>
      </c>
      <c r="C275" t="s">
        <v>25</v>
      </c>
      <c r="D275" t="s">
        <v>31</v>
      </c>
      <c r="E275" t="s">
        <v>22</v>
      </c>
      <c r="F275">
        <v>1738</v>
      </c>
      <c r="G275" s="1">
        <v>17663</v>
      </c>
      <c r="H275" s="2">
        <v>45257</v>
      </c>
      <c r="I275" t="s">
        <v>32</v>
      </c>
      <c r="J275" t="s">
        <v>317</v>
      </c>
      <c r="K275" t="s">
        <v>34</v>
      </c>
    </row>
    <row r="276" spans="1:11">
      <c r="A276" t="s">
        <v>11</v>
      </c>
      <c r="B276" t="s">
        <v>36</v>
      </c>
      <c r="C276" t="s">
        <v>30</v>
      </c>
      <c r="D276" t="s">
        <v>14</v>
      </c>
      <c r="E276">
        <v>30</v>
      </c>
      <c r="F276">
        <v>167</v>
      </c>
      <c r="G276" s="1">
        <v>4175</v>
      </c>
      <c r="H276" s="2">
        <v>45153</v>
      </c>
      <c r="I276" t="s">
        <v>41</v>
      </c>
      <c r="J276" t="s">
        <v>318</v>
      </c>
      <c r="K276" t="s">
        <v>18</v>
      </c>
    </row>
    <row r="277" spans="1:11">
      <c r="A277" t="s">
        <v>45</v>
      </c>
      <c r="B277" t="s">
        <v>19</v>
      </c>
      <c r="C277" t="s">
        <v>59</v>
      </c>
      <c r="D277" t="s">
        <v>21</v>
      </c>
      <c r="E277">
        <v>30</v>
      </c>
      <c r="F277">
        <v>1696</v>
      </c>
      <c r="G277" s="1">
        <v>26976</v>
      </c>
      <c r="H277" s="2">
        <v>45323</v>
      </c>
      <c r="I277" t="s">
        <v>16</v>
      </c>
      <c r="J277" t="s">
        <v>319</v>
      </c>
      <c r="K277" t="s">
        <v>34</v>
      </c>
    </row>
    <row r="278" spans="1:11">
      <c r="A278" t="s">
        <v>11</v>
      </c>
      <c r="B278" t="s">
        <v>19</v>
      </c>
      <c r="C278" t="s">
        <v>20</v>
      </c>
      <c r="D278" t="s">
        <v>31</v>
      </c>
      <c r="E278" t="s">
        <v>38</v>
      </c>
      <c r="F278">
        <v>1216</v>
      </c>
      <c r="G278" s="1">
        <v>32615</v>
      </c>
      <c r="H278" s="2">
        <v>45221</v>
      </c>
      <c r="I278" t="s">
        <v>16</v>
      </c>
      <c r="J278" t="s">
        <v>320</v>
      </c>
      <c r="K278" t="s">
        <v>29</v>
      </c>
    </row>
    <row r="279" spans="1:11">
      <c r="A279" t="s">
        <v>35</v>
      </c>
      <c r="B279" t="s">
        <v>36</v>
      </c>
      <c r="C279" t="s">
        <v>25</v>
      </c>
      <c r="D279" t="s">
        <v>31</v>
      </c>
      <c r="E279" t="s">
        <v>38</v>
      </c>
      <c r="F279">
        <v>599</v>
      </c>
      <c r="G279" s="1">
        <v>1411</v>
      </c>
      <c r="H279" s="2">
        <v>45264</v>
      </c>
      <c r="I279" t="s">
        <v>41</v>
      </c>
      <c r="J279" t="s">
        <v>321</v>
      </c>
      <c r="K279" t="s">
        <v>44</v>
      </c>
    </row>
    <row r="280" spans="1:11">
      <c r="A280" t="s">
        <v>64</v>
      </c>
      <c r="B280" t="s">
        <v>12</v>
      </c>
      <c r="C280" t="s">
        <v>20</v>
      </c>
      <c r="D280" t="s">
        <v>66</v>
      </c>
      <c r="E280">
        <v>30</v>
      </c>
      <c r="F280">
        <v>609</v>
      </c>
      <c r="G280" s="1">
        <v>25953</v>
      </c>
      <c r="H280" s="2">
        <v>45328</v>
      </c>
      <c r="I280" t="s">
        <v>41</v>
      </c>
      <c r="J280" t="s">
        <v>322</v>
      </c>
      <c r="K280" t="s">
        <v>34</v>
      </c>
    </row>
    <row r="281" spans="1:11">
      <c r="A281" t="s">
        <v>11</v>
      </c>
      <c r="B281" t="s">
        <v>36</v>
      </c>
      <c r="C281" t="s">
        <v>59</v>
      </c>
      <c r="D281" t="s">
        <v>26</v>
      </c>
      <c r="E281" t="s">
        <v>38</v>
      </c>
      <c r="F281">
        <v>1199</v>
      </c>
      <c r="G281" s="1">
        <v>4779</v>
      </c>
      <c r="H281" s="2">
        <v>45447</v>
      </c>
      <c r="I281" t="s">
        <v>16</v>
      </c>
      <c r="J281" t="s">
        <v>323</v>
      </c>
      <c r="K281" t="s">
        <v>18</v>
      </c>
    </row>
    <row r="282" spans="1:11">
      <c r="A282" t="s">
        <v>24</v>
      </c>
      <c r="B282" t="s">
        <v>51</v>
      </c>
      <c r="C282" t="s">
        <v>59</v>
      </c>
      <c r="D282" t="s">
        <v>26</v>
      </c>
      <c r="E282" t="s">
        <v>15</v>
      </c>
      <c r="F282">
        <v>1238</v>
      </c>
      <c r="G282" s="1">
        <v>30313</v>
      </c>
      <c r="H282" s="2">
        <v>45333</v>
      </c>
      <c r="I282" t="s">
        <v>16</v>
      </c>
      <c r="J282" t="s">
        <v>324</v>
      </c>
      <c r="K282" t="s">
        <v>29</v>
      </c>
    </row>
    <row r="283" spans="1:11">
      <c r="A283" t="s">
        <v>11</v>
      </c>
      <c r="B283" t="s">
        <v>19</v>
      </c>
      <c r="C283" t="s">
        <v>20</v>
      </c>
      <c r="D283" t="s">
        <v>31</v>
      </c>
      <c r="E283">
        <v>60</v>
      </c>
      <c r="F283">
        <v>354</v>
      </c>
      <c r="G283" s="1">
        <v>11544</v>
      </c>
      <c r="H283" s="2">
        <v>45468</v>
      </c>
      <c r="I283" t="s">
        <v>16</v>
      </c>
      <c r="J283" t="s">
        <v>325</v>
      </c>
      <c r="K283" t="s">
        <v>34</v>
      </c>
    </row>
    <row r="284" spans="1:11">
      <c r="A284" t="s">
        <v>64</v>
      </c>
      <c r="B284" t="s">
        <v>36</v>
      </c>
      <c r="C284" t="s">
        <v>20</v>
      </c>
      <c r="D284" t="s">
        <v>26</v>
      </c>
      <c r="E284" t="s">
        <v>38</v>
      </c>
      <c r="F284">
        <v>489</v>
      </c>
      <c r="G284" s="1">
        <v>48883</v>
      </c>
      <c r="H284" s="2">
        <v>45296</v>
      </c>
      <c r="I284" t="s">
        <v>16</v>
      </c>
      <c r="J284" t="s">
        <v>326</v>
      </c>
      <c r="K284" t="s">
        <v>44</v>
      </c>
    </row>
    <row r="285" spans="1:11">
      <c r="A285" t="s">
        <v>45</v>
      </c>
      <c r="B285" t="s">
        <v>51</v>
      </c>
      <c r="C285" t="s">
        <v>13</v>
      </c>
      <c r="D285" t="s">
        <v>21</v>
      </c>
      <c r="E285" t="s">
        <v>38</v>
      </c>
      <c r="F285">
        <v>1042</v>
      </c>
      <c r="G285" s="1">
        <v>34649</v>
      </c>
      <c r="H285" s="2">
        <v>45486</v>
      </c>
      <c r="I285" t="s">
        <v>41</v>
      </c>
      <c r="J285" t="s">
        <v>327</v>
      </c>
      <c r="K285" t="s">
        <v>44</v>
      </c>
    </row>
    <row r="286" spans="1:11">
      <c r="A286" t="s">
        <v>11</v>
      </c>
      <c r="B286" t="s">
        <v>51</v>
      </c>
      <c r="C286" t="s">
        <v>25</v>
      </c>
      <c r="D286" t="s">
        <v>14</v>
      </c>
      <c r="E286">
        <v>60</v>
      </c>
      <c r="F286">
        <v>392</v>
      </c>
      <c r="G286" s="1">
        <v>33170</v>
      </c>
      <c r="H286" s="2">
        <v>45453</v>
      </c>
      <c r="I286" t="s">
        <v>39</v>
      </c>
      <c r="J286" t="s">
        <v>328</v>
      </c>
      <c r="K286" t="s">
        <v>34</v>
      </c>
    </row>
    <row r="287" spans="1:11">
      <c r="A287" t="s">
        <v>64</v>
      </c>
      <c r="B287" t="s">
        <v>49</v>
      </c>
      <c r="C287" t="s">
        <v>30</v>
      </c>
      <c r="D287" t="s">
        <v>21</v>
      </c>
      <c r="E287" t="s">
        <v>22</v>
      </c>
      <c r="F287">
        <v>786</v>
      </c>
      <c r="G287" s="1">
        <v>22000</v>
      </c>
      <c r="H287" s="2">
        <v>45383</v>
      </c>
      <c r="I287" t="s">
        <v>32</v>
      </c>
      <c r="J287" t="s">
        <v>329</v>
      </c>
      <c r="K287" t="s">
        <v>44</v>
      </c>
    </row>
    <row r="288" spans="1:11">
      <c r="A288" t="s">
        <v>45</v>
      </c>
      <c r="B288" t="s">
        <v>36</v>
      </c>
      <c r="C288" t="s">
        <v>13</v>
      </c>
      <c r="D288" t="s">
        <v>26</v>
      </c>
      <c r="E288" t="s">
        <v>22</v>
      </c>
      <c r="F288">
        <v>1347</v>
      </c>
      <c r="G288" s="1">
        <v>29744</v>
      </c>
      <c r="H288" s="2">
        <v>45492</v>
      </c>
      <c r="I288" t="s">
        <v>16</v>
      </c>
      <c r="J288" t="s">
        <v>330</v>
      </c>
      <c r="K288" t="s">
        <v>29</v>
      </c>
    </row>
    <row r="289" spans="1:11">
      <c r="A289" t="s">
        <v>11</v>
      </c>
      <c r="B289" t="s">
        <v>49</v>
      </c>
      <c r="C289" t="s">
        <v>59</v>
      </c>
      <c r="D289" t="s">
        <v>26</v>
      </c>
      <c r="E289">
        <v>60</v>
      </c>
      <c r="F289">
        <v>499</v>
      </c>
      <c r="G289" s="1">
        <v>14526</v>
      </c>
      <c r="H289" s="2">
        <v>45392</v>
      </c>
      <c r="I289" t="s">
        <v>41</v>
      </c>
      <c r="J289" t="s">
        <v>331</v>
      </c>
      <c r="K289" t="s">
        <v>29</v>
      </c>
    </row>
    <row r="290" spans="1:11">
      <c r="A290" t="s">
        <v>24</v>
      </c>
      <c r="B290" t="s">
        <v>49</v>
      </c>
      <c r="C290" t="s">
        <v>25</v>
      </c>
      <c r="D290" t="s">
        <v>26</v>
      </c>
      <c r="E290">
        <v>60</v>
      </c>
      <c r="F290">
        <v>489</v>
      </c>
      <c r="G290" s="1">
        <v>25559</v>
      </c>
      <c r="H290" s="2">
        <v>45282</v>
      </c>
      <c r="I290" t="s">
        <v>16</v>
      </c>
      <c r="J290" t="s">
        <v>332</v>
      </c>
      <c r="K290" t="s">
        <v>44</v>
      </c>
    </row>
    <row r="291" spans="1:11">
      <c r="A291" t="s">
        <v>24</v>
      </c>
      <c r="B291" t="s">
        <v>12</v>
      </c>
      <c r="C291" t="s">
        <v>25</v>
      </c>
      <c r="D291" t="s">
        <v>66</v>
      </c>
      <c r="E291">
        <v>30</v>
      </c>
      <c r="F291">
        <v>963</v>
      </c>
      <c r="G291" s="1">
        <v>24965</v>
      </c>
      <c r="H291" s="2">
        <v>45203</v>
      </c>
      <c r="I291" t="s">
        <v>39</v>
      </c>
      <c r="J291" t="s">
        <v>333</v>
      </c>
      <c r="K291" t="s">
        <v>29</v>
      </c>
    </row>
    <row r="292" spans="1:11">
      <c r="A292" t="s">
        <v>45</v>
      </c>
      <c r="B292" t="s">
        <v>49</v>
      </c>
      <c r="C292" t="s">
        <v>20</v>
      </c>
      <c r="D292" t="s">
        <v>66</v>
      </c>
      <c r="E292" t="s">
        <v>22</v>
      </c>
      <c r="F292">
        <v>1650</v>
      </c>
      <c r="G292" s="1">
        <v>36514</v>
      </c>
      <c r="H292" s="2">
        <v>45469</v>
      </c>
      <c r="I292" t="s">
        <v>39</v>
      </c>
      <c r="J292" t="s">
        <v>334</v>
      </c>
      <c r="K292" t="s">
        <v>29</v>
      </c>
    </row>
    <row r="293" spans="1:11">
      <c r="A293" t="s">
        <v>11</v>
      </c>
      <c r="B293" t="s">
        <v>51</v>
      </c>
      <c r="C293" t="s">
        <v>25</v>
      </c>
      <c r="D293" t="s">
        <v>21</v>
      </c>
      <c r="E293" t="s">
        <v>22</v>
      </c>
      <c r="F293">
        <v>1826</v>
      </c>
      <c r="G293" s="1">
        <v>46602</v>
      </c>
      <c r="H293" s="2">
        <v>45483</v>
      </c>
      <c r="I293" t="s">
        <v>32</v>
      </c>
      <c r="J293" t="s">
        <v>335</v>
      </c>
      <c r="K293" t="s">
        <v>47</v>
      </c>
    </row>
    <row r="294" spans="1:11">
      <c r="A294" t="s">
        <v>64</v>
      </c>
      <c r="B294" t="s">
        <v>36</v>
      </c>
      <c r="C294" t="s">
        <v>20</v>
      </c>
      <c r="D294" t="s">
        <v>21</v>
      </c>
      <c r="E294">
        <v>60</v>
      </c>
      <c r="F294">
        <v>608</v>
      </c>
      <c r="G294" s="1">
        <v>28326</v>
      </c>
      <c r="H294" s="2">
        <v>45417</v>
      </c>
      <c r="I294" t="s">
        <v>41</v>
      </c>
      <c r="J294" t="s">
        <v>336</v>
      </c>
      <c r="K294" t="s">
        <v>18</v>
      </c>
    </row>
    <row r="295" spans="1:11">
      <c r="A295" t="s">
        <v>35</v>
      </c>
      <c r="B295" t="s">
        <v>49</v>
      </c>
      <c r="C295" t="s">
        <v>13</v>
      </c>
      <c r="D295" t="s">
        <v>21</v>
      </c>
      <c r="E295" t="s">
        <v>22</v>
      </c>
      <c r="F295">
        <v>297</v>
      </c>
      <c r="G295" s="1">
        <v>20215</v>
      </c>
      <c r="H295" s="2">
        <v>45462</v>
      </c>
      <c r="I295" t="s">
        <v>39</v>
      </c>
      <c r="J295" t="s">
        <v>337</v>
      </c>
      <c r="K295" t="s">
        <v>34</v>
      </c>
    </row>
    <row r="296" spans="1:11">
      <c r="A296" t="s">
        <v>35</v>
      </c>
      <c r="B296" t="s">
        <v>49</v>
      </c>
      <c r="C296" t="s">
        <v>20</v>
      </c>
      <c r="D296" t="s">
        <v>66</v>
      </c>
      <c r="E296">
        <v>60</v>
      </c>
      <c r="F296">
        <v>1095</v>
      </c>
      <c r="G296" s="1">
        <v>23543</v>
      </c>
      <c r="H296" s="2">
        <v>45182</v>
      </c>
      <c r="I296" t="s">
        <v>16</v>
      </c>
      <c r="J296" t="s">
        <v>338</v>
      </c>
      <c r="K296" t="s">
        <v>18</v>
      </c>
    </row>
    <row r="297" spans="1:11">
      <c r="A297" t="s">
        <v>64</v>
      </c>
      <c r="B297" t="s">
        <v>51</v>
      </c>
      <c r="C297" t="s">
        <v>13</v>
      </c>
      <c r="D297" t="s">
        <v>31</v>
      </c>
      <c r="E297">
        <v>30</v>
      </c>
      <c r="F297">
        <v>1585</v>
      </c>
      <c r="G297" s="1">
        <v>34365</v>
      </c>
      <c r="H297" s="2">
        <v>45376</v>
      </c>
      <c r="I297" t="s">
        <v>39</v>
      </c>
      <c r="J297" t="s">
        <v>339</v>
      </c>
      <c r="K297" t="s">
        <v>29</v>
      </c>
    </row>
    <row r="298" spans="1:11">
      <c r="A298" t="s">
        <v>24</v>
      </c>
      <c r="B298" t="s">
        <v>12</v>
      </c>
      <c r="C298" t="s">
        <v>30</v>
      </c>
      <c r="D298" t="s">
        <v>21</v>
      </c>
      <c r="E298" t="s">
        <v>15</v>
      </c>
      <c r="F298">
        <v>749</v>
      </c>
      <c r="G298" s="1">
        <v>13462</v>
      </c>
      <c r="H298" s="2">
        <v>45164</v>
      </c>
      <c r="I298" t="s">
        <v>39</v>
      </c>
      <c r="J298" t="s">
        <v>340</v>
      </c>
      <c r="K298" t="s">
        <v>18</v>
      </c>
    </row>
    <row r="299" spans="1:11">
      <c r="A299" t="s">
        <v>11</v>
      </c>
      <c r="B299" t="s">
        <v>19</v>
      </c>
      <c r="C299" t="s">
        <v>25</v>
      </c>
      <c r="D299" t="s">
        <v>31</v>
      </c>
      <c r="E299" t="s">
        <v>15</v>
      </c>
      <c r="F299">
        <v>1666</v>
      </c>
      <c r="G299" s="1">
        <v>32893</v>
      </c>
      <c r="H299" s="2">
        <v>45199</v>
      </c>
      <c r="I299" t="s">
        <v>41</v>
      </c>
      <c r="J299" t="s">
        <v>341</v>
      </c>
      <c r="K299" t="s">
        <v>18</v>
      </c>
    </row>
    <row r="300" spans="1:11">
      <c r="A300" t="s">
        <v>45</v>
      </c>
      <c r="B300" t="s">
        <v>12</v>
      </c>
      <c r="C300" t="s">
        <v>20</v>
      </c>
      <c r="D300" t="s">
        <v>26</v>
      </c>
      <c r="E300">
        <v>60</v>
      </c>
      <c r="F300">
        <v>371</v>
      </c>
      <c r="G300" s="1">
        <v>25596</v>
      </c>
      <c r="H300" s="2">
        <v>45352</v>
      </c>
      <c r="I300" t="s">
        <v>39</v>
      </c>
      <c r="J300" t="s">
        <v>342</v>
      </c>
      <c r="K300" t="s">
        <v>44</v>
      </c>
    </row>
    <row r="301" spans="1:11">
      <c r="A301" t="s">
        <v>64</v>
      </c>
      <c r="B301" t="s">
        <v>49</v>
      </c>
      <c r="C301" t="s">
        <v>59</v>
      </c>
      <c r="D301" t="s">
        <v>66</v>
      </c>
      <c r="E301" t="s">
        <v>22</v>
      </c>
      <c r="F301">
        <v>1663</v>
      </c>
      <c r="G301" s="1">
        <v>20214</v>
      </c>
      <c r="H301" s="2">
        <v>45269</v>
      </c>
      <c r="I301" t="s">
        <v>16</v>
      </c>
      <c r="J301" t="s">
        <v>343</v>
      </c>
      <c r="K301" t="s">
        <v>29</v>
      </c>
    </row>
    <row r="302" spans="1:11">
      <c r="A302" t="s">
        <v>24</v>
      </c>
      <c r="B302" t="s">
        <v>51</v>
      </c>
      <c r="C302" t="s">
        <v>13</v>
      </c>
      <c r="D302" t="s">
        <v>21</v>
      </c>
      <c r="E302" t="s">
        <v>15</v>
      </c>
      <c r="F302">
        <v>698</v>
      </c>
      <c r="G302" s="1">
        <v>1522</v>
      </c>
      <c r="H302" s="2">
        <v>45141</v>
      </c>
      <c r="I302" t="s">
        <v>41</v>
      </c>
      <c r="J302" t="s">
        <v>344</v>
      </c>
      <c r="K302" t="s">
        <v>29</v>
      </c>
    </row>
    <row r="303" spans="1:11">
      <c r="A303" t="s">
        <v>11</v>
      </c>
      <c r="B303" t="s">
        <v>49</v>
      </c>
      <c r="C303" t="s">
        <v>13</v>
      </c>
      <c r="D303" t="s">
        <v>21</v>
      </c>
      <c r="E303" t="s">
        <v>15</v>
      </c>
      <c r="F303">
        <v>1595</v>
      </c>
      <c r="G303" s="1">
        <v>16585</v>
      </c>
      <c r="H303" s="2">
        <v>45486</v>
      </c>
      <c r="I303" t="s">
        <v>32</v>
      </c>
      <c r="J303" t="s">
        <v>345</v>
      </c>
      <c r="K303" t="s">
        <v>44</v>
      </c>
    </row>
    <row r="304" spans="1:11">
      <c r="A304" t="s">
        <v>24</v>
      </c>
      <c r="B304" t="s">
        <v>49</v>
      </c>
      <c r="C304" t="s">
        <v>30</v>
      </c>
      <c r="D304" t="s">
        <v>14</v>
      </c>
      <c r="E304">
        <v>60</v>
      </c>
      <c r="F304">
        <v>1474</v>
      </c>
      <c r="G304" s="1">
        <v>32199</v>
      </c>
      <c r="H304" s="2">
        <v>45300</v>
      </c>
      <c r="I304" t="s">
        <v>16</v>
      </c>
      <c r="J304" t="s">
        <v>346</v>
      </c>
      <c r="K304" t="s">
        <v>18</v>
      </c>
    </row>
    <row r="305" spans="1:11">
      <c r="A305" t="s">
        <v>11</v>
      </c>
      <c r="B305" t="s">
        <v>36</v>
      </c>
      <c r="C305" t="s">
        <v>20</v>
      </c>
      <c r="D305" t="s">
        <v>66</v>
      </c>
      <c r="E305" t="s">
        <v>38</v>
      </c>
      <c r="F305">
        <v>1611</v>
      </c>
      <c r="G305" s="1">
        <v>37594</v>
      </c>
      <c r="H305" s="2">
        <v>45447</v>
      </c>
      <c r="I305" t="s">
        <v>41</v>
      </c>
      <c r="J305" t="s">
        <v>347</v>
      </c>
      <c r="K305" t="s">
        <v>34</v>
      </c>
    </row>
    <row r="306" spans="1:11">
      <c r="A306" t="s">
        <v>24</v>
      </c>
      <c r="B306" t="s">
        <v>36</v>
      </c>
      <c r="C306" t="s">
        <v>30</v>
      </c>
      <c r="D306" t="s">
        <v>31</v>
      </c>
      <c r="E306" t="s">
        <v>38</v>
      </c>
      <c r="F306">
        <v>1876</v>
      </c>
      <c r="G306" s="1">
        <v>26559</v>
      </c>
      <c r="H306" s="2">
        <v>45166</v>
      </c>
      <c r="I306" t="s">
        <v>16</v>
      </c>
      <c r="J306" t="s">
        <v>348</v>
      </c>
      <c r="K306" t="s">
        <v>44</v>
      </c>
    </row>
    <row r="307" spans="1:11">
      <c r="A307" t="s">
        <v>35</v>
      </c>
      <c r="B307" t="s">
        <v>51</v>
      </c>
      <c r="C307" t="s">
        <v>20</v>
      </c>
      <c r="D307" t="s">
        <v>21</v>
      </c>
      <c r="E307">
        <v>60</v>
      </c>
      <c r="F307">
        <v>939</v>
      </c>
      <c r="G307" s="1">
        <v>22379</v>
      </c>
      <c r="H307" s="2">
        <v>45404</v>
      </c>
      <c r="I307" t="s">
        <v>32</v>
      </c>
      <c r="J307" t="s">
        <v>349</v>
      </c>
      <c r="K307" t="s">
        <v>44</v>
      </c>
    </row>
    <row r="308" spans="1:11">
      <c r="A308" t="s">
        <v>45</v>
      </c>
      <c r="B308" t="s">
        <v>36</v>
      </c>
      <c r="C308" t="s">
        <v>20</v>
      </c>
      <c r="D308" t="s">
        <v>26</v>
      </c>
      <c r="E308">
        <v>60</v>
      </c>
      <c r="F308">
        <v>1075</v>
      </c>
      <c r="G308" s="1">
        <v>41442</v>
      </c>
      <c r="H308" s="2">
        <v>45423</v>
      </c>
      <c r="I308" t="s">
        <v>39</v>
      </c>
      <c r="J308" t="s">
        <v>350</v>
      </c>
      <c r="K308" t="s">
        <v>29</v>
      </c>
    </row>
    <row r="309" spans="1:11">
      <c r="A309" t="s">
        <v>11</v>
      </c>
      <c r="B309" t="s">
        <v>49</v>
      </c>
      <c r="C309" t="s">
        <v>59</v>
      </c>
      <c r="D309" t="s">
        <v>31</v>
      </c>
      <c r="E309">
        <v>30</v>
      </c>
      <c r="F309">
        <v>868</v>
      </c>
      <c r="G309" s="1">
        <v>41228</v>
      </c>
      <c r="H309" s="2">
        <v>45462</v>
      </c>
      <c r="I309" t="s">
        <v>39</v>
      </c>
      <c r="J309" t="s">
        <v>351</v>
      </c>
      <c r="K309" t="s">
        <v>44</v>
      </c>
    </row>
    <row r="310" spans="1:11">
      <c r="A310" t="s">
        <v>24</v>
      </c>
      <c r="B310" t="s">
        <v>19</v>
      </c>
      <c r="C310" t="s">
        <v>20</v>
      </c>
      <c r="D310" t="s">
        <v>26</v>
      </c>
      <c r="E310" t="s">
        <v>38</v>
      </c>
      <c r="F310">
        <v>1135</v>
      </c>
      <c r="G310" s="1">
        <v>42632</v>
      </c>
      <c r="H310" s="2">
        <v>45377</v>
      </c>
      <c r="I310" t="s">
        <v>27</v>
      </c>
      <c r="J310" t="s">
        <v>352</v>
      </c>
      <c r="K310" t="s">
        <v>44</v>
      </c>
    </row>
    <row r="311" spans="1:11">
      <c r="A311" t="s">
        <v>24</v>
      </c>
      <c r="B311" t="s">
        <v>12</v>
      </c>
      <c r="C311" t="s">
        <v>25</v>
      </c>
      <c r="D311" t="s">
        <v>66</v>
      </c>
      <c r="E311">
        <v>30</v>
      </c>
      <c r="F311">
        <v>1780</v>
      </c>
      <c r="G311" s="1">
        <v>28351</v>
      </c>
      <c r="H311" s="2">
        <v>45197</v>
      </c>
      <c r="I311" t="s">
        <v>32</v>
      </c>
      <c r="J311" t="s">
        <v>353</v>
      </c>
      <c r="K311" t="s">
        <v>47</v>
      </c>
    </row>
    <row r="312" spans="1:11">
      <c r="A312" t="s">
        <v>64</v>
      </c>
      <c r="B312" t="s">
        <v>36</v>
      </c>
      <c r="C312" t="s">
        <v>30</v>
      </c>
      <c r="D312" t="s">
        <v>14</v>
      </c>
      <c r="E312" t="s">
        <v>38</v>
      </c>
      <c r="F312">
        <v>833</v>
      </c>
      <c r="G312" s="1">
        <v>42915</v>
      </c>
      <c r="H312" s="2">
        <v>45384</v>
      </c>
      <c r="I312" t="s">
        <v>32</v>
      </c>
      <c r="J312" t="s">
        <v>354</v>
      </c>
      <c r="K312" t="s">
        <v>18</v>
      </c>
    </row>
    <row r="313" spans="1:11">
      <c r="A313" t="s">
        <v>11</v>
      </c>
      <c r="B313" t="s">
        <v>51</v>
      </c>
      <c r="C313" t="s">
        <v>59</v>
      </c>
      <c r="D313" t="s">
        <v>66</v>
      </c>
      <c r="E313" t="s">
        <v>38</v>
      </c>
      <c r="F313">
        <v>1134</v>
      </c>
      <c r="G313" s="1">
        <v>26634</v>
      </c>
      <c r="H313" s="2">
        <v>45377</v>
      </c>
      <c r="I313" t="s">
        <v>32</v>
      </c>
      <c r="J313" t="s">
        <v>355</v>
      </c>
      <c r="K313" t="s">
        <v>29</v>
      </c>
    </row>
    <row r="314" spans="1:11">
      <c r="A314" t="s">
        <v>45</v>
      </c>
      <c r="B314" t="s">
        <v>49</v>
      </c>
      <c r="C314" t="s">
        <v>20</v>
      </c>
      <c r="D314" t="s">
        <v>26</v>
      </c>
      <c r="E314" t="s">
        <v>22</v>
      </c>
      <c r="F314">
        <v>1706</v>
      </c>
      <c r="G314" s="1">
        <v>21681</v>
      </c>
      <c r="H314" s="2">
        <v>45141</v>
      </c>
      <c r="I314" t="s">
        <v>39</v>
      </c>
      <c r="J314" t="s">
        <v>356</v>
      </c>
      <c r="K314" t="s">
        <v>29</v>
      </c>
    </row>
    <row r="315" spans="1:11">
      <c r="A315" t="s">
        <v>35</v>
      </c>
      <c r="B315" t="s">
        <v>51</v>
      </c>
      <c r="C315" t="s">
        <v>20</v>
      </c>
      <c r="D315" t="s">
        <v>66</v>
      </c>
      <c r="E315" t="s">
        <v>38</v>
      </c>
      <c r="F315">
        <v>1395</v>
      </c>
      <c r="G315" s="1">
        <v>22835</v>
      </c>
      <c r="H315" s="2">
        <v>45330</v>
      </c>
      <c r="I315" t="s">
        <v>39</v>
      </c>
      <c r="J315" t="s">
        <v>357</v>
      </c>
      <c r="K315" t="s">
        <v>47</v>
      </c>
    </row>
    <row r="316" spans="1:11">
      <c r="A316" t="s">
        <v>24</v>
      </c>
      <c r="B316" t="s">
        <v>19</v>
      </c>
      <c r="C316" t="s">
        <v>13</v>
      </c>
      <c r="D316" t="s">
        <v>31</v>
      </c>
      <c r="E316" t="s">
        <v>22</v>
      </c>
      <c r="F316">
        <v>1693</v>
      </c>
      <c r="G316" s="1">
        <v>31240</v>
      </c>
      <c r="H316" s="2">
        <v>45469</v>
      </c>
      <c r="I316" t="s">
        <v>16</v>
      </c>
      <c r="J316" t="s">
        <v>358</v>
      </c>
      <c r="K316" t="s">
        <v>44</v>
      </c>
    </row>
    <row r="317" spans="1:11">
      <c r="A317" t="s">
        <v>24</v>
      </c>
      <c r="B317" t="s">
        <v>49</v>
      </c>
      <c r="C317" t="s">
        <v>59</v>
      </c>
      <c r="D317" t="s">
        <v>31</v>
      </c>
      <c r="E317">
        <v>30</v>
      </c>
      <c r="F317">
        <v>1549</v>
      </c>
      <c r="G317" s="1">
        <v>9455</v>
      </c>
      <c r="H317" s="2">
        <v>45345</v>
      </c>
      <c r="I317" t="s">
        <v>39</v>
      </c>
      <c r="J317" t="s">
        <v>359</v>
      </c>
      <c r="K317" t="s">
        <v>34</v>
      </c>
    </row>
    <row r="318" spans="1:11">
      <c r="A318" t="s">
        <v>24</v>
      </c>
      <c r="B318" t="s">
        <v>19</v>
      </c>
      <c r="C318" t="s">
        <v>20</v>
      </c>
      <c r="D318" t="s">
        <v>31</v>
      </c>
      <c r="E318" t="s">
        <v>38</v>
      </c>
      <c r="F318">
        <v>100</v>
      </c>
      <c r="G318" s="1">
        <v>32910</v>
      </c>
      <c r="H318" s="2">
        <v>45228</v>
      </c>
      <c r="I318" t="s">
        <v>41</v>
      </c>
      <c r="J318" t="s">
        <v>360</v>
      </c>
      <c r="K318" t="s">
        <v>29</v>
      </c>
    </row>
    <row r="319" spans="1:11">
      <c r="A319" t="s">
        <v>11</v>
      </c>
      <c r="B319" t="s">
        <v>36</v>
      </c>
      <c r="C319" t="s">
        <v>20</v>
      </c>
      <c r="D319" t="s">
        <v>26</v>
      </c>
      <c r="E319" t="s">
        <v>15</v>
      </c>
      <c r="F319">
        <v>826</v>
      </c>
      <c r="G319" s="1">
        <v>24350</v>
      </c>
      <c r="H319" s="2">
        <v>45240</v>
      </c>
      <c r="I319" t="s">
        <v>41</v>
      </c>
      <c r="J319" t="s">
        <v>361</v>
      </c>
      <c r="K319" t="s">
        <v>18</v>
      </c>
    </row>
    <row r="320" spans="1:11">
      <c r="A320" t="s">
        <v>35</v>
      </c>
      <c r="B320" t="s">
        <v>12</v>
      </c>
      <c r="C320" t="s">
        <v>20</v>
      </c>
      <c r="D320" t="s">
        <v>21</v>
      </c>
      <c r="E320" t="s">
        <v>15</v>
      </c>
      <c r="F320">
        <v>1308</v>
      </c>
      <c r="G320" s="1">
        <v>17828</v>
      </c>
      <c r="H320" s="2">
        <v>45304</v>
      </c>
      <c r="I320" t="s">
        <v>32</v>
      </c>
      <c r="J320" t="s">
        <v>362</v>
      </c>
      <c r="K320" t="s">
        <v>47</v>
      </c>
    </row>
    <row r="321" spans="1:11">
      <c r="A321" t="s">
        <v>11</v>
      </c>
      <c r="B321" t="s">
        <v>49</v>
      </c>
      <c r="C321" t="s">
        <v>25</v>
      </c>
      <c r="D321" t="s">
        <v>21</v>
      </c>
      <c r="E321" t="s">
        <v>22</v>
      </c>
      <c r="F321">
        <v>1691</v>
      </c>
      <c r="G321" s="1">
        <v>37249</v>
      </c>
      <c r="H321" s="2">
        <v>45224</v>
      </c>
      <c r="I321" t="s">
        <v>41</v>
      </c>
      <c r="J321" t="s">
        <v>363</v>
      </c>
      <c r="K321" t="s">
        <v>47</v>
      </c>
    </row>
    <row r="322" spans="1:11">
      <c r="A322" t="s">
        <v>11</v>
      </c>
      <c r="B322" t="s">
        <v>51</v>
      </c>
      <c r="C322" t="s">
        <v>59</v>
      </c>
      <c r="D322" t="s">
        <v>31</v>
      </c>
      <c r="E322" t="s">
        <v>38</v>
      </c>
      <c r="F322">
        <v>1028</v>
      </c>
      <c r="G322" s="1">
        <v>7222</v>
      </c>
      <c r="H322" s="2">
        <v>45383</v>
      </c>
      <c r="I322" t="s">
        <v>27</v>
      </c>
      <c r="J322" t="s">
        <v>364</v>
      </c>
      <c r="K322" t="s">
        <v>47</v>
      </c>
    </row>
    <row r="323" spans="1:11">
      <c r="A323" t="s">
        <v>64</v>
      </c>
      <c r="B323" t="s">
        <v>49</v>
      </c>
      <c r="C323" t="s">
        <v>20</v>
      </c>
      <c r="D323" t="s">
        <v>14</v>
      </c>
      <c r="E323">
        <v>30</v>
      </c>
      <c r="F323">
        <v>1134</v>
      </c>
      <c r="G323" s="1">
        <v>5856</v>
      </c>
      <c r="H323" s="2">
        <v>45233</v>
      </c>
      <c r="I323" t="s">
        <v>41</v>
      </c>
      <c r="J323" t="s">
        <v>365</v>
      </c>
      <c r="K323" t="s">
        <v>29</v>
      </c>
    </row>
    <row r="324" spans="1:11">
      <c r="A324" t="s">
        <v>45</v>
      </c>
      <c r="B324" t="s">
        <v>36</v>
      </c>
      <c r="C324" t="s">
        <v>20</v>
      </c>
      <c r="D324" t="s">
        <v>66</v>
      </c>
      <c r="E324" t="s">
        <v>15</v>
      </c>
      <c r="F324">
        <v>1503</v>
      </c>
      <c r="G324" s="1">
        <v>19148</v>
      </c>
      <c r="H324" s="2">
        <v>45469</v>
      </c>
      <c r="I324" t="s">
        <v>32</v>
      </c>
      <c r="J324" t="s">
        <v>366</v>
      </c>
      <c r="K324" t="s">
        <v>34</v>
      </c>
    </row>
    <row r="325" spans="1:11">
      <c r="A325" t="s">
        <v>45</v>
      </c>
      <c r="B325" t="s">
        <v>12</v>
      </c>
      <c r="C325" t="s">
        <v>13</v>
      </c>
      <c r="D325" t="s">
        <v>21</v>
      </c>
      <c r="E325" t="s">
        <v>38</v>
      </c>
      <c r="F325">
        <v>1509</v>
      </c>
      <c r="G325" s="1">
        <v>30615</v>
      </c>
      <c r="H325" s="2">
        <v>45269</v>
      </c>
      <c r="I325" t="s">
        <v>39</v>
      </c>
      <c r="J325" t="s">
        <v>367</v>
      </c>
      <c r="K325" t="s">
        <v>29</v>
      </c>
    </row>
    <row r="326" spans="1:11">
      <c r="A326" t="s">
        <v>64</v>
      </c>
      <c r="B326" t="s">
        <v>36</v>
      </c>
      <c r="C326" t="s">
        <v>59</v>
      </c>
      <c r="D326" t="s">
        <v>31</v>
      </c>
      <c r="E326" t="s">
        <v>38</v>
      </c>
      <c r="F326">
        <v>578</v>
      </c>
      <c r="G326" s="1">
        <v>33113</v>
      </c>
      <c r="H326" s="2">
        <v>45339</v>
      </c>
      <c r="I326" t="s">
        <v>32</v>
      </c>
      <c r="J326" t="s">
        <v>368</v>
      </c>
      <c r="K326" t="s">
        <v>18</v>
      </c>
    </row>
    <row r="327" spans="1:11">
      <c r="A327" t="s">
        <v>35</v>
      </c>
      <c r="B327" t="s">
        <v>36</v>
      </c>
      <c r="C327" t="s">
        <v>20</v>
      </c>
      <c r="D327" t="s">
        <v>66</v>
      </c>
      <c r="E327" t="s">
        <v>38</v>
      </c>
      <c r="F327">
        <v>1195</v>
      </c>
      <c r="G327" s="1">
        <v>42794</v>
      </c>
      <c r="H327" s="2">
        <v>45178</v>
      </c>
      <c r="I327" t="s">
        <v>41</v>
      </c>
      <c r="J327" t="s">
        <v>369</v>
      </c>
      <c r="K327" t="s">
        <v>44</v>
      </c>
    </row>
    <row r="328" spans="1:11">
      <c r="A328" t="s">
        <v>64</v>
      </c>
      <c r="B328" t="s">
        <v>49</v>
      </c>
      <c r="C328" t="s">
        <v>30</v>
      </c>
      <c r="D328" t="s">
        <v>26</v>
      </c>
      <c r="E328">
        <v>60</v>
      </c>
      <c r="F328">
        <v>485</v>
      </c>
      <c r="G328" s="1">
        <v>29314</v>
      </c>
      <c r="H328" s="2">
        <v>45352</v>
      </c>
      <c r="I328" t="s">
        <v>41</v>
      </c>
      <c r="J328" t="s">
        <v>370</v>
      </c>
      <c r="K328" t="s">
        <v>34</v>
      </c>
    </row>
    <row r="329" spans="1:11">
      <c r="A329" t="s">
        <v>24</v>
      </c>
      <c r="B329" t="s">
        <v>51</v>
      </c>
      <c r="C329" t="s">
        <v>13</v>
      </c>
      <c r="D329" t="s">
        <v>14</v>
      </c>
      <c r="E329">
        <v>60</v>
      </c>
      <c r="F329">
        <v>819</v>
      </c>
      <c r="G329" s="1">
        <v>47811</v>
      </c>
      <c r="H329" s="2">
        <v>45202</v>
      </c>
      <c r="I329" t="s">
        <v>16</v>
      </c>
      <c r="J329" t="s">
        <v>371</v>
      </c>
      <c r="K329" t="s">
        <v>47</v>
      </c>
    </row>
    <row r="330" spans="1:11">
      <c r="A330" t="s">
        <v>35</v>
      </c>
      <c r="B330" t="s">
        <v>19</v>
      </c>
      <c r="C330" t="s">
        <v>59</v>
      </c>
      <c r="D330" t="s">
        <v>14</v>
      </c>
      <c r="E330" t="s">
        <v>22</v>
      </c>
      <c r="F330">
        <v>1654</v>
      </c>
      <c r="G330" s="1">
        <v>16660</v>
      </c>
      <c r="H330" s="2">
        <v>45386</v>
      </c>
      <c r="I330" t="s">
        <v>16</v>
      </c>
      <c r="J330" t="s">
        <v>372</v>
      </c>
      <c r="K330" t="s">
        <v>34</v>
      </c>
    </row>
    <row r="331" spans="1:11">
      <c r="A331" t="s">
        <v>64</v>
      </c>
      <c r="B331" t="s">
        <v>12</v>
      </c>
      <c r="C331" t="s">
        <v>25</v>
      </c>
      <c r="D331" t="s">
        <v>21</v>
      </c>
      <c r="E331">
        <v>60</v>
      </c>
      <c r="F331">
        <v>1957</v>
      </c>
      <c r="G331" s="1">
        <v>32269</v>
      </c>
      <c r="H331" s="2">
        <v>45409</v>
      </c>
      <c r="I331" t="s">
        <v>39</v>
      </c>
      <c r="J331" t="s">
        <v>373</v>
      </c>
      <c r="K331" t="s">
        <v>44</v>
      </c>
    </row>
    <row r="332" spans="1:11">
      <c r="A332" t="s">
        <v>24</v>
      </c>
      <c r="B332" t="s">
        <v>51</v>
      </c>
      <c r="C332" t="s">
        <v>20</v>
      </c>
      <c r="D332" t="s">
        <v>26</v>
      </c>
      <c r="E332">
        <v>60</v>
      </c>
      <c r="F332">
        <v>799</v>
      </c>
      <c r="G332" s="1">
        <v>10708</v>
      </c>
      <c r="H332" s="2">
        <v>45375</v>
      </c>
      <c r="I332" t="s">
        <v>39</v>
      </c>
      <c r="J332" t="s">
        <v>374</v>
      </c>
      <c r="K332" t="s">
        <v>29</v>
      </c>
    </row>
    <row r="333" spans="1:11">
      <c r="A333" t="s">
        <v>35</v>
      </c>
      <c r="B333" t="s">
        <v>36</v>
      </c>
      <c r="C333" t="s">
        <v>20</v>
      </c>
      <c r="D333" t="s">
        <v>31</v>
      </c>
      <c r="E333" t="s">
        <v>22</v>
      </c>
      <c r="F333">
        <v>1532</v>
      </c>
      <c r="G333" s="1">
        <v>5489</v>
      </c>
      <c r="H333" s="2">
        <v>45395</v>
      </c>
      <c r="I333" t="s">
        <v>41</v>
      </c>
      <c r="J333" t="s">
        <v>375</v>
      </c>
      <c r="K333" t="s">
        <v>18</v>
      </c>
    </row>
    <row r="334" spans="1:11">
      <c r="A334" t="s">
        <v>45</v>
      </c>
      <c r="B334" t="s">
        <v>12</v>
      </c>
      <c r="C334" t="s">
        <v>30</v>
      </c>
      <c r="D334" t="s">
        <v>66</v>
      </c>
      <c r="E334" t="s">
        <v>22</v>
      </c>
      <c r="F334">
        <v>1786</v>
      </c>
      <c r="G334" s="1">
        <v>11345</v>
      </c>
      <c r="H334" s="2">
        <v>45181</v>
      </c>
      <c r="I334" t="s">
        <v>27</v>
      </c>
      <c r="J334" t="s">
        <v>376</v>
      </c>
      <c r="K334" t="s">
        <v>29</v>
      </c>
    </row>
    <row r="335" spans="1:11">
      <c r="A335" t="s">
        <v>11</v>
      </c>
      <c r="B335" t="s">
        <v>51</v>
      </c>
      <c r="C335" t="s">
        <v>59</v>
      </c>
      <c r="D335" t="s">
        <v>26</v>
      </c>
      <c r="E335" t="s">
        <v>22</v>
      </c>
      <c r="F335">
        <v>1927</v>
      </c>
      <c r="G335" s="1">
        <v>8953</v>
      </c>
      <c r="H335" s="2">
        <v>45293</v>
      </c>
      <c r="I335" t="s">
        <v>32</v>
      </c>
      <c r="J335" t="s">
        <v>377</v>
      </c>
      <c r="K335" t="s">
        <v>29</v>
      </c>
    </row>
    <row r="336" spans="1:11">
      <c r="A336" t="s">
        <v>64</v>
      </c>
      <c r="B336" t="s">
        <v>12</v>
      </c>
      <c r="C336" t="s">
        <v>25</v>
      </c>
      <c r="D336" t="s">
        <v>31</v>
      </c>
      <c r="E336">
        <v>60</v>
      </c>
      <c r="F336">
        <v>1475</v>
      </c>
      <c r="G336" s="1">
        <v>27251</v>
      </c>
      <c r="H336" s="2">
        <v>45497</v>
      </c>
      <c r="I336" t="s">
        <v>27</v>
      </c>
      <c r="J336" t="s">
        <v>378</v>
      </c>
      <c r="K336" t="s">
        <v>44</v>
      </c>
    </row>
    <row r="337" spans="1:11">
      <c r="A337" t="s">
        <v>35</v>
      </c>
      <c r="B337" t="s">
        <v>19</v>
      </c>
      <c r="C337" t="s">
        <v>25</v>
      </c>
      <c r="D337" t="s">
        <v>14</v>
      </c>
      <c r="E337" t="s">
        <v>38</v>
      </c>
      <c r="F337">
        <v>290</v>
      </c>
      <c r="G337" s="1">
        <v>16582</v>
      </c>
      <c r="H337" s="2">
        <v>45420</v>
      </c>
      <c r="I337" t="s">
        <v>32</v>
      </c>
      <c r="J337" t="s">
        <v>379</v>
      </c>
      <c r="K337" t="s">
        <v>18</v>
      </c>
    </row>
    <row r="338" spans="1:11">
      <c r="A338" t="s">
        <v>35</v>
      </c>
      <c r="B338" t="s">
        <v>19</v>
      </c>
      <c r="C338" t="s">
        <v>13</v>
      </c>
      <c r="D338" t="s">
        <v>26</v>
      </c>
      <c r="E338">
        <v>60</v>
      </c>
      <c r="F338">
        <v>677</v>
      </c>
      <c r="G338" s="1">
        <v>20916</v>
      </c>
      <c r="H338" s="2">
        <v>45371</v>
      </c>
      <c r="I338" t="s">
        <v>32</v>
      </c>
      <c r="J338" t="s">
        <v>380</v>
      </c>
      <c r="K338" t="s">
        <v>44</v>
      </c>
    </row>
    <row r="339" spans="1:11">
      <c r="A339" t="s">
        <v>11</v>
      </c>
      <c r="B339" t="s">
        <v>49</v>
      </c>
      <c r="C339" t="s">
        <v>30</v>
      </c>
      <c r="D339" t="s">
        <v>26</v>
      </c>
      <c r="E339" t="s">
        <v>38</v>
      </c>
      <c r="F339">
        <v>1728</v>
      </c>
      <c r="G339" s="1">
        <v>30905</v>
      </c>
      <c r="H339" s="2">
        <v>45273</v>
      </c>
      <c r="I339" t="s">
        <v>41</v>
      </c>
      <c r="J339" t="s">
        <v>381</v>
      </c>
      <c r="K339" t="s">
        <v>29</v>
      </c>
    </row>
    <row r="340" spans="1:11">
      <c r="A340" t="s">
        <v>64</v>
      </c>
      <c r="B340" t="s">
        <v>49</v>
      </c>
      <c r="C340" t="s">
        <v>25</v>
      </c>
      <c r="D340" t="s">
        <v>26</v>
      </c>
      <c r="E340" t="s">
        <v>38</v>
      </c>
      <c r="F340">
        <v>709</v>
      </c>
      <c r="G340" s="1">
        <v>16636</v>
      </c>
      <c r="H340" s="2">
        <v>45206</v>
      </c>
      <c r="I340" t="s">
        <v>41</v>
      </c>
      <c r="J340" t="s">
        <v>382</v>
      </c>
      <c r="K340" t="s">
        <v>18</v>
      </c>
    </row>
    <row r="341" spans="1:11">
      <c r="A341" t="s">
        <v>45</v>
      </c>
      <c r="B341" t="s">
        <v>49</v>
      </c>
      <c r="C341" t="s">
        <v>13</v>
      </c>
      <c r="D341" t="s">
        <v>31</v>
      </c>
      <c r="E341">
        <v>60</v>
      </c>
      <c r="F341">
        <v>1660</v>
      </c>
      <c r="G341" s="1">
        <v>9172</v>
      </c>
      <c r="H341" s="2">
        <v>45472</v>
      </c>
      <c r="I341" t="s">
        <v>41</v>
      </c>
      <c r="J341" t="s">
        <v>383</v>
      </c>
      <c r="K341" t="s">
        <v>47</v>
      </c>
    </row>
    <row r="342" spans="1:11">
      <c r="A342" t="s">
        <v>35</v>
      </c>
      <c r="B342" t="s">
        <v>51</v>
      </c>
      <c r="C342" t="s">
        <v>25</v>
      </c>
      <c r="D342" t="s">
        <v>21</v>
      </c>
      <c r="E342">
        <v>60</v>
      </c>
      <c r="F342">
        <v>1530</v>
      </c>
      <c r="G342" s="1">
        <v>15055</v>
      </c>
      <c r="H342" s="2">
        <v>45136</v>
      </c>
      <c r="I342" t="s">
        <v>32</v>
      </c>
      <c r="J342" t="s">
        <v>384</v>
      </c>
      <c r="K342" t="s">
        <v>47</v>
      </c>
    </row>
    <row r="343" spans="1:11">
      <c r="A343" t="s">
        <v>11</v>
      </c>
      <c r="B343" t="s">
        <v>12</v>
      </c>
      <c r="C343" t="s">
        <v>13</v>
      </c>
      <c r="D343" t="s">
        <v>21</v>
      </c>
      <c r="E343">
        <v>60</v>
      </c>
      <c r="F343">
        <v>1804</v>
      </c>
      <c r="G343" s="1">
        <v>17065</v>
      </c>
      <c r="H343" s="2">
        <v>45191</v>
      </c>
      <c r="I343" t="s">
        <v>32</v>
      </c>
      <c r="J343" t="s">
        <v>385</v>
      </c>
      <c r="K343" t="s">
        <v>29</v>
      </c>
    </row>
    <row r="344" spans="1:11">
      <c r="A344" t="s">
        <v>35</v>
      </c>
      <c r="B344" t="s">
        <v>36</v>
      </c>
      <c r="C344" t="s">
        <v>13</v>
      </c>
      <c r="D344" t="s">
        <v>31</v>
      </c>
      <c r="E344" t="s">
        <v>38</v>
      </c>
      <c r="F344">
        <v>847</v>
      </c>
      <c r="G344" s="1">
        <v>20074</v>
      </c>
      <c r="H344" s="2">
        <v>45451</v>
      </c>
      <c r="I344" t="s">
        <v>41</v>
      </c>
      <c r="J344" t="s">
        <v>386</v>
      </c>
      <c r="K344" t="s">
        <v>34</v>
      </c>
    </row>
    <row r="345" spans="1:11">
      <c r="A345" t="s">
        <v>64</v>
      </c>
      <c r="B345" t="s">
        <v>51</v>
      </c>
      <c r="C345" t="s">
        <v>30</v>
      </c>
      <c r="D345" t="s">
        <v>31</v>
      </c>
      <c r="E345" t="s">
        <v>15</v>
      </c>
      <c r="F345">
        <v>1944</v>
      </c>
      <c r="G345" s="1">
        <v>25684</v>
      </c>
      <c r="H345" s="2">
        <v>45378</v>
      </c>
      <c r="I345" t="s">
        <v>32</v>
      </c>
      <c r="J345" t="s">
        <v>387</v>
      </c>
      <c r="K345" t="s">
        <v>34</v>
      </c>
    </row>
    <row r="346" spans="1:11">
      <c r="A346" t="s">
        <v>11</v>
      </c>
      <c r="B346" t="s">
        <v>49</v>
      </c>
      <c r="C346" t="s">
        <v>25</v>
      </c>
      <c r="D346" t="s">
        <v>21</v>
      </c>
      <c r="E346" t="s">
        <v>22</v>
      </c>
      <c r="F346">
        <v>1882</v>
      </c>
      <c r="G346" s="1">
        <v>14779</v>
      </c>
      <c r="H346" s="2">
        <v>45458</v>
      </c>
      <c r="I346" t="s">
        <v>39</v>
      </c>
      <c r="J346" t="s">
        <v>388</v>
      </c>
      <c r="K346" t="s">
        <v>34</v>
      </c>
    </row>
    <row r="347" spans="1:11">
      <c r="A347" t="s">
        <v>35</v>
      </c>
      <c r="B347" t="s">
        <v>12</v>
      </c>
      <c r="C347" t="s">
        <v>25</v>
      </c>
      <c r="D347" t="s">
        <v>21</v>
      </c>
      <c r="E347" t="s">
        <v>15</v>
      </c>
      <c r="F347">
        <v>377</v>
      </c>
      <c r="G347" s="1">
        <v>20905</v>
      </c>
      <c r="H347" s="2">
        <v>45350</v>
      </c>
      <c r="I347" t="s">
        <v>39</v>
      </c>
      <c r="J347" t="s">
        <v>389</v>
      </c>
      <c r="K347" t="s">
        <v>29</v>
      </c>
    </row>
    <row r="348" spans="1:11">
      <c r="A348" t="s">
        <v>24</v>
      </c>
      <c r="B348" t="s">
        <v>12</v>
      </c>
      <c r="C348" t="s">
        <v>30</v>
      </c>
      <c r="D348" t="s">
        <v>14</v>
      </c>
      <c r="E348" t="s">
        <v>15</v>
      </c>
      <c r="F348">
        <v>1784</v>
      </c>
      <c r="G348" s="1">
        <v>11761</v>
      </c>
      <c r="H348" s="2">
        <v>45164</v>
      </c>
      <c r="I348" t="s">
        <v>32</v>
      </c>
      <c r="J348" t="s">
        <v>390</v>
      </c>
      <c r="K348" t="s">
        <v>34</v>
      </c>
    </row>
    <row r="349" spans="1:11">
      <c r="A349" t="s">
        <v>35</v>
      </c>
      <c r="B349" t="s">
        <v>19</v>
      </c>
      <c r="C349" t="s">
        <v>30</v>
      </c>
      <c r="D349" t="s">
        <v>26</v>
      </c>
      <c r="E349" t="s">
        <v>22</v>
      </c>
      <c r="F349">
        <v>1414</v>
      </c>
      <c r="G349" s="1">
        <v>29966</v>
      </c>
      <c r="H349" s="2">
        <v>45424</v>
      </c>
      <c r="I349" t="s">
        <v>39</v>
      </c>
      <c r="J349" t="s">
        <v>391</v>
      </c>
      <c r="K349" t="s">
        <v>18</v>
      </c>
    </row>
    <row r="350" spans="1:11">
      <c r="A350" t="s">
        <v>11</v>
      </c>
      <c r="B350" t="s">
        <v>51</v>
      </c>
      <c r="C350" t="s">
        <v>59</v>
      </c>
      <c r="D350" t="s">
        <v>14</v>
      </c>
      <c r="E350">
        <v>60</v>
      </c>
      <c r="F350">
        <v>1782</v>
      </c>
      <c r="G350" s="1">
        <v>32047</v>
      </c>
      <c r="H350" s="2">
        <v>45284</v>
      </c>
      <c r="I350" t="s">
        <v>39</v>
      </c>
      <c r="J350" t="s">
        <v>392</v>
      </c>
      <c r="K350" t="s">
        <v>29</v>
      </c>
    </row>
    <row r="351" spans="1:11">
      <c r="A351" t="s">
        <v>11</v>
      </c>
      <c r="B351" t="s">
        <v>36</v>
      </c>
      <c r="C351" t="s">
        <v>59</v>
      </c>
      <c r="D351" t="s">
        <v>14</v>
      </c>
      <c r="E351">
        <v>30</v>
      </c>
      <c r="F351">
        <v>221</v>
      </c>
      <c r="G351" s="1">
        <v>40972</v>
      </c>
      <c r="H351" s="2">
        <v>45454</v>
      </c>
      <c r="I351" t="s">
        <v>39</v>
      </c>
      <c r="J351" t="s">
        <v>393</v>
      </c>
      <c r="K351" t="s">
        <v>18</v>
      </c>
    </row>
    <row r="352" spans="1:11">
      <c r="A352" t="s">
        <v>35</v>
      </c>
      <c r="B352" t="s">
        <v>12</v>
      </c>
      <c r="C352" t="s">
        <v>59</v>
      </c>
      <c r="D352" t="s">
        <v>31</v>
      </c>
      <c r="E352">
        <v>60</v>
      </c>
      <c r="F352">
        <v>1221</v>
      </c>
      <c r="G352" s="1">
        <v>15799</v>
      </c>
      <c r="H352" s="2">
        <v>45181</v>
      </c>
      <c r="I352" t="s">
        <v>41</v>
      </c>
      <c r="J352" t="s">
        <v>394</v>
      </c>
      <c r="K352" t="s">
        <v>18</v>
      </c>
    </row>
    <row r="353" spans="1:11">
      <c r="A353" t="s">
        <v>35</v>
      </c>
      <c r="B353" t="s">
        <v>19</v>
      </c>
      <c r="C353" t="s">
        <v>20</v>
      </c>
      <c r="D353" t="s">
        <v>21</v>
      </c>
      <c r="E353">
        <v>60</v>
      </c>
      <c r="F353">
        <v>1461</v>
      </c>
      <c r="G353" s="1">
        <v>28440</v>
      </c>
      <c r="H353" s="2">
        <v>45154</v>
      </c>
      <c r="I353" t="s">
        <v>27</v>
      </c>
      <c r="J353" t="s">
        <v>395</v>
      </c>
      <c r="K353" t="s">
        <v>47</v>
      </c>
    </row>
    <row r="354" spans="1:11">
      <c r="A354" t="s">
        <v>64</v>
      </c>
      <c r="B354" t="s">
        <v>51</v>
      </c>
      <c r="C354" t="s">
        <v>59</v>
      </c>
      <c r="D354" t="s">
        <v>14</v>
      </c>
      <c r="E354" t="s">
        <v>22</v>
      </c>
      <c r="F354">
        <v>1621</v>
      </c>
      <c r="G354" s="1">
        <v>22584</v>
      </c>
      <c r="H354" s="2">
        <v>45151</v>
      </c>
      <c r="I354" t="s">
        <v>32</v>
      </c>
      <c r="J354" t="s">
        <v>396</v>
      </c>
      <c r="K354" t="s">
        <v>44</v>
      </c>
    </row>
    <row r="355" spans="1:11">
      <c r="A355" t="s">
        <v>45</v>
      </c>
      <c r="B355" t="s">
        <v>49</v>
      </c>
      <c r="C355" t="s">
        <v>25</v>
      </c>
      <c r="D355" t="s">
        <v>26</v>
      </c>
      <c r="E355" t="s">
        <v>22</v>
      </c>
      <c r="F355">
        <v>587</v>
      </c>
      <c r="G355" s="1">
        <v>49864</v>
      </c>
      <c r="H355" s="2">
        <v>45212</v>
      </c>
      <c r="I355" t="s">
        <v>27</v>
      </c>
      <c r="J355" t="s">
        <v>397</v>
      </c>
      <c r="K355" t="s">
        <v>47</v>
      </c>
    </row>
    <row r="356" spans="1:11">
      <c r="A356" t="s">
        <v>11</v>
      </c>
      <c r="B356" t="s">
        <v>49</v>
      </c>
      <c r="C356" t="s">
        <v>30</v>
      </c>
      <c r="D356" t="s">
        <v>31</v>
      </c>
      <c r="E356" t="s">
        <v>22</v>
      </c>
      <c r="F356">
        <v>902</v>
      </c>
      <c r="G356" s="1">
        <v>15266</v>
      </c>
      <c r="H356" s="2">
        <v>45213</v>
      </c>
      <c r="I356" t="s">
        <v>16</v>
      </c>
      <c r="J356" t="s">
        <v>398</v>
      </c>
      <c r="K356" t="s">
        <v>18</v>
      </c>
    </row>
    <row r="357" spans="1:11">
      <c r="A357" t="s">
        <v>35</v>
      </c>
      <c r="B357" t="s">
        <v>51</v>
      </c>
      <c r="C357" t="s">
        <v>20</v>
      </c>
      <c r="D357" t="s">
        <v>31</v>
      </c>
      <c r="E357" t="s">
        <v>38</v>
      </c>
      <c r="F357">
        <v>447</v>
      </c>
      <c r="G357" s="1">
        <v>5128</v>
      </c>
      <c r="H357" s="2">
        <v>45254</v>
      </c>
      <c r="I357" t="s">
        <v>32</v>
      </c>
      <c r="J357" t="s">
        <v>399</v>
      </c>
      <c r="K357" t="s">
        <v>47</v>
      </c>
    </row>
    <row r="358" spans="1:11">
      <c r="A358" t="s">
        <v>45</v>
      </c>
      <c r="B358" t="s">
        <v>19</v>
      </c>
      <c r="C358" t="s">
        <v>30</v>
      </c>
      <c r="D358" t="s">
        <v>14</v>
      </c>
      <c r="E358">
        <v>60</v>
      </c>
      <c r="F358">
        <v>646</v>
      </c>
      <c r="G358" s="1">
        <v>39113</v>
      </c>
      <c r="H358" s="2">
        <v>45483</v>
      </c>
      <c r="I358" t="s">
        <v>16</v>
      </c>
      <c r="J358" t="s">
        <v>400</v>
      </c>
      <c r="K358" t="s">
        <v>34</v>
      </c>
    </row>
    <row r="359" spans="1:11">
      <c r="A359" t="s">
        <v>64</v>
      </c>
      <c r="B359" t="s">
        <v>36</v>
      </c>
      <c r="C359" t="s">
        <v>13</v>
      </c>
      <c r="D359" t="s">
        <v>31</v>
      </c>
      <c r="E359" t="s">
        <v>22</v>
      </c>
      <c r="F359">
        <v>1135</v>
      </c>
      <c r="G359" s="1">
        <v>12514</v>
      </c>
      <c r="H359" s="2">
        <v>45165</v>
      </c>
      <c r="I359" t="s">
        <v>32</v>
      </c>
      <c r="J359" t="s">
        <v>401</v>
      </c>
      <c r="K359" t="s">
        <v>44</v>
      </c>
    </row>
    <row r="360" spans="1:11">
      <c r="A360" t="s">
        <v>11</v>
      </c>
      <c r="B360" t="s">
        <v>19</v>
      </c>
      <c r="C360" t="s">
        <v>25</v>
      </c>
      <c r="D360" t="s">
        <v>66</v>
      </c>
      <c r="E360" t="s">
        <v>15</v>
      </c>
      <c r="F360">
        <v>1494</v>
      </c>
      <c r="G360" s="1">
        <v>45452</v>
      </c>
      <c r="H360" s="2">
        <v>45276</v>
      </c>
      <c r="I360" t="s">
        <v>27</v>
      </c>
      <c r="J360" t="s">
        <v>402</v>
      </c>
      <c r="K360" t="s">
        <v>18</v>
      </c>
    </row>
    <row r="361" spans="1:11">
      <c r="A361" t="s">
        <v>35</v>
      </c>
      <c r="B361" t="s">
        <v>19</v>
      </c>
      <c r="C361" t="s">
        <v>13</v>
      </c>
      <c r="D361" t="s">
        <v>26</v>
      </c>
      <c r="E361" t="s">
        <v>15</v>
      </c>
      <c r="F361">
        <v>279</v>
      </c>
      <c r="G361" s="1">
        <v>32754</v>
      </c>
      <c r="H361" s="2">
        <v>45305</v>
      </c>
      <c r="I361" t="s">
        <v>27</v>
      </c>
      <c r="J361" t="s">
        <v>403</v>
      </c>
      <c r="K361" t="s">
        <v>29</v>
      </c>
    </row>
    <row r="362" spans="1:11">
      <c r="A362" t="s">
        <v>24</v>
      </c>
      <c r="B362" t="s">
        <v>36</v>
      </c>
      <c r="C362" t="s">
        <v>59</v>
      </c>
      <c r="D362" t="s">
        <v>26</v>
      </c>
      <c r="E362" t="s">
        <v>15</v>
      </c>
      <c r="F362">
        <v>302</v>
      </c>
      <c r="G362" s="1">
        <v>20937</v>
      </c>
      <c r="H362" s="2">
        <v>45440</v>
      </c>
      <c r="I362" t="s">
        <v>16</v>
      </c>
      <c r="J362" t="s">
        <v>404</v>
      </c>
      <c r="K362" t="s">
        <v>47</v>
      </c>
    </row>
    <row r="363" spans="1:11">
      <c r="A363" t="s">
        <v>64</v>
      </c>
      <c r="B363" t="s">
        <v>51</v>
      </c>
      <c r="C363" t="s">
        <v>30</v>
      </c>
      <c r="D363" t="s">
        <v>31</v>
      </c>
      <c r="E363" t="s">
        <v>38</v>
      </c>
      <c r="F363">
        <v>1306</v>
      </c>
      <c r="G363" s="1">
        <v>35777</v>
      </c>
      <c r="H363" s="2">
        <v>45419</v>
      </c>
      <c r="I363" t="s">
        <v>39</v>
      </c>
      <c r="J363" t="s">
        <v>299</v>
      </c>
      <c r="K363" t="s">
        <v>47</v>
      </c>
    </row>
    <row r="364" spans="1:11">
      <c r="A364" t="s">
        <v>64</v>
      </c>
      <c r="B364" t="s">
        <v>12</v>
      </c>
      <c r="C364" t="s">
        <v>25</v>
      </c>
      <c r="D364" t="s">
        <v>21</v>
      </c>
      <c r="E364" t="s">
        <v>15</v>
      </c>
      <c r="F364">
        <v>1372</v>
      </c>
      <c r="G364" s="1">
        <v>47220</v>
      </c>
      <c r="H364" s="2">
        <v>45257</v>
      </c>
      <c r="I364" t="s">
        <v>41</v>
      </c>
      <c r="J364" t="s">
        <v>405</v>
      </c>
      <c r="K364" t="s">
        <v>18</v>
      </c>
    </row>
    <row r="365" spans="1:11">
      <c r="A365" t="s">
        <v>35</v>
      </c>
      <c r="B365" t="s">
        <v>19</v>
      </c>
      <c r="C365" t="s">
        <v>13</v>
      </c>
      <c r="D365" t="s">
        <v>31</v>
      </c>
      <c r="E365">
        <v>60</v>
      </c>
      <c r="F365">
        <v>873</v>
      </c>
      <c r="G365" s="1">
        <v>28524</v>
      </c>
      <c r="H365" s="2">
        <v>45200</v>
      </c>
      <c r="I365" t="s">
        <v>32</v>
      </c>
      <c r="J365" t="s">
        <v>227</v>
      </c>
      <c r="K365" t="s">
        <v>29</v>
      </c>
    </row>
    <row r="366" spans="1:11">
      <c r="A366" t="s">
        <v>35</v>
      </c>
      <c r="B366" t="s">
        <v>19</v>
      </c>
      <c r="C366" t="s">
        <v>13</v>
      </c>
      <c r="D366" t="s">
        <v>31</v>
      </c>
      <c r="E366">
        <v>60</v>
      </c>
      <c r="F366">
        <v>1075</v>
      </c>
      <c r="G366" s="1">
        <v>4900</v>
      </c>
      <c r="H366" s="2">
        <v>45251</v>
      </c>
      <c r="I366" t="s">
        <v>32</v>
      </c>
      <c r="J366" t="s">
        <v>406</v>
      </c>
      <c r="K366" t="s">
        <v>47</v>
      </c>
    </row>
    <row r="367" spans="1:11">
      <c r="A367" t="s">
        <v>45</v>
      </c>
      <c r="B367" t="s">
        <v>49</v>
      </c>
      <c r="C367" t="s">
        <v>20</v>
      </c>
      <c r="D367" t="s">
        <v>21</v>
      </c>
      <c r="E367" t="s">
        <v>38</v>
      </c>
      <c r="F367">
        <v>862</v>
      </c>
      <c r="G367" s="1">
        <v>17179</v>
      </c>
      <c r="H367" s="2">
        <v>45242</v>
      </c>
      <c r="I367" t="s">
        <v>39</v>
      </c>
      <c r="J367" t="s">
        <v>407</v>
      </c>
      <c r="K367" t="s">
        <v>18</v>
      </c>
    </row>
    <row r="368" spans="1:11">
      <c r="A368" t="s">
        <v>35</v>
      </c>
      <c r="B368" t="s">
        <v>12</v>
      </c>
      <c r="C368" t="s">
        <v>59</v>
      </c>
      <c r="D368" t="s">
        <v>14</v>
      </c>
      <c r="E368" t="s">
        <v>38</v>
      </c>
      <c r="F368">
        <v>1872</v>
      </c>
      <c r="G368" s="1">
        <v>42474</v>
      </c>
      <c r="H368" s="2">
        <v>45139</v>
      </c>
      <c r="I368" t="s">
        <v>32</v>
      </c>
      <c r="J368" t="s">
        <v>408</v>
      </c>
      <c r="K368" t="s">
        <v>34</v>
      </c>
    </row>
    <row r="369" spans="1:11">
      <c r="A369" t="s">
        <v>24</v>
      </c>
      <c r="B369" t="s">
        <v>36</v>
      </c>
      <c r="C369" t="s">
        <v>59</v>
      </c>
      <c r="D369" t="s">
        <v>31</v>
      </c>
      <c r="E369" t="s">
        <v>15</v>
      </c>
      <c r="F369">
        <v>1041</v>
      </c>
      <c r="G369" s="1">
        <v>45750</v>
      </c>
      <c r="H369" s="2">
        <v>45457</v>
      </c>
      <c r="I369" t="s">
        <v>39</v>
      </c>
      <c r="J369" t="s">
        <v>409</v>
      </c>
      <c r="K369" t="s">
        <v>29</v>
      </c>
    </row>
    <row r="370" spans="1:11">
      <c r="A370" t="s">
        <v>35</v>
      </c>
      <c r="B370" t="s">
        <v>12</v>
      </c>
      <c r="C370" t="s">
        <v>25</v>
      </c>
      <c r="D370" t="s">
        <v>31</v>
      </c>
      <c r="E370">
        <v>60</v>
      </c>
      <c r="F370">
        <v>149</v>
      </c>
      <c r="G370" s="1">
        <v>40553</v>
      </c>
      <c r="H370" s="2">
        <v>45234</v>
      </c>
      <c r="I370" t="s">
        <v>39</v>
      </c>
      <c r="J370" t="s">
        <v>410</v>
      </c>
      <c r="K370" t="s">
        <v>29</v>
      </c>
    </row>
    <row r="371" spans="1:11">
      <c r="A371" t="s">
        <v>35</v>
      </c>
      <c r="B371" t="s">
        <v>19</v>
      </c>
      <c r="C371" t="s">
        <v>30</v>
      </c>
      <c r="D371" t="s">
        <v>21</v>
      </c>
      <c r="E371">
        <v>60</v>
      </c>
      <c r="F371">
        <v>996</v>
      </c>
      <c r="G371" s="1">
        <v>6016</v>
      </c>
      <c r="H371" s="2">
        <v>45462</v>
      </c>
      <c r="I371" t="s">
        <v>41</v>
      </c>
      <c r="J371" t="s">
        <v>411</v>
      </c>
      <c r="K371" t="s">
        <v>34</v>
      </c>
    </row>
    <row r="372" spans="1:11">
      <c r="A372" t="s">
        <v>11</v>
      </c>
      <c r="B372" t="s">
        <v>51</v>
      </c>
      <c r="C372" t="s">
        <v>30</v>
      </c>
      <c r="D372" t="s">
        <v>21</v>
      </c>
      <c r="E372">
        <v>60</v>
      </c>
      <c r="F372">
        <v>1890</v>
      </c>
      <c r="G372" s="1">
        <v>35859</v>
      </c>
      <c r="H372" s="2">
        <v>45240</v>
      </c>
      <c r="I372" t="s">
        <v>16</v>
      </c>
      <c r="J372" t="s">
        <v>412</v>
      </c>
      <c r="K372" t="s">
        <v>18</v>
      </c>
    </row>
    <row r="373" spans="1:11">
      <c r="A373" t="s">
        <v>11</v>
      </c>
      <c r="B373" t="s">
        <v>19</v>
      </c>
      <c r="C373" t="s">
        <v>59</v>
      </c>
      <c r="D373" t="s">
        <v>31</v>
      </c>
      <c r="E373">
        <v>30</v>
      </c>
      <c r="F373">
        <v>770</v>
      </c>
      <c r="G373" s="1">
        <v>15607</v>
      </c>
      <c r="H373" s="2">
        <v>45216</v>
      </c>
      <c r="I373" t="s">
        <v>27</v>
      </c>
      <c r="J373" t="s">
        <v>413</v>
      </c>
      <c r="K373" t="s">
        <v>47</v>
      </c>
    </row>
    <row r="374" spans="1:11">
      <c r="A374" t="s">
        <v>24</v>
      </c>
      <c r="B374" t="s">
        <v>49</v>
      </c>
      <c r="C374" t="s">
        <v>30</v>
      </c>
      <c r="D374" t="s">
        <v>26</v>
      </c>
      <c r="E374">
        <v>30</v>
      </c>
      <c r="F374">
        <v>727</v>
      </c>
      <c r="G374" s="1">
        <v>3436</v>
      </c>
      <c r="H374" s="2">
        <v>45323</v>
      </c>
      <c r="I374" t="s">
        <v>39</v>
      </c>
      <c r="J374" t="s">
        <v>414</v>
      </c>
      <c r="K374" t="s">
        <v>44</v>
      </c>
    </row>
    <row r="375" spans="1:11">
      <c r="A375" t="s">
        <v>45</v>
      </c>
      <c r="B375" t="s">
        <v>51</v>
      </c>
      <c r="C375" t="s">
        <v>13</v>
      </c>
      <c r="D375" t="s">
        <v>31</v>
      </c>
      <c r="E375" t="s">
        <v>22</v>
      </c>
      <c r="F375">
        <v>190</v>
      </c>
      <c r="G375" s="1">
        <v>14001</v>
      </c>
      <c r="H375" s="2">
        <v>45302</v>
      </c>
      <c r="I375" t="s">
        <v>39</v>
      </c>
      <c r="J375" t="s">
        <v>415</v>
      </c>
      <c r="K375" t="s">
        <v>47</v>
      </c>
    </row>
    <row r="376" spans="1:11">
      <c r="A376" t="s">
        <v>64</v>
      </c>
      <c r="B376" t="s">
        <v>19</v>
      </c>
      <c r="C376" t="s">
        <v>20</v>
      </c>
      <c r="D376" t="s">
        <v>21</v>
      </c>
      <c r="E376" t="s">
        <v>38</v>
      </c>
      <c r="F376">
        <v>1248</v>
      </c>
      <c r="G376" s="1">
        <v>33631</v>
      </c>
      <c r="H376" s="2">
        <v>45276</v>
      </c>
      <c r="I376" t="s">
        <v>32</v>
      </c>
      <c r="J376" t="s">
        <v>416</v>
      </c>
      <c r="K376" t="s">
        <v>18</v>
      </c>
    </row>
    <row r="377" spans="1:11">
      <c r="A377" t="s">
        <v>64</v>
      </c>
      <c r="B377" t="s">
        <v>51</v>
      </c>
      <c r="C377" t="s">
        <v>59</v>
      </c>
      <c r="D377" t="s">
        <v>26</v>
      </c>
      <c r="E377">
        <v>30</v>
      </c>
      <c r="F377">
        <v>1183</v>
      </c>
      <c r="G377" s="1">
        <v>39477</v>
      </c>
      <c r="H377" s="2">
        <v>45367</v>
      </c>
      <c r="I377" t="s">
        <v>41</v>
      </c>
      <c r="J377" t="s">
        <v>417</v>
      </c>
      <c r="K377" t="s">
        <v>18</v>
      </c>
    </row>
    <row r="378" spans="1:11">
      <c r="A378" t="s">
        <v>45</v>
      </c>
      <c r="B378" t="s">
        <v>51</v>
      </c>
      <c r="C378" t="s">
        <v>13</v>
      </c>
      <c r="D378" t="s">
        <v>66</v>
      </c>
      <c r="E378">
        <v>60</v>
      </c>
      <c r="F378">
        <v>1394</v>
      </c>
      <c r="G378" s="1">
        <v>13808</v>
      </c>
      <c r="H378" s="2">
        <v>45399</v>
      </c>
      <c r="I378" t="s">
        <v>32</v>
      </c>
      <c r="J378" t="s">
        <v>418</v>
      </c>
      <c r="K378" t="s">
        <v>29</v>
      </c>
    </row>
    <row r="379" spans="1:11">
      <c r="A379" t="s">
        <v>24</v>
      </c>
      <c r="B379" t="s">
        <v>51</v>
      </c>
      <c r="C379" t="s">
        <v>59</v>
      </c>
      <c r="D379" t="s">
        <v>21</v>
      </c>
      <c r="E379" t="s">
        <v>22</v>
      </c>
      <c r="F379">
        <v>626</v>
      </c>
      <c r="G379" s="1">
        <v>28471</v>
      </c>
      <c r="H379" s="2">
        <v>45204</v>
      </c>
      <c r="I379" t="s">
        <v>39</v>
      </c>
      <c r="J379" t="s">
        <v>419</v>
      </c>
      <c r="K379" t="s">
        <v>18</v>
      </c>
    </row>
    <row r="380" spans="1:11">
      <c r="A380" t="s">
        <v>11</v>
      </c>
      <c r="B380" t="s">
        <v>36</v>
      </c>
      <c r="C380" t="s">
        <v>30</v>
      </c>
      <c r="D380" t="s">
        <v>31</v>
      </c>
      <c r="E380">
        <v>60</v>
      </c>
      <c r="F380">
        <v>1394</v>
      </c>
      <c r="G380" s="1">
        <v>3360</v>
      </c>
      <c r="H380" s="2">
        <v>45463</v>
      </c>
      <c r="I380" t="s">
        <v>39</v>
      </c>
      <c r="J380" t="s">
        <v>420</v>
      </c>
      <c r="K380" t="s">
        <v>29</v>
      </c>
    </row>
    <row r="381" spans="1:11">
      <c r="A381" t="s">
        <v>11</v>
      </c>
      <c r="B381" t="s">
        <v>19</v>
      </c>
      <c r="C381" t="s">
        <v>13</v>
      </c>
      <c r="D381" t="s">
        <v>66</v>
      </c>
      <c r="E381">
        <v>30</v>
      </c>
      <c r="F381">
        <v>1699</v>
      </c>
      <c r="G381" s="1">
        <v>25685</v>
      </c>
      <c r="H381" s="2">
        <v>45250</v>
      </c>
      <c r="I381" t="s">
        <v>16</v>
      </c>
      <c r="J381" t="s">
        <v>421</v>
      </c>
      <c r="K381" t="s">
        <v>29</v>
      </c>
    </row>
    <row r="382" spans="1:11">
      <c r="A382" t="s">
        <v>24</v>
      </c>
      <c r="B382" t="s">
        <v>12</v>
      </c>
      <c r="C382" t="s">
        <v>20</v>
      </c>
      <c r="D382" t="s">
        <v>66</v>
      </c>
      <c r="E382">
        <v>30</v>
      </c>
      <c r="F382">
        <v>364</v>
      </c>
      <c r="G382" s="1">
        <v>20390</v>
      </c>
      <c r="H382" s="2">
        <v>45182</v>
      </c>
      <c r="I382" t="s">
        <v>41</v>
      </c>
      <c r="J382" t="s">
        <v>422</v>
      </c>
      <c r="K382" t="s">
        <v>29</v>
      </c>
    </row>
    <row r="383" spans="1:11">
      <c r="A383" t="s">
        <v>11</v>
      </c>
      <c r="B383" t="s">
        <v>19</v>
      </c>
      <c r="C383" t="s">
        <v>30</v>
      </c>
      <c r="D383" t="s">
        <v>14</v>
      </c>
      <c r="E383">
        <v>60</v>
      </c>
      <c r="F383">
        <v>1120</v>
      </c>
      <c r="G383" s="1">
        <v>22277</v>
      </c>
      <c r="H383" s="2">
        <v>45164</v>
      </c>
      <c r="I383" t="s">
        <v>16</v>
      </c>
      <c r="J383" t="s">
        <v>423</v>
      </c>
      <c r="K383" t="s">
        <v>29</v>
      </c>
    </row>
    <row r="384" spans="1:11">
      <c r="A384" t="s">
        <v>64</v>
      </c>
      <c r="B384" t="s">
        <v>49</v>
      </c>
      <c r="C384" t="s">
        <v>20</v>
      </c>
      <c r="D384" t="s">
        <v>26</v>
      </c>
      <c r="E384" t="s">
        <v>38</v>
      </c>
      <c r="F384">
        <v>323</v>
      </c>
      <c r="G384" s="1">
        <v>22108</v>
      </c>
      <c r="H384" s="2">
        <v>45164</v>
      </c>
      <c r="I384" t="s">
        <v>41</v>
      </c>
      <c r="J384" t="s">
        <v>424</v>
      </c>
      <c r="K384" t="s">
        <v>44</v>
      </c>
    </row>
    <row r="385" spans="1:11">
      <c r="A385" t="s">
        <v>24</v>
      </c>
      <c r="B385" t="s">
        <v>19</v>
      </c>
      <c r="C385" t="s">
        <v>25</v>
      </c>
      <c r="D385" t="s">
        <v>21</v>
      </c>
      <c r="E385">
        <v>30</v>
      </c>
      <c r="F385">
        <v>1394</v>
      </c>
      <c r="G385" s="1">
        <v>45719</v>
      </c>
      <c r="H385" s="2">
        <v>45192</v>
      </c>
      <c r="I385" t="s">
        <v>16</v>
      </c>
      <c r="J385" t="s">
        <v>425</v>
      </c>
      <c r="K385" t="s">
        <v>44</v>
      </c>
    </row>
    <row r="386" spans="1:11">
      <c r="A386" t="s">
        <v>11</v>
      </c>
      <c r="B386" t="s">
        <v>36</v>
      </c>
      <c r="C386" t="s">
        <v>59</v>
      </c>
      <c r="D386" t="s">
        <v>66</v>
      </c>
      <c r="E386">
        <v>30</v>
      </c>
      <c r="F386">
        <v>515</v>
      </c>
      <c r="G386" s="1">
        <v>10882</v>
      </c>
      <c r="H386" s="2">
        <v>45379</v>
      </c>
      <c r="I386" t="s">
        <v>39</v>
      </c>
      <c r="J386" t="s">
        <v>426</v>
      </c>
      <c r="K386" t="s">
        <v>44</v>
      </c>
    </row>
    <row r="387" spans="1:11">
      <c r="A387" t="s">
        <v>64</v>
      </c>
      <c r="B387" t="s">
        <v>49</v>
      </c>
      <c r="C387" t="s">
        <v>25</v>
      </c>
      <c r="D387" t="s">
        <v>26</v>
      </c>
      <c r="E387" t="s">
        <v>38</v>
      </c>
      <c r="F387">
        <v>1729</v>
      </c>
      <c r="G387" s="1">
        <v>26352</v>
      </c>
      <c r="H387" s="2">
        <v>45342</v>
      </c>
      <c r="I387" t="s">
        <v>39</v>
      </c>
      <c r="J387" t="s">
        <v>427</v>
      </c>
      <c r="K387" t="s">
        <v>47</v>
      </c>
    </row>
    <row r="388" spans="1:11">
      <c r="A388" t="s">
        <v>24</v>
      </c>
      <c r="B388" t="s">
        <v>19</v>
      </c>
      <c r="C388" t="s">
        <v>25</v>
      </c>
      <c r="D388" t="s">
        <v>26</v>
      </c>
      <c r="E388">
        <v>30</v>
      </c>
      <c r="F388">
        <v>1208</v>
      </c>
      <c r="G388" s="1">
        <v>39952</v>
      </c>
      <c r="H388" s="2">
        <v>45361</v>
      </c>
      <c r="I388" t="s">
        <v>16</v>
      </c>
      <c r="J388" t="s">
        <v>428</v>
      </c>
      <c r="K388" t="s">
        <v>47</v>
      </c>
    </row>
    <row r="389" spans="1:11">
      <c r="A389" t="s">
        <v>64</v>
      </c>
      <c r="B389" t="s">
        <v>19</v>
      </c>
      <c r="C389" t="s">
        <v>59</v>
      </c>
      <c r="D389" t="s">
        <v>31</v>
      </c>
      <c r="E389">
        <v>30</v>
      </c>
      <c r="F389">
        <v>1657</v>
      </c>
      <c r="G389" s="1">
        <v>21133</v>
      </c>
      <c r="H389" s="2">
        <v>45379</v>
      </c>
      <c r="I389" t="s">
        <v>27</v>
      </c>
      <c r="J389" t="s">
        <v>429</v>
      </c>
      <c r="K389" t="s">
        <v>18</v>
      </c>
    </row>
    <row r="390" spans="1:11">
      <c r="A390" t="s">
        <v>45</v>
      </c>
      <c r="B390" t="s">
        <v>12</v>
      </c>
      <c r="C390" t="s">
        <v>59</v>
      </c>
      <c r="D390" t="s">
        <v>21</v>
      </c>
      <c r="E390">
        <v>60</v>
      </c>
      <c r="F390">
        <v>1572</v>
      </c>
      <c r="G390" s="1">
        <v>46966</v>
      </c>
      <c r="H390" s="2">
        <v>45217</v>
      </c>
      <c r="I390" t="s">
        <v>41</v>
      </c>
      <c r="J390" t="s">
        <v>430</v>
      </c>
      <c r="K390" t="s">
        <v>34</v>
      </c>
    </row>
    <row r="391" spans="1:11">
      <c r="A391" t="s">
        <v>45</v>
      </c>
      <c r="B391" t="s">
        <v>49</v>
      </c>
      <c r="C391" t="s">
        <v>30</v>
      </c>
      <c r="D391" t="s">
        <v>21</v>
      </c>
      <c r="E391">
        <v>60</v>
      </c>
      <c r="F391">
        <v>901</v>
      </c>
      <c r="G391" s="1">
        <v>37255</v>
      </c>
      <c r="H391" s="2">
        <v>45224</v>
      </c>
      <c r="I391" t="s">
        <v>27</v>
      </c>
      <c r="J391" t="s">
        <v>431</v>
      </c>
      <c r="K391" t="s">
        <v>18</v>
      </c>
    </row>
    <row r="392" spans="1:11">
      <c r="A392" t="s">
        <v>35</v>
      </c>
      <c r="B392" t="s">
        <v>19</v>
      </c>
      <c r="C392" t="s">
        <v>30</v>
      </c>
      <c r="D392" t="s">
        <v>14</v>
      </c>
      <c r="E392" t="s">
        <v>22</v>
      </c>
      <c r="F392">
        <v>814</v>
      </c>
      <c r="G392" s="1">
        <v>11345</v>
      </c>
      <c r="H392" s="2">
        <v>45330</v>
      </c>
      <c r="I392" t="s">
        <v>32</v>
      </c>
      <c r="J392" t="s">
        <v>432</v>
      </c>
      <c r="K392" t="s">
        <v>47</v>
      </c>
    </row>
    <row r="393" spans="1:11">
      <c r="A393" t="s">
        <v>24</v>
      </c>
      <c r="B393" t="s">
        <v>19</v>
      </c>
      <c r="C393" t="s">
        <v>30</v>
      </c>
      <c r="D393" t="s">
        <v>26</v>
      </c>
      <c r="E393" t="s">
        <v>38</v>
      </c>
      <c r="F393">
        <v>1124</v>
      </c>
      <c r="G393" s="1">
        <v>18402</v>
      </c>
      <c r="H393" s="2">
        <v>45290</v>
      </c>
      <c r="I393" t="s">
        <v>16</v>
      </c>
      <c r="J393" t="s">
        <v>46</v>
      </c>
      <c r="K393" t="s">
        <v>44</v>
      </c>
    </row>
    <row r="394" spans="1:11">
      <c r="A394" t="s">
        <v>11</v>
      </c>
      <c r="B394" t="s">
        <v>19</v>
      </c>
      <c r="C394" t="s">
        <v>30</v>
      </c>
      <c r="D394" t="s">
        <v>66</v>
      </c>
      <c r="E394" t="s">
        <v>22</v>
      </c>
      <c r="F394">
        <v>1609</v>
      </c>
      <c r="G394" s="1">
        <v>12823</v>
      </c>
      <c r="H394" s="2">
        <v>45470</v>
      </c>
      <c r="I394" t="s">
        <v>32</v>
      </c>
      <c r="J394" t="s">
        <v>433</v>
      </c>
      <c r="K394" t="s">
        <v>44</v>
      </c>
    </row>
    <row r="395" spans="1:11">
      <c r="A395" t="s">
        <v>24</v>
      </c>
      <c r="B395" t="s">
        <v>19</v>
      </c>
      <c r="C395" t="s">
        <v>30</v>
      </c>
      <c r="D395" t="s">
        <v>66</v>
      </c>
      <c r="E395" t="s">
        <v>15</v>
      </c>
      <c r="F395">
        <v>846</v>
      </c>
      <c r="G395" s="1">
        <v>39016</v>
      </c>
      <c r="H395" s="2">
        <v>45342</v>
      </c>
      <c r="I395" t="s">
        <v>16</v>
      </c>
      <c r="J395" t="s">
        <v>434</v>
      </c>
      <c r="K395" t="s">
        <v>18</v>
      </c>
    </row>
    <row r="396" spans="1:11">
      <c r="A396" t="s">
        <v>45</v>
      </c>
      <c r="B396" t="s">
        <v>36</v>
      </c>
      <c r="C396" t="s">
        <v>20</v>
      </c>
      <c r="D396" t="s">
        <v>66</v>
      </c>
      <c r="E396" t="s">
        <v>15</v>
      </c>
      <c r="F396">
        <v>859</v>
      </c>
      <c r="G396" s="1">
        <v>49397</v>
      </c>
      <c r="H396" s="2">
        <v>45167</v>
      </c>
      <c r="I396" t="s">
        <v>27</v>
      </c>
      <c r="J396" t="s">
        <v>435</v>
      </c>
      <c r="K396" t="s">
        <v>44</v>
      </c>
    </row>
    <row r="397" spans="1:11">
      <c r="A397" t="s">
        <v>24</v>
      </c>
      <c r="B397" t="s">
        <v>36</v>
      </c>
      <c r="C397" t="s">
        <v>13</v>
      </c>
      <c r="D397" t="s">
        <v>66</v>
      </c>
      <c r="E397" t="s">
        <v>38</v>
      </c>
      <c r="F397">
        <v>389</v>
      </c>
      <c r="G397" s="1">
        <v>3098</v>
      </c>
      <c r="H397" s="2">
        <v>45422</v>
      </c>
      <c r="I397" t="s">
        <v>32</v>
      </c>
      <c r="J397" t="s">
        <v>436</v>
      </c>
      <c r="K397" t="s">
        <v>29</v>
      </c>
    </row>
    <row r="398" spans="1:11">
      <c r="A398" t="s">
        <v>11</v>
      </c>
      <c r="B398" t="s">
        <v>51</v>
      </c>
      <c r="C398" t="s">
        <v>30</v>
      </c>
      <c r="D398" t="s">
        <v>21</v>
      </c>
      <c r="E398">
        <v>60</v>
      </c>
      <c r="F398">
        <v>1964</v>
      </c>
      <c r="G398" s="1">
        <v>38375</v>
      </c>
      <c r="H398" s="2">
        <v>45254</v>
      </c>
      <c r="I398" t="s">
        <v>16</v>
      </c>
      <c r="J398" t="s">
        <v>252</v>
      </c>
      <c r="K398" t="s">
        <v>18</v>
      </c>
    </row>
    <row r="399" spans="1:11">
      <c r="A399" t="s">
        <v>45</v>
      </c>
      <c r="B399" t="s">
        <v>49</v>
      </c>
      <c r="C399" t="s">
        <v>30</v>
      </c>
      <c r="D399" t="s">
        <v>14</v>
      </c>
      <c r="E399">
        <v>60</v>
      </c>
      <c r="F399">
        <v>764</v>
      </c>
      <c r="G399" s="1">
        <v>2858</v>
      </c>
      <c r="H399" s="2">
        <v>45163</v>
      </c>
      <c r="I399" t="s">
        <v>41</v>
      </c>
      <c r="J399" t="s">
        <v>437</v>
      </c>
      <c r="K399" t="s">
        <v>29</v>
      </c>
    </row>
    <row r="400" spans="1:11">
      <c r="A400" t="s">
        <v>64</v>
      </c>
      <c r="B400" t="s">
        <v>49</v>
      </c>
      <c r="C400" t="s">
        <v>59</v>
      </c>
      <c r="D400" t="s">
        <v>21</v>
      </c>
      <c r="E400">
        <v>30</v>
      </c>
      <c r="F400">
        <v>1326</v>
      </c>
      <c r="G400" s="1">
        <v>20696</v>
      </c>
      <c r="H400" s="2">
        <v>45454</v>
      </c>
      <c r="I400" t="s">
        <v>41</v>
      </c>
      <c r="J400" t="s">
        <v>438</v>
      </c>
      <c r="K400" t="s">
        <v>18</v>
      </c>
    </row>
    <row r="401" spans="1:11">
      <c r="A401" t="s">
        <v>24</v>
      </c>
      <c r="B401" t="s">
        <v>51</v>
      </c>
      <c r="C401" t="s">
        <v>20</v>
      </c>
      <c r="D401" t="s">
        <v>26</v>
      </c>
      <c r="E401" t="s">
        <v>15</v>
      </c>
      <c r="F401">
        <v>229</v>
      </c>
      <c r="G401" s="1">
        <v>17960</v>
      </c>
      <c r="H401" s="2">
        <v>45363</v>
      </c>
      <c r="I401" t="s">
        <v>32</v>
      </c>
      <c r="J401" t="s">
        <v>439</v>
      </c>
      <c r="K401" t="s">
        <v>18</v>
      </c>
    </row>
    <row r="402" spans="1:11">
      <c r="A402" t="s">
        <v>24</v>
      </c>
      <c r="B402" t="s">
        <v>36</v>
      </c>
      <c r="C402" t="s">
        <v>13</v>
      </c>
      <c r="D402" t="s">
        <v>26</v>
      </c>
      <c r="E402" t="s">
        <v>38</v>
      </c>
      <c r="F402">
        <v>1201</v>
      </c>
      <c r="G402" s="1">
        <v>15965</v>
      </c>
      <c r="H402" s="2">
        <v>45387</v>
      </c>
      <c r="I402" t="s">
        <v>16</v>
      </c>
      <c r="J402" t="s">
        <v>440</v>
      </c>
      <c r="K402" t="s">
        <v>18</v>
      </c>
    </row>
    <row r="403" spans="1:11">
      <c r="A403" t="s">
        <v>11</v>
      </c>
      <c r="B403" t="s">
        <v>36</v>
      </c>
      <c r="C403" t="s">
        <v>13</v>
      </c>
      <c r="D403" t="s">
        <v>21</v>
      </c>
      <c r="E403">
        <v>60</v>
      </c>
      <c r="F403">
        <v>498</v>
      </c>
      <c r="G403" s="1">
        <v>17227</v>
      </c>
      <c r="H403" s="2">
        <v>45382</v>
      </c>
      <c r="I403" t="s">
        <v>16</v>
      </c>
      <c r="J403" t="s">
        <v>441</v>
      </c>
      <c r="K403" t="s">
        <v>18</v>
      </c>
    </row>
    <row r="404" spans="1:11">
      <c r="A404" t="s">
        <v>24</v>
      </c>
      <c r="B404" t="s">
        <v>12</v>
      </c>
      <c r="C404" t="s">
        <v>25</v>
      </c>
      <c r="D404" t="s">
        <v>21</v>
      </c>
      <c r="E404">
        <v>60</v>
      </c>
      <c r="F404">
        <v>1171</v>
      </c>
      <c r="G404" s="1">
        <v>1301</v>
      </c>
      <c r="H404" s="2">
        <v>45202</v>
      </c>
      <c r="I404" t="s">
        <v>32</v>
      </c>
      <c r="J404" t="s">
        <v>442</v>
      </c>
      <c r="K404" t="s">
        <v>34</v>
      </c>
    </row>
    <row r="405" spans="1:11">
      <c r="A405" t="s">
        <v>64</v>
      </c>
      <c r="B405" t="s">
        <v>49</v>
      </c>
      <c r="C405" t="s">
        <v>30</v>
      </c>
      <c r="D405" t="s">
        <v>31</v>
      </c>
      <c r="E405">
        <v>30</v>
      </c>
      <c r="F405">
        <v>429</v>
      </c>
      <c r="G405" s="1">
        <v>1770</v>
      </c>
      <c r="H405" s="2">
        <v>45442</v>
      </c>
      <c r="I405" t="s">
        <v>39</v>
      </c>
      <c r="J405" t="s">
        <v>443</v>
      </c>
      <c r="K405" t="s">
        <v>47</v>
      </c>
    </row>
    <row r="406" spans="1:11">
      <c r="A406" t="s">
        <v>45</v>
      </c>
      <c r="B406" t="s">
        <v>51</v>
      </c>
      <c r="C406" t="s">
        <v>25</v>
      </c>
      <c r="D406" t="s">
        <v>26</v>
      </c>
      <c r="E406">
        <v>60</v>
      </c>
      <c r="F406">
        <v>149</v>
      </c>
      <c r="G406" s="1">
        <v>24712</v>
      </c>
      <c r="H406" s="2">
        <v>45497</v>
      </c>
      <c r="I406" t="s">
        <v>32</v>
      </c>
      <c r="J406" t="s">
        <v>444</v>
      </c>
      <c r="K406" t="s">
        <v>44</v>
      </c>
    </row>
    <row r="407" spans="1:11">
      <c r="A407" t="s">
        <v>11</v>
      </c>
      <c r="B407" t="s">
        <v>49</v>
      </c>
      <c r="C407" t="s">
        <v>20</v>
      </c>
      <c r="D407" t="s">
        <v>66</v>
      </c>
      <c r="E407">
        <v>60</v>
      </c>
      <c r="F407">
        <v>832</v>
      </c>
      <c r="G407" s="1">
        <v>41916</v>
      </c>
      <c r="H407" s="2">
        <v>45401</v>
      </c>
      <c r="I407" t="s">
        <v>16</v>
      </c>
      <c r="J407" t="s">
        <v>445</v>
      </c>
      <c r="K407" t="s">
        <v>44</v>
      </c>
    </row>
    <row r="408" spans="1:11">
      <c r="A408" t="s">
        <v>35</v>
      </c>
      <c r="B408" t="s">
        <v>19</v>
      </c>
      <c r="C408" t="s">
        <v>59</v>
      </c>
      <c r="D408" t="s">
        <v>21</v>
      </c>
      <c r="E408" t="s">
        <v>15</v>
      </c>
      <c r="F408">
        <v>324</v>
      </c>
      <c r="G408" s="1">
        <v>40529</v>
      </c>
      <c r="H408" s="2">
        <v>45154</v>
      </c>
      <c r="I408" t="s">
        <v>27</v>
      </c>
      <c r="J408" t="s">
        <v>446</v>
      </c>
      <c r="K408" t="s">
        <v>18</v>
      </c>
    </row>
    <row r="409" spans="1:11">
      <c r="A409" t="s">
        <v>24</v>
      </c>
      <c r="B409" t="s">
        <v>49</v>
      </c>
      <c r="C409" t="s">
        <v>25</v>
      </c>
      <c r="D409" t="s">
        <v>21</v>
      </c>
      <c r="E409" t="s">
        <v>38</v>
      </c>
      <c r="F409">
        <v>244</v>
      </c>
      <c r="G409" s="1">
        <v>34645</v>
      </c>
      <c r="H409" s="2">
        <v>45396</v>
      </c>
      <c r="I409" t="s">
        <v>16</v>
      </c>
      <c r="J409" t="s">
        <v>447</v>
      </c>
      <c r="K409" t="s">
        <v>18</v>
      </c>
    </row>
    <row r="410" spans="1:11">
      <c r="A410" t="s">
        <v>24</v>
      </c>
      <c r="B410" t="s">
        <v>51</v>
      </c>
      <c r="C410" t="s">
        <v>59</v>
      </c>
      <c r="D410" t="s">
        <v>26</v>
      </c>
      <c r="E410">
        <v>60</v>
      </c>
      <c r="F410">
        <v>298</v>
      </c>
      <c r="G410" s="1">
        <v>26167</v>
      </c>
      <c r="H410" s="2">
        <v>45247</v>
      </c>
      <c r="I410" t="s">
        <v>39</v>
      </c>
      <c r="J410" t="s">
        <v>448</v>
      </c>
      <c r="K410" t="s">
        <v>47</v>
      </c>
    </row>
    <row r="411" spans="1:11">
      <c r="A411" t="s">
        <v>24</v>
      </c>
      <c r="B411" t="s">
        <v>19</v>
      </c>
      <c r="C411" t="s">
        <v>59</v>
      </c>
      <c r="D411" t="s">
        <v>14</v>
      </c>
      <c r="E411">
        <v>30</v>
      </c>
      <c r="F411">
        <v>1148</v>
      </c>
      <c r="G411" s="1">
        <v>49962</v>
      </c>
      <c r="H411" s="2">
        <v>45282</v>
      </c>
      <c r="I411" t="s">
        <v>39</v>
      </c>
      <c r="J411" t="s">
        <v>449</v>
      </c>
      <c r="K411" t="s">
        <v>18</v>
      </c>
    </row>
    <row r="412" spans="1:11">
      <c r="A412" t="s">
        <v>24</v>
      </c>
      <c r="B412" t="s">
        <v>51</v>
      </c>
      <c r="C412" t="s">
        <v>59</v>
      </c>
      <c r="D412" t="s">
        <v>66</v>
      </c>
      <c r="E412">
        <v>60</v>
      </c>
      <c r="F412">
        <v>1090</v>
      </c>
      <c r="G412" s="1">
        <v>1972</v>
      </c>
      <c r="H412" s="2">
        <v>45291</v>
      </c>
      <c r="I412" t="s">
        <v>27</v>
      </c>
      <c r="J412" t="s">
        <v>450</v>
      </c>
      <c r="K412" t="s">
        <v>34</v>
      </c>
    </row>
    <row r="413" spans="1:11">
      <c r="A413" t="s">
        <v>11</v>
      </c>
      <c r="B413" t="s">
        <v>36</v>
      </c>
      <c r="C413" t="s">
        <v>30</v>
      </c>
      <c r="D413" t="s">
        <v>14</v>
      </c>
      <c r="E413" t="s">
        <v>22</v>
      </c>
      <c r="F413">
        <v>1944</v>
      </c>
      <c r="G413" s="1">
        <v>26394</v>
      </c>
      <c r="H413" s="2">
        <v>45413</v>
      </c>
      <c r="I413" t="s">
        <v>39</v>
      </c>
      <c r="J413" t="s">
        <v>451</v>
      </c>
      <c r="K413" t="s">
        <v>34</v>
      </c>
    </row>
    <row r="414" spans="1:11">
      <c r="A414" t="s">
        <v>24</v>
      </c>
      <c r="B414" t="s">
        <v>51</v>
      </c>
      <c r="C414" t="s">
        <v>30</v>
      </c>
      <c r="D414" t="s">
        <v>31</v>
      </c>
      <c r="E414">
        <v>30</v>
      </c>
      <c r="F414">
        <v>835</v>
      </c>
      <c r="G414" s="1">
        <v>30738</v>
      </c>
      <c r="H414" s="2">
        <v>45466</v>
      </c>
      <c r="I414" t="s">
        <v>27</v>
      </c>
      <c r="J414" t="s">
        <v>452</v>
      </c>
      <c r="K414" t="s">
        <v>47</v>
      </c>
    </row>
    <row r="415" spans="1:11">
      <c r="A415" t="s">
        <v>45</v>
      </c>
      <c r="B415" t="s">
        <v>36</v>
      </c>
      <c r="C415" t="s">
        <v>30</v>
      </c>
      <c r="D415" t="s">
        <v>31</v>
      </c>
      <c r="E415" t="s">
        <v>22</v>
      </c>
      <c r="F415">
        <v>1156</v>
      </c>
      <c r="G415" s="1">
        <v>38835</v>
      </c>
      <c r="H415" s="2">
        <v>45396</v>
      </c>
      <c r="I415" t="s">
        <v>39</v>
      </c>
      <c r="J415" t="s">
        <v>453</v>
      </c>
      <c r="K415" t="s">
        <v>34</v>
      </c>
    </row>
    <row r="416" spans="1:11">
      <c r="A416" t="s">
        <v>35</v>
      </c>
      <c r="B416" t="s">
        <v>51</v>
      </c>
      <c r="C416" t="s">
        <v>20</v>
      </c>
      <c r="D416" t="s">
        <v>21</v>
      </c>
      <c r="E416">
        <v>60</v>
      </c>
      <c r="F416">
        <v>728</v>
      </c>
      <c r="G416" s="1">
        <v>11807</v>
      </c>
      <c r="H416" s="2">
        <v>45299</v>
      </c>
      <c r="I416" t="s">
        <v>32</v>
      </c>
      <c r="J416" t="s">
        <v>454</v>
      </c>
      <c r="K416" t="s">
        <v>34</v>
      </c>
    </row>
    <row r="417" spans="1:11">
      <c r="A417" t="s">
        <v>24</v>
      </c>
      <c r="B417" t="s">
        <v>51</v>
      </c>
      <c r="C417" t="s">
        <v>59</v>
      </c>
      <c r="D417" t="s">
        <v>66</v>
      </c>
      <c r="E417" t="s">
        <v>22</v>
      </c>
      <c r="F417">
        <v>1706</v>
      </c>
      <c r="G417" s="1">
        <v>30997</v>
      </c>
      <c r="H417" s="2">
        <v>45238</v>
      </c>
      <c r="I417" t="s">
        <v>16</v>
      </c>
      <c r="J417" t="s">
        <v>455</v>
      </c>
      <c r="K417" t="s">
        <v>44</v>
      </c>
    </row>
    <row r="418" spans="1:11">
      <c r="A418" t="s">
        <v>11</v>
      </c>
      <c r="B418" t="s">
        <v>12</v>
      </c>
      <c r="C418" t="s">
        <v>20</v>
      </c>
      <c r="D418" t="s">
        <v>31</v>
      </c>
      <c r="E418">
        <v>60</v>
      </c>
      <c r="F418">
        <v>1281</v>
      </c>
      <c r="G418" s="1">
        <v>18807</v>
      </c>
      <c r="H418" s="2">
        <v>45476</v>
      </c>
      <c r="I418" t="s">
        <v>39</v>
      </c>
      <c r="J418" t="s">
        <v>456</v>
      </c>
      <c r="K418" t="s">
        <v>18</v>
      </c>
    </row>
    <row r="419" spans="1:11">
      <c r="A419" t="s">
        <v>45</v>
      </c>
      <c r="B419" t="s">
        <v>51</v>
      </c>
      <c r="C419" t="s">
        <v>25</v>
      </c>
      <c r="D419" t="s">
        <v>14</v>
      </c>
      <c r="E419">
        <v>30</v>
      </c>
      <c r="F419">
        <v>1507</v>
      </c>
      <c r="G419" s="1">
        <v>30246</v>
      </c>
      <c r="H419" s="2">
        <v>45424</v>
      </c>
      <c r="I419" t="s">
        <v>41</v>
      </c>
      <c r="J419" t="s">
        <v>457</v>
      </c>
      <c r="K419" t="s">
        <v>34</v>
      </c>
    </row>
    <row r="420" spans="1:11">
      <c r="A420" t="s">
        <v>35</v>
      </c>
      <c r="B420" t="s">
        <v>12</v>
      </c>
      <c r="C420" t="s">
        <v>20</v>
      </c>
      <c r="D420" t="s">
        <v>14</v>
      </c>
      <c r="E420" t="s">
        <v>38</v>
      </c>
      <c r="F420">
        <v>1337</v>
      </c>
      <c r="G420" s="1">
        <v>1231</v>
      </c>
      <c r="H420" s="2">
        <v>45190</v>
      </c>
      <c r="I420" t="s">
        <v>39</v>
      </c>
      <c r="J420" t="s">
        <v>458</v>
      </c>
      <c r="K420" t="s">
        <v>34</v>
      </c>
    </row>
    <row r="421" spans="1:11">
      <c r="A421" t="s">
        <v>24</v>
      </c>
      <c r="B421" t="s">
        <v>51</v>
      </c>
      <c r="C421" t="s">
        <v>25</v>
      </c>
      <c r="D421" t="s">
        <v>14</v>
      </c>
      <c r="E421">
        <v>60</v>
      </c>
      <c r="F421">
        <v>483</v>
      </c>
      <c r="G421" s="1">
        <v>10434</v>
      </c>
      <c r="H421" s="2">
        <v>45394</v>
      </c>
      <c r="I421" t="s">
        <v>32</v>
      </c>
      <c r="J421" t="s">
        <v>459</v>
      </c>
      <c r="K421" t="s">
        <v>47</v>
      </c>
    </row>
    <row r="422" spans="1:11">
      <c r="A422" t="s">
        <v>24</v>
      </c>
      <c r="B422" t="s">
        <v>19</v>
      </c>
      <c r="C422" t="s">
        <v>30</v>
      </c>
      <c r="D422" t="s">
        <v>66</v>
      </c>
      <c r="E422" t="s">
        <v>15</v>
      </c>
      <c r="F422">
        <v>1562</v>
      </c>
      <c r="G422" s="1">
        <v>4538</v>
      </c>
      <c r="H422" s="2">
        <v>45257</v>
      </c>
      <c r="I422" t="s">
        <v>39</v>
      </c>
      <c r="J422" t="s">
        <v>460</v>
      </c>
      <c r="K422" t="s">
        <v>47</v>
      </c>
    </row>
    <row r="423" spans="1:11">
      <c r="A423" t="s">
        <v>45</v>
      </c>
      <c r="B423" t="s">
        <v>49</v>
      </c>
      <c r="C423" t="s">
        <v>59</v>
      </c>
      <c r="D423" t="s">
        <v>66</v>
      </c>
      <c r="E423" t="s">
        <v>15</v>
      </c>
      <c r="F423">
        <v>1893</v>
      </c>
      <c r="G423" s="1">
        <v>10971</v>
      </c>
      <c r="H423" s="2">
        <v>45300</v>
      </c>
      <c r="I423" t="s">
        <v>27</v>
      </c>
      <c r="J423" t="s">
        <v>461</v>
      </c>
      <c r="K423" t="s">
        <v>18</v>
      </c>
    </row>
    <row r="424" spans="1:11">
      <c r="A424" t="s">
        <v>11</v>
      </c>
      <c r="B424" t="s">
        <v>19</v>
      </c>
      <c r="C424" t="s">
        <v>13</v>
      </c>
      <c r="D424" t="s">
        <v>31</v>
      </c>
      <c r="E424" t="s">
        <v>38</v>
      </c>
      <c r="F424">
        <v>368</v>
      </c>
      <c r="G424" s="1">
        <v>16546</v>
      </c>
      <c r="H424" s="2">
        <v>45366</v>
      </c>
      <c r="I424" t="s">
        <v>32</v>
      </c>
      <c r="J424" t="s">
        <v>462</v>
      </c>
      <c r="K424" t="s">
        <v>29</v>
      </c>
    </row>
    <row r="425" spans="1:11">
      <c r="A425" t="s">
        <v>45</v>
      </c>
      <c r="B425" t="s">
        <v>51</v>
      </c>
      <c r="C425" t="s">
        <v>20</v>
      </c>
      <c r="D425" t="s">
        <v>26</v>
      </c>
      <c r="E425" t="s">
        <v>15</v>
      </c>
      <c r="F425">
        <v>1781</v>
      </c>
      <c r="G425" s="1">
        <v>2138</v>
      </c>
      <c r="H425" s="2">
        <v>45321</v>
      </c>
      <c r="I425" t="s">
        <v>39</v>
      </c>
      <c r="J425" t="s">
        <v>463</v>
      </c>
      <c r="K425" t="s">
        <v>29</v>
      </c>
    </row>
    <row r="426" spans="1:11">
      <c r="A426" t="s">
        <v>64</v>
      </c>
      <c r="B426" t="s">
        <v>19</v>
      </c>
      <c r="C426" t="s">
        <v>30</v>
      </c>
      <c r="D426" t="s">
        <v>66</v>
      </c>
      <c r="E426">
        <v>30</v>
      </c>
      <c r="F426">
        <v>440</v>
      </c>
      <c r="G426" s="1">
        <v>20986</v>
      </c>
      <c r="H426" s="2">
        <v>45219</v>
      </c>
      <c r="I426" t="s">
        <v>32</v>
      </c>
      <c r="J426" t="s">
        <v>464</v>
      </c>
      <c r="K426" t="s">
        <v>18</v>
      </c>
    </row>
    <row r="427" spans="1:11">
      <c r="A427" t="s">
        <v>24</v>
      </c>
      <c r="B427" t="s">
        <v>51</v>
      </c>
      <c r="C427" t="s">
        <v>59</v>
      </c>
      <c r="D427" t="s">
        <v>14</v>
      </c>
      <c r="E427" t="s">
        <v>22</v>
      </c>
      <c r="F427">
        <v>214</v>
      </c>
      <c r="G427" s="1">
        <v>43574</v>
      </c>
      <c r="H427" s="2">
        <v>45212</v>
      </c>
      <c r="I427" t="s">
        <v>41</v>
      </c>
      <c r="J427" t="s">
        <v>465</v>
      </c>
      <c r="K427" t="s">
        <v>34</v>
      </c>
    </row>
    <row r="428" spans="1:11">
      <c r="A428" t="s">
        <v>11</v>
      </c>
      <c r="B428" t="s">
        <v>12</v>
      </c>
      <c r="C428" t="s">
        <v>13</v>
      </c>
      <c r="D428" t="s">
        <v>21</v>
      </c>
      <c r="E428">
        <v>30</v>
      </c>
      <c r="F428">
        <v>472</v>
      </c>
      <c r="G428" s="1">
        <v>19038</v>
      </c>
      <c r="H428" s="2">
        <v>45431</v>
      </c>
      <c r="I428" t="s">
        <v>41</v>
      </c>
      <c r="J428" t="s">
        <v>466</v>
      </c>
      <c r="K428" t="s">
        <v>18</v>
      </c>
    </row>
    <row r="429" spans="1:11">
      <c r="A429" t="s">
        <v>11</v>
      </c>
      <c r="B429" t="s">
        <v>12</v>
      </c>
      <c r="C429" t="s">
        <v>13</v>
      </c>
      <c r="D429" t="s">
        <v>26</v>
      </c>
      <c r="E429">
        <v>30</v>
      </c>
      <c r="F429">
        <v>1484</v>
      </c>
      <c r="G429" s="1">
        <v>29949</v>
      </c>
      <c r="H429" s="2">
        <v>45388</v>
      </c>
      <c r="I429" t="s">
        <v>27</v>
      </c>
      <c r="J429" t="s">
        <v>467</v>
      </c>
      <c r="K429" t="s">
        <v>47</v>
      </c>
    </row>
    <row r="430" spans="1:11">
      <c r="A430" t="s">
        <v>35</v>
      </c>
      <c r="B430" t="s">
        <v>19</v>
      </c>
      <c r="C430" t="s">
        <v>13</v>
      </c>
      <c r="D430" t="s">
        <v>66</v>
      </c>
      <c r="E430" t="s">
        <v>22</v>
      </c>
      <c r="F430">
        <v>914</v>
      </c>
      <c r="G430" s="1">
        <v>34019</v>
      </c>
      <c r="H430" s="2">
        <v>45153</v>
      </c>
      <c r="I430" t="s">
        <v>41</v>
      </c>
      <c r="J430" t="s">
        <v>468</v>
      </c>
      <c r="K430" t="s">
        <v>34</v>
      </c>
    </row>
    <row r="431" spans="1:11">
      <c r="A431" t="s">
        <v>35</v>
      </c>
      <c r="B431" t="s">
        <v>49</v>
      </c>
      <c r="C431" t="s">
        <v>25</v>
      </c>
      <c r="D431" t="s">
        <v>31</v>
      </c>
      <c r="E431" t="s">
        <v>22</v>
      </c>
      <c r="F431">
        <v>1423</v>
      </c>
      <c r="G431" s="1">
        <v>36260</v>
      </c>
      <c r="H431" s="2">
        <v>45238</v>
      </c>
      <c r="I431" t="s">
        <v>39</v>
      </c>
      <c r="J431" t="s">
        <v>469</v>
      </c>
      <c r="K431" t="s">
        <v>34</v>
      </c>
    </row>
    <row r="432" spans="1:11">
      <c r="A432" t="s">
        <v>45</v>
      </c>
      <c r="B432" t="s">
        <v>51</v>
      </c>
      <c r="C432" t="s">
        <v>13</v>
      </c>
      <c r="D432" t="s">
        <v>21</v>
      </c>
      <c r="E432">
        <v>60</v>
      </c>
      <c r="F432">
        <v>1566</v>
      </c>
      <c r="G432" s="1">
        <v>16223</v>
      </c>
      <c r="H432" s="2">
        <v>45324</v>
      </c>
      <c r="I432" t="s">
        <v>41</v>
      </c>
      <c r="J432" t="s">
        <v>470</v>
      </c>
      <c r="K432" t="s">
        <v>47</v>
      </c>
    </row>
    <row r="433" spans="1:11">
      <c r="A433" t="s">
        <v>35</v>
      </c>
      <c r="B433" t="s">
        <v>51</v>
      </c>
      <c r="C433" t="s">
        <v>59</v>
      </c>
      <c r="D433" t="s">
        <v>31</v>
      </c>
      <c r="E433">
        <v>30</v>
      </c>
      <c r="F433">
        <v>908</v>
      </c>
      <c r="G433" s="1">
        <v>43749</v>
      </c>
      <c r="H433" s="2">
        <v>45221</v>
      </c>
      <c r="I433" t="s">
        <v>27</v>
      </c>
      <c r="J433" t="s">
        <v>471</v>
      </c>
      <c r="K433" t="s">
        <v>44</v>
      </c>
    </row>
    <row r="434" spans="1:11">
      <c r="A434" t="s">
        <v>45</v>
      </c>
      <c r="B434" t="s">
        <v>19</v>
      </c>
      <c r="C434" t="s">
        <v>13</v>
      </c>
      <c r="D434" t="s">
        <v>66</v>
      </c>
      <c r="E434">
        <v>60</v>
      </c>
      <c r="F434">
        <v>1387</v>
      </c>
      <c r="G434" s="1">
        <v>44173</v>
      </c>
      <c r="H434" s="2">
        <v>45475</v>
      </c>
      <c r="I434" t="s">
        <v>41</v>
      </c>
      <c r="J434" t="s">
        <v>472</v>
      </c>
      <c r="K434" t="s">
        <v>34</v>
      </c>
    </row>
    <row r="435" spans="1:11">
      <c r="A435" t="s">
        <v>35</v>
      </c>
      <c r="B435" t="s">
        <v>36</v>
      </c>
      <c r="C435" t="s">
        <v>25</v>
      </c>
      <c r="D435" t="s">
        <v>66</v>
      </c>
      <c r="E435">
        <v>60</v>
      </c>
      <c r="F435">
        <v>755</v>
      </c>
      <c r="G435" s="1">
        <v>34127</v>
      </c>
      <c r="H435" s="2">
        <v>45238</v>
      </c>
      <c r="I435" t="s">
        <v>16</v>
      </c>
      <c r="J435" t="s">
        <v>473</v>
      </c>
      <c r="K435" t="s">
        <v>34</v>
      </c>
    </row>
    <row r="436" spans="1:11">
      <c r="A436" t="s">
        <v>45</v>
      </c>
      <c r="B436" t="s">
        <v>36</v>
      </c>
      <c r="C436" t="s">
        <v>25</v>
      </c>
      <c r="D436" t="s">
        <v>21</v>
      </c>
      <c r="E436" t="s">
        <v>22</v>
      </c>
      <c r="F436">
        <v>1434</v>
      </c>
      <c r="G436" s="1">
        <v>43000</v>
      </c>
      <c r="H436" s="2">
        <v>45316</v>
      </c>
      <c r="I436" t="s">
        <v>32</v>
      </c>
      <c r="J436" t="s">
        <v>474</v>
      </c>
      <c r="K436" t="s">
        <v>47</v>
      </c>
    </row>
    <row r="437" spans="1:11">
      <c r="A437" t="s">
        <v>11</v>
      </c>
      <c r="B437" t="s">
        <v>51</v>
      </c>
      <c r="C437" t="s">
        <v>59</v>
      </c>
      <c r="D437" t="s">
        <v>26</v>
      </c>
      <c r="E437" t="s">
        <v>38</v>
      </c>
      <c r="F437">
        <v>1286</v>
      </c>
      <c r="G437" s="1">
        <v>1777</v>
      </c>
      <c r="H437" s="2">
        <v>45233</v>
      </c>
      <c r="I437" t="s">
        <v>39</v>
      </c>
      <c r="J437" t="s">
        <v>475</v>
      </c>
      <c r="K437" t="s">
        <v>29</v>
      </c>
    </row>
    <row r="438" spans="1:11">
      <c r="A438" t="s">
        <v>64</v>
      </c>
      <c r="B438" t="s">
        <v>36</v>
      </c>
      <c r="C438" t="s">
        <v>30</v>
      </c>
      <c r="D438" t="s">
        <v>21</v>
      </c>
      <c r="E438">
        <v>60</v>
      </c>
      <c r="F438">
        <v>992</v>
      </c>
      <c r="G438" s="1">
        <v>4119</v>
      </c>
      <c r="H438" s="2">
        <v>45357</v>
      </c>
      <c r="I438" t="s">
        <v>32</v>
      </c>
      <c r="J438" t="s">
        <v>476</v>
      </c>
      <c r="K438" t="s">
        <v>29</v>
      </c>
    </row>
    <row r="439" spans="1:11">
      <c r="A439" t="s">
        <v>11</v>
      </c>
      <c r="B439" t="s">
        <v>51</v>
      </c>
      <c r="C439" t="s">
        <v>30</v>
      </c>
      <c r="D439" t="s">
        <v>14</v>
      </c>
      <c r="E439">
        <v>60</v>
      </c>
      <c r="F439">
        <v>130</v>
      </c>
      <c r="G439" s="1">
        <v>37525</v>
      </c>
      <c r="H439" s="2">
        <v>45415</v>
      </c>
      <c r="I439" t="s">
        <v>32</v>
      </c>
      <c r="J439" t="s">
        <v>477</v>
      </c>
      <c r="K439" t="s">
        <v>29</v>
      </c>
    </row>
    <row r="440" spans="1:11">
      <c r="A440" t="s">
        <v>35</v>
      </c>
      <c r="B440" t="s">
        <v>12</v>
      </c>
      <c r="C440" t="s">
        <v>13</v>
      </c>
      <c r="D440" t="s">
        <v>14</v>
      </c>
      <c r="E440" t="s">
        <v>38</v>
      </c>
      <c r="F440">
        <v>1575</v>
      </c>
      <c r="G440" s="1">
        <v>15314</v>
      </c>
      <c r="H440" s="2">
        <v>45141</v>
      </c>
      <c r="I440" t="s">
        <v>39</v>
      </c>
      <c r="J440" t="s">
        <v>478</v>
      </c>
      <c r="K440" t="s">
        <v>34</v>
      </c>
    </row>
    <row r="441" spans="1:11">
      <c r="A441" t="s">
        <v>45</v>
      </c>
      <c r="B441" t="s">
        <v>49</v>
      </c>
      <c r="C441" t="s">
        <v>13</v>
      </c>
      <c r="D441" t="s">
        <v>14</v>
      </c>
      <c r="E441">
        <v>30</v>
      </c>
      <c r="F441">
        <v>634</v>
      </c>
      <c r="G441" s="1">
        <v>28930</v>
      </c>
      <c r="H441" s="2">
        <v>45164</v>
      </c>
      <c r="I441" t="s">
        <v>41</v>
      </c>
      <c r="J441" t="s">
        <v>479</v>
      </c>
      <c r="K441" t="s">
        <v>44</v>
      </c>
    </row>
    <row r="442" spans="1:11">
      <c r="A442" t="s">
        <v>35</v>
      </c>
      <c r="B442" t="s">
        <v>12</v>
      </c>
      <c r="C442" t="s">
        <v>20</v>
      </c>
      <c r="D442" t="s">
        <v>66</v>
      </c>
      <c r="E442" t="s">
        <v>22</v>
      </c>
      <c r="F442">
        <v>937</v>
      </c>
      <c r="G442" s="1">
        <v>1592</v>
      </c>
      <c r="H442" s="2">
        <v>45255</v>
      </c>
      <c r="I442" t="s">
        <v>27</v>
      </c>
      <c r="J442" t="s">
        <v>480</v>
      </c>
      <c r="K442" t="s">
        <v>29</v>
      </c>
    </row>
    <row r="443" spans="1:11">
      <c r="A443" t="s">
        <v>45</v>
      </c>
      <c r="B443" t="s">
        <v>12</v>
      </c>
      <c r="C443" t="s">
        <v>30</v>
      </c>
      <c r="D443" t="s">
        <v>14</v>
      </c>
      <c r="E443">
        <v>60</v>
      </c>
      <c r="F443">
        <v>653</v>
      </c>
      <c r="G443" s="1">
        <v>40612</v>
      </c>
      <c r="H443" s="2">
        <v>45210</v>
      </c>
      <c r="I443" t="s">
        <v>16</v>
      </c>
      <c r="J443" t="s">
        <v>481</v>
      </c>
      <c r="K443" t="s">
        <v>18</v>
      </c>
    </row>
    <row r="444" spans="1:11">
      <c r="A444" t="s">
        <v>24</v>
      </c>
      <c r="B444" t="s">
        <v>12</v>
      </c>
      <c r="C444" t="s">
        <v>20</v>
      </c>
      <c r="D444" t="s">
        <v>21</v>
      </c>
      <c r="E444">
        <v>30</v>
      </c>
      <c r="F444">
        <v>924</v>
      </c>
      <c r="G444" s="1">
        <v>12763</v>
      </c>
      <c r="H444" s="2">
        <v>45288</v>
      </c>
      <c r="I444" t="s">
        <v>39</v>
      </c>
      <c r="J444" t="s">
        <v>482</v>
      </c>
      <c r="K444" t="s">
        <v>44</v>
      </c>
    </row>
    <row r="445" spans="1:11">
      <c r="A445" t="s">
        <v>45</v>
      </c>
      <c r="B445" t="s">
        <v>51</v>
      </c>
      <c r="C445" t="s">
        <v>30</v>
      </c>
      <c r="D445" t="s">
        <v>14</v>
      </c>
      <c r="E445" t="s">
        <v>38</v>
      </c>
      <c r="F445">
        <v>1480</v>
      </c>
      <c r="G445" s="1">
        <v>22509</v>
      </c>
      <c r="H445" s="2">
        <v>45278</v>
      </c>
      <c r="I445" t="s">
        <v>27</v>
      </c>
      <c r="J445" t="s">
        <v>483</v>
      </c>
      <c r="K445" t="s">
        <v>44</v>
      </c>
    </row>
    <row r="446" spans="1:11">
      <c r="A446" t="s">
        <v>11</v>
      </c>
      <c r="B446" t="s">
        <v>19</v>
      </c>
      <c r="C446" t="s">
        <v>20</v>
      </c>
      <c r="D446" t="s">
        <v>26</v>
      </c>
      <c r="E446">
        <v>30</v>
      </c>
      <c r="F446">
        <v>1069</v>
      </c>
      <c r="G446" s="1">
        <v>20868</v>
      </c>
      <c r="H446" s="2">
        <v>45389</v>
      </c>
      <c r="I446" t="s">
        <v>39</v>
      </c>
      <c r="J446" t="s">
        <v>484</v>
      </c>
      <c r="K446" t="s">
        <v>47</v>
      </c>
    </row>
    <row r="447" spans="1:11">
      <c r="A447" t="s">
        <v>11</v>
      </c>
      <c r="B447" t="s">
        <v>12</v>
      </c>
      <c r="C447" t="s">
        <v>59</v>
      </c>
      <c r="D447" t="s">
        <v>66</v>
      </c>
      <c r="E447">
        <v>30</v>
      </c>
      <c r="F447">
        <v>1480</v>
      </c>
      <c r="G447" s="1">
        <v>28254</v>
      </c>
      <c r="H447" s="2">
        <v>45456</v>
      </c>
      <c r="I447" t="s">
        <v>32</v>
      </c>
      <c r="J447" t="s">
        <v>485</v>
      </c>
      <c r="K447" t="s">
        <v>47</v>
      </c>
    </row>
    <row r="448" spans="1:11">
      <c r="A448" t="s">
        <v>24</v>
      </c>
      <c r="B448" t="s">
        <v>12</v>
      </c>
      <c r="C448" t="s">
        <v>30</v>
      </c>
      <c r="D448" t="s">
        <v>26</v>
      </c>
      <c r="E448" t="s">
        <v>22</v>
      </c>
      <c r="F448">
        <v>1744</v>
      </c>
      <c r="G448" s="1">
        <v>47553</v>
      </c>
      <c r="H448" s="2">
        <v>45144</v>
      </c>
      <c r="I448" t="s">
        <v>41</v>
      </c>
      <c r="J448" t="s">
        <v>486</v>
      </c>
      <c r="K448" t="s">
        <v>47</v>
      </c>
    </row>
    <row r="449" spans="1:11">
      <c r="A449" t="s">
        <v>24</v>
      </c>
      <c r="B449" t="s">
        <v>49</v>
      </c>
      <c r="C449" t="s">
        <v>30</v>
      </c>
      <c r="D449" t="s">
        <v>66</v>
      </c>
      <c r="E449">
        <v>30</v>
      </c>
      <c r="F449">
        <v>343</v>
      </c>
      <c r="G449" s="1">
        <v>15580</v>
      </c>
      <c r="H449" s="2">
        <v>45175</v>
      </c>
      <c r="I449" t="s">
        <v>32</v>
      </c>
      <c r="J449" t="s">
        <v>487</v>
      </c>
      <c r="K449" t="s">
        <v>18</v>
      </c>
    </row>
    <row r="450" spans="1:11">
      <c r="A450" t="s">
        <v>24</v>
      </c>
      <c r="B450" t="s">
        <v>36</v>
      </c>
      <c r="C450" t="s">
        <v>20</v>
      </c>
      <c r="D450" t="s">
        <v>14</v>
      </c>
      <c r="E450" t="s">
        <v>15</v>
      </c>
      <c r="F450">
        <v>1448</v>
      </c>
      <c r="G450" s="1">
        <v>36442</v>
      </c>
      <c r="H450" s="2">
        <v>45450</v>
      </c>
      <c r="I450" t="s">
        <v>41</v>
      </c>
      <c r="J450" t="s">
        <v>488</v>
      </c>
      <c r="K450" t="s">
        <v>18</v>
      </c>
    </row>
    <row r="451" spans="1:11">
      <c r="A451" t="s">
        <v>45</v>
      </c>
      <c r="B451" t="s">
        <v>51</v>
      </c>
      <c r="C451" t="s">
        <v>30</v>
      </c>
      <c r="D451" t="s">
        <v>14</v>
      </c>
      <c r="E451" t="s">
        <v>15</v>
      </c>
      <c r="F451">
        <v>1484</v>
      </c>
      <c r="G451" s="1">
        <v>24252</v>
      </c>
      <c r="H451" s="2">
        <v>45160</v>
      </c>
      <c r="I451" t="s">
        <v>32</v>
      </c>
      <c r="J451" t="s">
        <v>489</v>
      </c>
      <c r="K451" t="s">
        <v>34</v>
      </c>
    </row>
    <row r="452" spans="1:11">
      <c r="A452" t="s">
        <v>35</v>
      </c>
      <c r="B452" t="s">
        <v>51</v>
      </c>
      <c r="C452" t="s">
        <v>30</v>
      </c>
      <c r="D452" t="s">
        <v>14</v>
      </c>
      <c r="E452" t="s">
        <v>15</v>
      </c>
      <c r="F452">
        <v>646</v>
      </c>
      <c r="G452" s="1">
        <v>39816</v>
      </c>
      <c r="H452" s="2">
        <v>45372</v>
      </c>
      <c r="I452" t="s">
        <v>16</v>
      </c>
      <c r="J452" t="s">
        <v>490</v>
      </c>
      <c r="K452" t="s">
        <v>47</v>
      </c>
    </row>
    <row r="453" spans="1:11">
      <c r="A453" t="s">
        <v>11</v>
      </c>
      <c r="B453" t="s">
        <v>12</v>
      </c>
      <c r="C453" t="s">
        <v>30</v>
      </c>
      <c r="D453" t="s">
        <v>21</v>
      </c>
      <c r="E453" t="s">
        <v>22</v>
      </c>
      <c r="F453">
        <v>873</v>
      </c>
      <c r="G453" s="1">
        <v>19598</v>
      </c>
      <c r="H453" s="2">
        <v>45378</v>
      </c>
      <c r="I453" t="s">
        <v>16</v>
      </c>
      <c r="J453" t="s">
        <v>491</v>
      </c>
      <c r="K453" t="s">
        <v>18</v>
      </c>
    </row>
    <row r="454" spans="1:11">
      <c r="A454" t="s">
        <v>64</v>
      </c>
      <c r="B454" t="s">
        <v>51</v>
      </c>
      <c r="C454" t="s">
        <v>30</v>
      </c>
      <c r="D454" t="s">
        <v>21</v>
      </c>
      <c r="E454" t="s">
        <v>38</v>
      </c>
      <c r="F454">
        <v>507</v>
      </c>
      <c r="G454" s="1">
        <v>2658</v>
      </c>
      <c r="H454" s="2">
        <v>45247</v>
      </c>
      <c r="I454" t="s">
        <v>39</v>
      </c>
      <c r="J454" t="s">
        <v>492</v>
      </c>
      <c r="K454" t="s">
        <v>18</v>
      </c>
    </row>
    <row r="455" spans="1:11">
      <c r="A455" t="s">
        <v>24</v>
      </c>
      <c r="B455" t="s">
        <v>51</v>
      </c>
      <c r="C455" t="s">
        <v>30</v>
      </c>
      <c r="D455" t="s">
        <v>14</v>
      </c>
      <c r="E455">
        <v>30</v>
      </c>
      <c r="F455">
        <v>1465</v>
      </c>
      <c r="G455" s="1">
        <v>22742</v>
      </c>
      <c r="H455" s="2">
        <v>45462</v>
      </c>
      <c r="I455" t="s">
        <v>41</v>
      </c>
      <c r="J455" t="s">
        <v>493</v>
      </c>
      <c r="K455" t="s">
        <v>18</v>
      </c>
    </row>
    <row r="456" spans="1:11">
      <c r="A456" t="s">
        <v>11</v>
      </c>
      <c r="B456" t="s">
        <v>51</v>
      </c>
      <c r="C456" t="s">
        <v>13</v>
      </c>
      <c r="D456" t="s">
        <v>66</v>
      </c>
      <c r="E456" t="s">
        <v>15</v>
      </c>
      <c r="F456">
        <v>917</v>
      </c>
      <c r="G456" s="1">
        <v>16758</v>
      </c>
      <c r="H456" s="2">
        <v>45349</v>
      </c>
      <c r="I456" t="s">
        <v>39</v>
      </c>
      <c r="J456" t="s">
        <v>494</v>
      </c>
      <c r="K456" t="s">
        <v>29</v>
      </c>
    </row>
    <row r="457" spans="1:11">
      <c r="A457" t="s">
        <v>24</v>
      </c>
      <c r="B457" t="s">
        <v>12</v>
      </c>
      <c r="C457" t="s">
        <v>20</v>
      </c>
      <c r="D457" t="s">
        <v>21</v>
      </c>
      <c r="E457" t="s">
        <v>15</v>
      </c>
      <c r="F457">
        <v>450</v>
      </c>
      <c r="G457" s="1">
        <v>4842</v>
      </c>
      <c r="H457" s="2">
        <v>45403</v>
      </c>
      <c r="I457" t="s">
        <v>32</v>
      </c>
      <c r="J457" t="s">
        <v>495</v>
      </c>
      <c r="K457" t="s">
        <v>34</v>
      </c>
    </row>
    <row r="458" spans="1:11">
      <c r="A458" t="s">
        <v>64</v>
      </c>
      <c r="B458" t="s">
        <v>36</v>
      </c>
      <c r="C458" t="s">
        <v>59</v>
      </c>
      <c r="D458" t="s">
        <v>14</v>
      </c>
      <c r="E458">
        <v>60</v>
      </c>
      <c r="F458">
        <v>1036</v>
      </c>
      <c r="G458" s="1">
        <v>28098</v>
      </c>
      <c r="H458" s="2">
        <v>45201</v>
      </c>
      <c r="I458" t="s">
        <v>16</v>
      </c>
      <c r="J458" t="s">
        <v>496</v>
      </c>
      <c r="K458" t="s">
        <v>18</v>
      </c>
    </row>
    <row r="459" spans="1:11">
      <c r="A459" t="s">
        <v>64</v>
      </c>
      <c r="B459" t="s">
        <v>12</v>
      </c>
      <c r="C459" t="s">
        <v>13</v>
      </c>
      <c r="D459" t="s">
        <v>26</v>
      </c>
      <c r="E459">
        <v>30</v>
      </c>
      <c r="F459">
        <v>355</v>
      </c>
      <c r="G459" s="1">
        <v>16758</v>
      </c>
      <c r="H459" s="2">
        <v>45203</v>
      </c>
      <c r="I459" t="s">
        <v>32</v>
      </c>
      <c r="J459" t="s">
        <v>497</v>
      </c>
      <c r="K459" t="s">
        <v>44</v>
      </c>
    </row>
    <row r="460" spans="1:11">
      <c r="A460" t="s">
        <v>24</v>
      </c>
      <c r="B460" t="s">
        <v>49</v>
      </c>
      <c r="C460" t="s">
        <v>25</v>
      </c>
      <c r="D460" t="s">
        <v>31</v>
      </c>
      <c r="E460" t="s">
        <v>38</v>
      </c>
      <c r="F460">
        <v>159</v>
      </c>
      <c r="G460" s="1">
        <v>10132</v>
      </c>
      <c r="H460" s="2">
        <v>45212</v>
      </c>
      <c r="I460" t="s">
        <v>41</v>
      </c>
      <c r="J460" t="s">
        <v>498</v>
      </c>
      <c r="K460" t="s">
        <v>34</v>
      </c>
    </row>
    <row r="461" spans="1:11">
      <c r="A461" t="s">
        <v>35</v>
      </c>
      <c r="B461" t="s">
        <v>36</v>
      </c>
      <c r="C461" t="s">
        <v>30</v>
      </c>
      <c r="D461" t="s">
        <v>14</v>
      </c>
      <c r="E461">
        <v>30</v>
      </c>
      <c r="F461">
        <v>1835</v>
      </c>
      <c r="G461" s="1">
        <v>48131</v>
      </c>
      <c r="H461" s="2">
        <v>45403</v>
      </c>
      <c r="I461" t="s">
        <v>16</v>
      </c>
      <c r="J461" t="s">
        <v>499</v>
      </c>
      <c r="K461" t="s">
        <v>34</v>
      </c>
    </row>
    <row r="462" spans="1:11">
      <c r="A462" t="s">
        <v>24</v>
      </c>
      <c r="B462" t="s">
        <v>49</v>
      </c>
      <c r="C462" t="s">
        <v>13</v>
      </c>
      <c r="D462" t="s">
        <v>26</v>
      </c>
      <c r="E462">
        <v>30</v>
      </c>
      <c r="F462">
        <v>345</v>
      </c>
      <c r="G462" s="1">
        <v>23783</v>
      </c>
      <c r="H462" s="2">
        <v>45214</v>
      </c>
      <c r="I462" t="s">
        <v>41</v>
      </c>
      <c r="J462" t="s">
        <v>500</v>
      </c>
      <c r="K462" t="s">
        <v>44</v>
      </c>
    </row>
    <row r="463" spans="1:11">
      <c r="A463" t="s">
        <v>35</v>
      </c>
      <c r="B463" t="s">
        <v>51</v>
      </c>
      <c r="C463" t="s">
        <v>25</v>
      </c>
      <c r="D463" t="s">
        <v>14</v>
      </c>
      <c r="E463">
        <v>30</v>
      </c>
      <c r="F463">
        <v>1701</v>
      </c>
      <c r="G463" s="1">
        <v>38134</v>
      </c>
      <c r="H463" s="2">
        <v>45449</v>
      </c>
      <c r="I463" t="s">
        <v>41</v>
      </c>
      <c r="J463" t="s">
        <v>501</v>
      </c>
      <c r="K463" t="s">
        <v>18</v>
      </c>
    </row>
    <row r="464" spans="1:11">
      <c r="A464" t="s">
        <v>35</v>
      </c>
      <c r="B464" t="s">
        <v>19</v>
      </c>
      <c r="C464" t="s">
        <v>25</v>
      </c>
      <c r="D464" t="s">
        <v>31</v>
      </c>
      <c r="E464">
        <v>30</v>
      </c>
      <c r="F464">
        <v>966</v>
      </c>
      <c r="G464" s="1">
        <v>29754</v>
      </c>
      <c r="H464" s="2">
        <v>45196</v>
      </c>
      <c r="I464" t="s">
        <v>41</v>
      </c>
      <c r="J464" t="s">
        <v>502</v>
      </c>
      <c r="K464" t="s">
        <v>34</v>
      </c>
    </row>
    <row r="465" spans="1:11">
      <c r="A465" t="s">
        <v>45</v>
      </c>
      <c r="B465" t="s">
        <v>19</v>
      </c>
      <c r="C465" t="s">
        <v>20</v>
      </c>
      <c r="D465" t="s">
        <v>26</v>
      </c>
      <c r="E465" t="s">
        <v>15</v>
      </c>
      <c r="F465">
        <v>1876</v>
      </c>
      <c r="G465" s="1">
        <v>35523</v>
      </c>
      <c r="H465" s="2">
        <v>45433</v>
      </c>
      <c r="I465" t="s">
        <v>41</v>
      </c>
      <c r="J465" t="s">
        <v>503</v>
      </c>
      <c r="K465" t="s">
        <v>34</v>
      </c>
    </row>
    <row r="466" spans="1:11">
      <c r="A466" t="s">
        <v>64</v>
      </c>
      <c r="B466" t="s">
        <v>51</v>
      </c>
      <c r="C466" t="s">
        <v>13</v>
      </c>
      <c r="D466" t="s">
        <v>31</v>
      </c>
      <c r="E466" t="s">
        <v>22</v>
      </c>
      <c r="F466">
        <v>1589</v>
      </c>
      <c r="G466" s="1">
        <v>39611</v>
      </c>
      <c r="H466" s="2">
        <v>45489</v>
      </c>
      <c r="I466" t="s">
        <v>16</v>
      </c>
      <c r="J466" t="s">
        <v>504</v>
      </c>
      <c r="K466" t="s">
        <v>29</v>
      </c>
    </row>
    <row r="467" spans="1:11">
      <c r="A467" t="s">
        <v>24</v>
      </c>
      <c r="B467" t="s">
        <v>51</v>
      </c>
      <c r="C467" t="s">
        <v>59</v>
      </c>
      <c r="D467" t="s">
        <v>14</v>
      </c>
      <c r="E467">
        <v>60</v>
      </c>
      <c r="F467">
        <v>1236</v>
      </c>
      <c r="G467" s="1">
        <v>5976</v>
      </c>
      <c r="H467" s="2">
        <v>45361</v>
      </c>
      <c r="I467" t="s">
        <v>32</v>
      </c>
      <c r="J467" t="s">
        <v>505</v>
      </c>
      <c r="K467" t="s">
        <v>47</v>
      </c>
    </row>
    <row r="468" spans="1:11">
      <c r="A468" t="s">
        <v>64</v>
      </c>
      <c r="B468" t="s">
        <v>12</v>
      </c>
      <c r="C468" t="s">
        <v>25</v>
      </c>
      <c r="D468" t="s">
        <v>14</v>
      </c>
      <c r="E468">
        <v>30</v>
      </c>
      <c r="F468">
        <v>406</v>
      </c>
      <c r="G468" s="1">
        <v>19800</v>
      </c>
      <c r="H468" s="2">
        <v>45205</v>
      </c>
      <c r="I468" t="s">
        <v>16</v>
      </c>
      <c r="J468" t="s">
        <v>506</v>
      </c>
      <c r="K468" t="s">
        <v>44</v>
      </c>
    </row>
    <row r="469" spans="1:11">
      <c r="A469" t="s">
        <v>24</v>
      </c>
      <c r="B469" t="s">
        <v>12</v>
      </c>
      <c r="C469" t="s">
        <v>25</v>
      </c>
      <c r="D469" t="s">
        <v>66</v>
      </c>
      <c r="E469">
        <v>60</v>
      </c>
      <c r="F469">
        <v>1477</v>
      </c>
      <c r="G469" s="1">
        <v>42087</v>
      </c>
      <c r="H469" s="2">
        <v>45302</v>
      </c>
      <c r="I469" t="s">
        <v>41</v>
      </c>
      <c r="J469" t="s">
        <v>507</v>
      </c>
      <c r="K469" t="s">
        <v>34</v>
      </c>
    </row>
    <row r="470" spans="1:11">
      <c r="A470" t="s">
        <v>35</v>
      </c>
      <c r="B470" t="s">
        <v>49</v>
      </c>
      <c r="C470" t="s">
        <v>59</v>
      </c>
      <c r="D470" t="s">
        <v>14</v>
      </c>
      <c r="E470" t="s">
        <v>22</v>
      </c>
      <c r="F470">
        <v>1684</v>
      </c>
      <c r="G470" s="1">
        <v>49229</v>
      </c>
      <c r="H470" s="2">
        <v>45421</v>
      </c>
      <c r="I470" t="s">
        <v>39</v>
      </c>
      <c r="J470" t="s">
        <v>508</v>
      </c>
      <c r="K470" t="s">
        <v>44</v>
      </c>
    </row>
    <row r="471" spans="1:11">
      <c r="A471" t="s">
        <v>35</v>
      </c>
      <c r="B471" t="s">
        <v>49</v>
      </c>
      <c r="C471" t="s">
        <v>20</v>
      </c>
      <c r="D471" t="s">
        <v>14</v>
      </c>
      <c r="E471" t="s">
        <v>15</v>
      </c>
      <c r="F471">
        <v>849</v>
      </c>
      <c r="G471" s="1">
        <v>45151</v>
      </c>
      <c r="H471" s="2">
        <v>45140</v>
      </c>
      <c r="I471" t="s">
        <v>39</v>
      </c>
      <c r="J471" t="s">
        <v>509</v>
      </c>
      <c r="K471" t="s">
        <v>44</v>
      </c>
    </row>
    <row r="472" spans="1:11">
      <c r="A472" t="s">
        <v>45</v>
      </c>
      <c r="B472" t="s">
        <v>19</v>
      </c>
      <c r="C472" t="s">
        <v>13</v>
      </c>
      <c r="D472" t="s">
        <v>21</v>
      </c>
      <c r="E472" t="s">
        <v>15</v>
      </c>
      <c r="F472">
        <v>849</v>
      </c>
      <c r="G472" s="1">
        <v>39729</v>
      </c>
      <c r="H472" s="2">
        <v>45162</v>
      </c>
      <c r="I472" t="s">
        <v>16</v>
      </c>
      <c r="J472" t="s">
        <v>510</v>
      </c>
      <c r="K472" t="s">
        <v>34</v>
      </c>
    </row>
    <row r="473" spans="1:11">
      <c r="A473" t="s">
        <v>64</v>
      </c>
      <c r="B473" t="s">
        <v>12</v>
      </c>
      <c r="C473" t="s">
        <v>25</v>
      </c>
      <c r="D473" t="s">
        <v>26</v>
      </c>
      <c r="E473">
        <v>30</v>
      </c>
      <c r="F473">
        <v>1743</v>
      </c>
      <c r="G473" s="1">
        <v>11137</v>
      </c>
      <c r="H473" s="2">
        <v>45260</v>
      </c>
      <c r="I473" t="s">
        <v>32</v>
      </c>
      <c r="J473" t="s">
        <v>511</v>
      </c>
      <c r="K473" t="s">
        <v>18</v>
      </c>
    </row>
    <row r="474" spans="1:11">
      <c r="A474" t="s">
        <v>24</v>
      </c>
      <c r="B474" t="s">
        <v>51</v>
      </c>
      <c r="C474" t="s">
        <v>30</v>
      </c>
      <c r="D474" t="s">
        <v>31</v>
      </c>
      <c r="E474" t="s">
        <v>15</v>
      </c>
      <c r="F474">
        <v>359</v>
      </c>
      <c r="G474" s="1">
        <v>14269</v>
      </c>
      <c r="H474" s="2">
        <v>45237</v>
      </c>
      <c r="I474" t="s">
        <v>41</v>
      </c>
      <c r="J474" t="s">
        <v>512</v>
      </c>
      <c r="K474" t="s">
        <v>47</v>
      </c>
    </row>
    <row r="475" spans="1:11">
      <c r="A475" t="s">
        <v>11</v>
      </c>
      <c r="B475" t="s">
        <v>51</v>
      </c>
      <c r="C475" t="s">
        <v>13</v>
      </c>
      <c r="D475" t="s">
        <v>14</v>
      </c>
      <c r="E475" t="s">
        <v>22</v>
      </c>
      <c r="F475">
        <v>573</v>
      </c>
      <c r="G475" s="1">
        <v>4115</v>
      </c>
      <c r="H475" s="2">
        <v>45455</v>
      </c>
      <c r="I475" t="s">
        <v>16</v>
      </c>
      <c r="J475" t="s">
        <v>513</v>
      </c>
      <c r="K475" t="s">
        <v>47</v>
      </c>
    </row>
    <row r="476" spans="1:11">
      <c r="A476" t="s">
        <v>11</v>
      </c>
      <c r="B476" t="s">
        <v>12</v>
      </c>
      <c r="C476" t="s">
        <v>20</v>
      </c>
      <c r="D476" t="s">
        <v>21</v>
      </c>
      <c r="E476" t="s">
        <v>38</v>
      </c>
      <c r="F476">
        <v>1330</v>
      </c>
      <c r="G476" s="1">
        <v>28423</v>
      </c>
      <c r="H476" s="2">
        <v>45185</v>
      </c>
      <c r="I476" t="s">
        <v>16</v>
      </c>
      <c r="J476" t="s">
        <v>514</v>
      </c>
      <c r="K476" t="s">
        <v>34</v>
      </c>
    </row>
    <row r="477" spans="1:11">
      <c r="A477" t="s">
        <v>24</v>
      </c>
      <c r="B477" t="s">
        <v>51</v>
      </c>
      <c r="C477" t="s">
        <v>13</v>
      </c>
      <c r="D477" t="s">
        <v>14</v>
      </c>
      <c r="E477">
        <v>30</v>
      </c>
      <c r="F477">
        <v>1087</v>
      </c>
      <c r="G477" s="1">
        <v>15485</v>
      </c>
      <c r="H477" s="2">
        <v>45357</v>
      </c>
      <c r="I477" t="s">
        <v>32</v>
      </c>
      <c r="J477" t="s">
        <v>515</v>
      </c>
      <c r="K477" t="s">
        <v>47</v>
      </c>
    </row>
    <row r="478" spans="1:11">
      <c r="A478" t="s">
        <v>11</v>
      </c>
      <c r="B478" t="s">
        <v>12</v>
      </c>
      <c r="C478" t="s">
        <v>25</v>
      </c>
      <c r="D478" t="s">
        <v>26</v>
      </c>
      <c r="E478" t="s">
        <v>22</v>
      </c>
      <c r="F478">
        <v>404</v>
      </c>
      <c r="G478" s="1">
        <v>8798</v>
      </c>
      <c r="H478" s="2">
        <v>45207</v>
      </c>
      <c r="I478" t="s">
        <v>32</v>
      </c>
      <c r="J478" t="s">
        <v>516</v>
      </c>
      <c r="K478" t="s">
        <v>47</v>
      </c>
    </row>
    <row r="479" spans="1:11">
      <c r="A479" t="s">
        <v>45</v>
      </c>
      <c r="B479" t="s">
        <v>19</v>
      </c>
      <c r="C479" t="s">
        <v>20</v>
      </c>
      <c r="D479" t="s">
        <v>66</v>
      </c>
      <c r="E479">
        <v>60</v>
      </c>
      <c r="F479">
        <v>1641</v>
      </c>
      <c r="G479" s="1">
        <v>4850</v>
      </c>
      <c r="H479" s="2">
        <v>45200</v>
      </c>
      <c r="I479" t="s">
        <v>41</v>
      </c>
      <c r="J479" t="s">
        <v>517</v>
      </c>
      <c r="K479" t="s">
        <v>29</v>
      </c>
    </row>
    <row r="480" spans="1:11">
      <c r="A480" t="s">
        <v>64</v>
      </c>
      <c r="B480" t="s">
        <v>19</v>
      </c>
      <c r="C480" t="s">
        <v>25</v>
      </c>
      <c r="D480" t="s">
        <v>21</v>
      </c>
      <c r="E480" t="s">
        <v>15</v>
      </c>
      <c r="F480">
        <v>1013</v>
      </c>
      <c r="G480" s="1">
        <v>38304</v>
      </c>
      <c r="H480" s="2">
        <v>45187</v>
      </c>
      <c r="I480" t="s">
        <v>39</v>
      </c>
      <c r="J480" t="s">
        <v>518</v>
      </c>
      <c r="K480" t="s">
        <v>34</v>
      </c>
    </row>
    <row r="481" spans="1:11">
      <c r="A481" t="s">
        <v>24</v>
      </c>
      <c r="B481" t="s">
        <v>51</v>
      </c>
      <c r="C481" t="s">
        <v>30</v>
      </c>
      <c r="D481" t="s">
        <v>31</v>
      </c>
      <c r="E481" t="s">
        <v>38</v>
      </c>
      <c r="F481">
        <v>434</v>
      </c>
      <c r="G481" s="1">
        <v>32258</v>
      </c>
      <c r="H481" s="2">
        <v>45496</v>
      </c>
      <c r="I481" t="s">
        <v>41</v>
      </c>
      <c r="J481" t="s">
        <v>519</v>
      </c>
      <c r="K481" t="s">
        <v>18</v>
      </c>
    </row>
    <row r="482" spans="1:11">
      <c r="A482" t="s">
        <v>64</v>
      </c>
      <c r="B482" t="s">
        <v>49</v>
      </c>
      <c r="C482" t="s">
        <v>30</v>
      </c>
      <c r="D482" t="s">
        <v>26</v>
      </c>
      <c r="E482">
        <v>30</v>
      </c>
      <c r="F482">
        <v>857</v>
      </c>
      <c r="G482" s="1">
        <v>25111</v>
      </c>
      <c r="H482" s="2">
        <v>45168</v>
      </c>
      <c r="I482" t="s">
        <v>41</v>
      </c>
      <c r="J482" t="s">
        <v>520</v>
      </c>
      <c r="K482" t="s">
        <v>29</v>
      </c>
    </row>
    <row r="483" spans="1:11">
      <c r="A483" t="s">
        <v>24</v>
      </c>
      <c r="B483" t="s">
        <v>36</v>
      </c>
      <c r="C483" t="s">
        <v>20</v>
      </c>
      <c r="D483" t="s">
        <v>66</v>
      </c>
      <c r="E483">
        <v>30</v>
      </c>
      <c r="F483">
        <v>1215</v>
      </c>
      <c r="G483" s="1">
        <v>3802</v>
      </c>
      <c r="H483" s="2">
        <v>45434</v>
      </c>
      <c r="I483" t="s">
        <v>16</v>
      </c>
      <c r="J483" t="s">
        <v>521</v>
      </c>
      <c r="K483" t="s">
        <v>47</v>
      </c>
    </row>
    <row r="484" spans="1:11">
      <c r="A484" t="s">
        <v>24</v>
      </c>
      <c r="B484" t="s">
        <v>49</v>
      </c>
      <c r="C484" t="s">
        <v>30</v>
      </c>
      <c r="D484" t="s">
        <v>66</v>
      </c>
      <c r="E484">
        <v>60</v>
      </c>
      <c r="F484">
        <v>1206</v>
      </c>
      <c r="G484" s="1">
        <v>30473</v>
      </c>
      <c r="H484" s="2">
        <v>45208</v>
      </c>
      <c r="I484" t="s">
        <v>32</v>
      </c>
      <c r="J484" t="s">
        <v>522</v>
      </c>
      <c r="K484" t="s">
        <v>29</v>
      </c>
    </row>
    <row r="485" spans="1:11">
      <c r="A485" t="s">
        <v>45</v>
      </c>
      <c r="B485" t="s">
        <v>36</v>
      </c>
      <c r="C485" t="s">
        <v>20</v>
      </c>
      <c r="D485" t="s">
        <v>14</v>
      </c>
      <c r="E485" t="s">
        <v>15</v>
      </c>
      <c r="F485">
        <v>1028</v>
      </c>
      <c r="G485" s="1">
        <v>26345</v>
      </c>
      <c r="H485" s="2">
        <v>45293</v>
      </c>
      <c r="I485" t="s">
        <v>39</v>
      </c>
      <c r="J485" t="s">
        <v>523</v>
      </c>
      <c r="K485" t="s">
        <v>18</v>
      </c>
    </row>
    <row r="486" spans="1:11">
      <c r="A486" t="s">
        <v>11</v>
      </c>
      <c r="B486" t="s">
        <v>19</v>
      </c>
      <c r="C486" t="s">
        <v>59</v>
      </c>
      <c r="D486" t="s">
        <v>14</v>
      </c>
      <c r="E486" t="s">
        <v>22</v>
      </c>
      <c r="F486">
        <v>1821</v>
      </c>
      <c r="G486" s="1">
        <v>49772</v>
      </c>
      <c r="H486" s="2">
        <v>45143</v>
      </c>
      <c r="I486" t="s">
        <v>39</v>
      </c>
      <c r="J486" t="s">
        <v>524</v>
      </c>
      <c r="K486" t="s">
        <v>18</v>
      </c>
    </row>
    <row r="487" spans="1:11">
      <c r="A487" t="s">
        <v>64</v>
      </c>
      <c r="B487" t="s">
        <v>51</v>
      </c>
      <c r="C487" t="s">
        <v>25</v>
      </c>
      <c r="D487" t="s">
        <v>14</v>
      </c>
      <c r="E487" t="s">
        <v>22</v>
      </c>
      <c r="F487">
        <v>187</v>
      </c>
      <c r="G487" s="1">
        <v>33824</v>
      </c>
      <c r="H487" s="2">
        <v>45431</v>
      </c>
      <c r="I487" t="s">
        <v>41</v>
      </c>
      <c r="J487" t="s">
        <v>525</v>
      </c>
      <c r="K487" t="s">
        <v>47</v>
      </c>
    </row>
    <row r="488" spans="1:11">
      <c r="A488" t="s">
        <v>45</v>
      </c>
      <c r="B488" t="s">
        <v>51</v>
      </c>
      <c r="C488" t="s">
        <v>25</v>
      </c>
      <c r="D488" t="s">
        <v>66</v>
      </c>
      <c r="E488" t="s">
        <v>38</v>
      </c>
      <c r="F488">
        <v>1978</v>
      </c>
      <c r="G488" s="1">
        <v>10298</v>
      </c>
      <c r="H488" s="2">
        <v>45409</v>
      </c>
      <c r="I488" t="s">
        <v>16</v>
      </c>
      <c r="J488" t="s">
        <v>526</v>
      </c>
      <c r="K488" t="s">
        <v>44</v>
      </c>
    </row>
    <row r="489" spans="1:11">
      <c r="A489" t="s">
        <v>64</v>
      </c>
      <c r="B489" t="s">
        <v>12</v>
      </c>
      <c r="C489" t="s">
        <v>13</v>
      </c>
      <c r="D489" t="s">
        <v>26</v>
      </c>
      <c r="E489" t="s">
        <v>15</v>
      </c>
      <c r="F489">
        <v>310</v>
      </c>
      <c r="G489" s="1">
        <v>8780</v>
      </c>
      <c r="H489" s="2">
        <v>45281</v>
      </c>
      <c r="I489" t="s">
        <v>16</v>
      </c>
      <c r="J489" t="s">
        <v>527</v>
      </c>
      <c r="K489" t="s">
        <v>47</v>
      </c>
    </row>
    <row r="490" spans="1:11">
      <c r="A490" t="s">
        <v>35</v>
      </c>
      <c r="B490" t="s">
        <v>36</v>
      </c>
      <c r="C490" t="s">
        <v>25</v>
      </c>
      <c r="D490" t="s">
        <v>21</v>
      </c>
      <c r="E490">
        <v>30</v>
      </c>
      <c r="F490">
        <v>1232</v>
      </c>
      <c r="G490" s="1">
        <v>14892</v>
      </c>
      <c r="H490" s="2">
        <v>45286</v>
      </c>
      <c r="I490" t="s">
        <v>27</v>
      </c>
      <c r="J490" t="s">
        <v>528</v>
      </c>
      <c r="K490" t="s">
        <v>18</v>
      </c>
    </row>
    <row r="491" spans="1:11">
      <c r="A491" t="s">
        <v>24</v>
      </c>
      <c r="B491" t="s">
        <v>12</v>
      </c>
      <c r="C491" t="s">
        <v>13</v>
      </c>
      <c r="D491" t="s">
        <v>14</v>
      </c>
      <c r="E491" t="s">
        <v>22</v>
      </c>
      <c r="F491">
        <v>1147</v>
      </c>
      <c r="G491" s="1">
        <v>31546</v>
      </c>
      <c r="H491" s="2">
        <v>45263</v>
      </c>
      <c r="I491" t="s">
        <v>16</v>
      </c>
      <c r="J491" t="s">
        <v>529</v>
      </c>
      <c r="K491" t="s">
        <v>47</v>
      </c>
    </row>
    <row r="492" spans="1:11">
      <c r="A492" t="s">
        <v>64</v>
      </c>
      <c r="B492" t="s">
        <v>36</v>
      </c>
      <c r="C492" t="s">
        <v>25</v>
      </c>
      <c r="D492" t="s">
        <v>31</v>
      </c>
      <c r="E492">
        <v>60</v>
      </c>
      <c r="F492">
        <v>157</v>
      </c>
      <c r="G492" s="1">
        <v>25507</v>
      </c>
      <c r="H492" s="2">
        <v>45177</v>
      </c>
      <c r="I492" t="s">
        <v>32</v>
      </c>
      <c r="J492" t="s">
        <v>530</v>
      </c>
      <c r="K492" t="s">
        <v>47</v>
      </c>
    </row>
    <row r="493" spans="1:11">
      <c r="A493" t="s">
        <v>45</v>
      </c>
      <c r="B493" t="s">
        <v>19</v>
      </c>
      <c r="C493" t="s">
        <v>25</v>
      </c>
      <c r="D493" t="s">
        <v>14</v>
      </c>
      <c r="E493">
        <v>30</v>
      </c>
      <c r="F493">
        <v>110</v>
      </c>
      <c r="G493" s="1">
        <v>48715</v>
      </c>
      <c r="H493" s="2">
        <v>45417</v>
      </c>
      <c r="I493" t="s">
        <v>16</v>
      </c>
      <c r="J493" t="s">
        <v>531</v>
      </c>
      <c r="K493" t="s">
        <v>18</v>
      </c>
    </row>
    <row r="494" spans="1:11">
      <c r="A494" t="s">
        <v>35</v>
      </c>
      <c r="B494" t="s">
        <v>36</v>
      </c>
      <c r="C494" t="s">
        <v>30</v>
      </c>
      <c r="D494" t="s">
        <v>26</v>
      </c>
      <c r="E494" t="s">
        <v>22</v>
      </c>
      <c r="F494">
        <v>1496</v>
      </c>
      <c r="G494" s="1">
        <v>30359</v>
      </c>
      <c r="H494" s="2">
        <v>45295</v>
      </c>
      <c r="I494" t="s">
        <v>39</v>
      </c>
      <c r="J494" t="s">
        <v>532</v>
      </c>
      <c r="K494" t="s">
        <v>44</v>
      </c>
    </row>
    <row r="495" spans="1:11">
      <c r="A495" t="s">
        <v>64</v>
      </c>
      <c r="B495" t="s">
        <v>36</v>
      </c>
      <c r="C495" t="s">
        <v>59</v>
      </c>
      <c r="D495" t="s">
        <v>26</v>
      </c>
      <c r="E495" t="s">
        <v>15</v>
      </c>
      <c r="F495">
        <v>1677</v>
      </c>
      <c r="G495" s="1">
        <v>14519</v>
      </c>
      <c r="H495" s="2">
        <v>45421</v>
      </c>
      <c r="I495" t="s">
        <v>27</v>
      </c>
      <c r="J495" t="s">
        <v>533</v>
      </c>
      <c r="K495" t="s">
        <v>18</v>
      </c>
    </row>
    <row r="496" spans="1:11">
      <c r="A496" t="s">
        <v>35</v>
      </c>
      <c r="B496" t="s">
        <v>49</v>
      </c>
      <c r="C496" t="s">
        <v>59</v>
      </c>
      <c r="D496" t="s">
        <v>31</v>
      </c>
      <c r="E496">
        <v>30</v>
      </c>
      <c r="F496">
        <v>103</v>
      </c>
      <c r="G496" s="1">
        <v>39963</v>
      </c>
      <c r="H496" s="2">
        <v>45317</v>
      </c>
      <c r="I496" t="s">
        <v>41</v>
      </c>
      <c r="J496" t="s">
        <v>534</v>
      </c>
      <c r="K496" t="s">
        <v>47</v>
      </c>
    </row>
    <row r="497" spans="1:11">
      <c r="A497" t="s">
        <v>64</v>
      </c>
      <c r="B497" t="s">
        <v>12</v>
      </c>
      <c r="C497" t="s">
        <v>20</v>
      </c>
      <c r="D497" t="s">
        <v>66</v>
      </c>
      <c r="E497">
        <v>30</v>
      </c>
      <c r="F497">
        <v>621</v>
      </c>
      <c r="G497" s="1">
        <v>14108</v>
      </c>
      <c r="H497" s="2">
        <v>45358</v>
      </c>
      <c r="I497" t="s">
        <v>27</v>
      </c>
      <c r="J497" t="s">
        <v>535</v>
      </c>
      <c r="K497" t="s">
        <v>34</v>
      </c>
    </row>
    <row r="498" spans="1:11">
      <c r="A498" t="s">
        <v>11</v>
      </c>
      <c r="B498" t="s">
        <v>36</v>
      </c>
      <c r="C498" t="s">
        <v>13</v>
      </c>
      <c r="D498" t="s">
        <v>21</v>
      </c>
      <c r="E498">
        <v>30</v>
      </c>
      <c r="F498">
        <v>467</v>
      </c>
      <c r="G498" s="1">
        <v>42438</v>
      </c>
      <c r="H498" s="2">
        <v>45396</v>
      </c>
      <c r="I498" t="s">
        <v>41</v>
      </c>
      <c r="J498" t="s">
        <v>536</v>
      </c>
      <c r="K498" t="s">
        <v>29</v>
      </c>
    </row>
    <row r="499" spans="1:11">
      <c r="A499" t="s">
        <v>45</v>
      </c>
      <c r="B499" t="s">
        <v>36</v>
      </c>
      <c r="C499" t="s">
        <v>59</v>
      </c>
      <c r="D499" t="s">
        <v>26</v>
      </c>
      <c r="E499">
        <v>60</v>
      </c>
      <c r="F499">
        <v>528</v>
      </c>
      <c r="G499" s="1">
        <v>12478</v>
      </c>
      <c r="H499" s="2">
        <v>45492</v>
      </c>
      <c r="I499" t="s">
        <v>32</v>
      </c>
      <c r="J499" t="s">
        <v>537</v>
      </c>
      <c r="K499" t="s">
        <v>34</v>
      </c>
    </row>
    <row r="500" spans="1:11">
      <c r="A500" t="s">
        <v>11</v>
      </c>
      <c r="B500" t="s">
        <v>49</v>
      </c>
      <c r="C500" t="s">
        <v>59</v>
      </c>
      <c r="D500" t="s">
        <v>14</v>
      </c>
      <c r="E500">
        <v>30</v>
      </c>
      <c r="F500">
        <v>651</v>
      </c>
      <c r="G500" s="1">
        <v>43294</v>
      </c>
      <c r="H500" s="2">
        <v>45184</v>
      </c>
      <c r="I500" t="s">
        <v>27</v>
      </c>
      <c r="J500" t="s">
        <v>538</v>
      </c>
      <c r="K500" t="s">
        <v>34</v>
      </c>
    </row>
    <row r="501" spans="1:11">
      <c r="A501" t="s">
        <v>35</v>
      </c>
      <c r="B501" t="s">
        <v>49</v>
      </c>
      <c r="C501" t="s">
        <v>25</v>
      </c>
      <c r="D501" t="s">
        <v>66</v>
      </c>
      <c r="E501" t="s">
        <v>22</v>
      </c>
      <c r="F501">
        <v>213</v>
      </c>
      <c r="G501" s="1">
        <v>41727</v>
      </c>
      <c r="H501" s="2">
        <v>45253</v>
      </c>
      <c r="I501" t="s">
        <v>32</v>
      </c>
      <c r="J501" t="s">
        <v>539</v>
      </c>
      <c r="K501" t="s">
        <v>44</v>
      </c>
    </row>
    <row r="502" spans="1:11">
      <c r="A502" t="s">
        <v>45</v>
      </c>
      <c r="B502" t="s">
        <v>49</v>
      </c>
      <c r="C502" t="s">
        <v>20</v>
      </c>
      <c r="D502" t="s">
        <v>66</v>
      </c>
      <c r="E502" t="s">
        <v>15</v>
      </c>
      <c r="F502">
        <v>1808</v>
      </c>
      <c r="G502" s="1">
        <v>18900</v>
      </c>
      <c r="H502" s="2">
        <v>45365</v>
      </c>
      <c r="I502" t="s">
        <v>32</v>
      </c>
      <c r="J502" t="s">
        <v>540</v>
      </c>
      <c r="K502" t="s">
        <v>29</v>
      </c>
    </row>
    <row r="503" spans="1:11">
      <c r="A503" t="s">
        <v>11</v>
      </c>
      <c r="B503" t="s">
        <v>51</v>
      </c>
      <c r="C503" t="s">
        <v>13</v>
      </c>
      <c r="D503" t="s">
        <v>14</v>
      </c>
      <c r="E503">
        <v>30</v>
      </c>
      <c r="F503">
        <v>979</v>
      </c>
      <c r="G503" s="1">
        <v>33935</v>
      </c>
      <c r="H503" s="2">
        <v>45274</v>
      </c>
      <c r="I503" t="s">
        <v>39</v>
      </c>
      <c r="J503" t="s">
        <v>541</v>
      </c>
      <c r="K503" t="s">
        <v>44</v>
      </c>
    </row>
    <row r="504" spans="1:11">
      <c r="A504" t="s">
        <v>24</v>
      </c>
      <c r="B504" t="s">
        <v>12</v>
      </c>
      <c r="C504" t="s">
        <v>30</v>
      </c>
      <c r="D504" t="s">
        <v>14</v>
      </c>
      <c r="E504" t="s">
        <v>38</v>
      </c>
      <c r="F504">
        <v>903</v>
      </c>
      <c r="G504" s="1">
        <v>29491</v>
      </c>
      <c r="H504" s="2">
        <v>45191</v>
      </c>
      <c r="I504" t="s">
        <v>27</v>
      </c>
      <c r="J504" t="s">
        <v>542</v>
      </c>
      <c r="K504" t="s">
        <v>44</v>
      </c>
    </row>
    <row r="505" spans="1:11">
      <c r="A505" t="s">
        <v>64</v>
      </c>
      <c r="B505" t="s">
        <v>51</v>
      </c>
      <c r="C505" t="s">
        <v>13</v>
      </c>
      <c r="D505" t="s">
        <v>21</v>
      </c>
      <c r="E505" t="s">
        <v>38</v>
      </c>
      <c r="F505">
        <v>1873</v>
      </c>
      <c r="G505" s="1">
        <v>47958</v>
      </c>
      <c r="H505" s="2">
        <v>45239</v>
      </c>
      <c r="I505" t="s">
        <v>16</v>
      </c>
      <c r="J505" t="s">
        <v>543</v>
      </c>
      <c r="K505" t="s">
        <v>29</v>
      </c>
    </row>
    <row r="506" spans="1:11">
      <c r="A506" t="s">
        <v>64</v>
      </c>
      <c r="B506" t="s">
        <v>19</v>
      </c>
      <c r="C506" t="s">
        <v>59</v>
      </c>
      <c r="D506" t="s">
        <v>14</v>
      </c>
      <c r="E506">
        <v>30</v>
      </c>
      <c r="F506">
        <v>1575</v>
      </c>
      <c r="G506" s="1">
        <v>39809</v>
      </c>
      <c r="H506" s="2">
        <v>45285</v>
      </c>
      <c r="I506" t="s">
        <v>32</v>
      </c>
      <c r="J506" t="s">
        <v>544</v>
      </c>
      <c r="K506" t="s">
        <v>18</v>
      </c>
    </row>
    <row r="507" spans="1:11">
      <c r="A507" t="s">
        <v>45</v>
      </c>
      <c r="B507" t="s">
        <v>36</v>
      </c>
      <c r="C507" t="s">
        <v>13</v>
      </c>
      <c r="D507" t="s">
        <v>26</v>
      </c>
      <c r="E507">
        <v>60</v>
      </c>
      <c r="F507">
        <v>1178</v>
      </c>
      <c r="G507" s="1">
        <v>26564</v>
      </c>
      <c r="H507" s="2">
        <v>45292</v>
      </c>
      <c r="I507" t="s">
        <v>32</v>
      </c>
      <c r="J507" t="s">
        <v>545</v>
      </c>
      <c r="K507" t="s">
        <v>44</v>
      </c>
    </row>
    <row r="508" spans="1:11">
      <c r="A508" t="s">
        <v>35</v>
      </c>
      <c r="B508" t="s">
        <v>49</v>
      </c>
      <c r="C508" t="s">
        <v>59</v>
      </c>
      <c r="D508" t="s">
        <v>31</v>
      </c>
      <c r="E508">
        <v>30</v>
      </c>
      <c r="F508">
        <v>136</v>
      </c>
      <c r="G508" s="1">
        <v>28942</v>
      </c>
      <c r="H508" s="2">
        <v>45230</v>
      </c>
      <c r="I508" t="s">
        <v>39</v>
      </c>
      <c r="J508" t="s">
        <v>546</v>
      </c>
      <c r="K508" t="s">
        <v>47</v>
      </c>
    </row>
    <row r="509" spans="1:11">
      <c r="A509" t="s">
        <v>35</v>
      </c>
      <c r="B509" t="s">
        <v>12</v>
      </c>
      <c r="C509" t="s">
        <v>13</v>
      </c>
      <c r="D509" t="s">
        <v>66</v>
      </c>
      <c r="E509" t="s">
        <v>15</v>
      </c>
      <c r="F509">
        <v>177</v>
      </c>
      <c r="G509" s="1">
        <v>38415</v>
      </c>
      <c r="H509" s="2">
        <v>45311</v>
      </c>
      <c r="I509" t="s">
        <v>39</v>
      </c>
      <c r="J509" t="s">
        <v>547</v>
      </c>
      <c r="K509" t="s">
        <v>47</v>
      </c>
    </row>
    <row r="510" spans="1:11">
      <c r="A510" t="s">
        <v>35</v>
      </c>
      <c r="B510" t="s">
        <v>36</v>
      </c>
      <c r="C510" t="s">
        <v>25</v>
      </c>
      <c r="D510" t="s">
        <v>21</v>
      </c>
      <c r="E510" t="s">
        <v>38</v>
      </c>
      <c r="F510">
        <v>267</v>
      </c>
      <c r="G510" s="1">
        <v>37982</v>
      </c>
      <c r="H510" s="2">
        <v>45347</v>
      </c>
      <c r="I510" t="s">
        <v>27</v>
      </c>
      <c r="J510" t="s">
        <v>548</v>
      </c>
      <c r="K510" t="s">
        <v>44</v>
      </c>
    </row>
    <row r="511" spans="1:11">
      <c r="A511" t="s">
        <v>45</v>
      </c>
      <c r="B511" t="s">
        <v>49</v>
      </c>
      <c r="C511" t="s">
        <v>59</v>
      </c>
      <c r="D511" t="s">
        <v>31</v>
      </c>
      <c r="E511" t="s">
        <v>38</v>
      </c>
      <c r="F511">
        <v>539</v>
      </c>
      <c r="G511" s="1">
        <v>28332</v>
      </c>
      <c r="H511" s="2">
        <v>45466</v>
      </c>
      <c r="I511" t="s">
        <v>16</v>
      </c>
      <c r="J511" t="s">
        <v>549</v>
      </c>
      <c r="K511" t="s">
        <v>29</v>
      </c>
    </row>
    <row r="512" spans="1:11">
      <c r="A512" t="s">
        <v>11</v>
      </c>
      <c r="B512" t="s">
        <v>49</v>
      </c>
      <c r="C512" t="s">
        <v>20</v>
      </c>
      <c r="D512" t="s">
        <v>14</v>
      </c>
      <c r="E512" t="s">
        <v>22</v>
      </c>
      <c r="F512">
        <v>1637</v>
      </c>
      <c r="G512" s="1">
        <v>28078</v>
      </c>
      <c r="H512" s="2">
        <v>45280</v>
      </c>
      <c r="I512" t="s">
        <v>16</v>
      </c>
      <c r="J512" t="s">
        <v>550</v>
      </c>
      <c r="K512" t="s">
        <v>34</v>
      </c>
    </row>
    <row r="513" spans="1:11">
      <c r="A513" t="s">
        <v>24</v>
      </c>
      <c r="B513" t="s">
        <v>36</v>
      </c>
      <c r="C513" t="s">
        <v>30</v>
      </c>
      <c r="D513" t="s">
        <v>14</v>
      </c>
      <c r="E513" t="s">
        <v>15</v>
      </c>
      <c r="F513">
        <v>895</v>
      </c>
      <c r="G513" s="1">
        <v>1117</v>
      </c>
      <c r="H513" s="2">
        <v>45398</v>
      </c>
      <c r="I513" t="s">
        <v>27</v>
      </c>
      <c r="J513" t="s">
        <v>551</v>
      </c>
      <c r="K513" t="s">
        <v>29</v>
      </c>
    </row>
    <row r="514" spans="1:11">
      <c r="A514" t="s">
        <v>45</v>
      </c>
      <c r="B514" t="s">
        <v>51</v>
      </c>
      <c r="C514" t="s">
        <v>59</v>
      </c>
      <c r="D514" t="s">
        <v>14</v>
      </c>
      <c r="E514" t="s">
        <v>15</v>
      </c>
      <c r="F514">
        <v>545</v>
      </c>
      <c r="G514" s="1">
        <v>7812</v>
      </c>
      <c r="H514" s="2">
        <v>45366</v>
      </c>
      <c r="I514" t="s">
        <v>27</v>
      </c>
      <c r="J514" t="s">
        <v>552</v>
      </c>
      <c r="K514" t="s">
        <v>18</v>
      </c>
    </row>
    <row r="515" spans="1:11">
      <c r="A515" t="s">
        <v>64</v>
      </c>
      <c r="B515" t="s">
        <v>49</v>
      </c>
      <c r="C515" t="s">
        <v>59</v>
      </c>
      <c r="D515" t="s">
        <v>31</v>
      </c>
      <c r="E515">
        <v>60</v>
      </c>
      <c r="F515">
        <v>809</v>
      </c>
      <c r="G515" s="1">
        <v>34972</v>
      </c>
      <c r="H515" s="2">
        <v>45162</v>
      </c>
      <c r="I515" t="s">
        <v>32</v>
      </c>
      <c r="J515" t="s">
        <v>553</v>
      </c>
      <c r="K515" t="s">
        <v>29</v>
      </c>
    </row>
    <row r="516" spans="1:11">
      <c r="A516" t="s">
        <v>24</v>
      </c>
      <c r="B516" t="s">
        <v>19</v>
      </c>
      <c r="C516" t="s">
        <v>25</v>
      </c>
      <c r="D516" t="s">
        <v>26</v>
      </c>
      <c r="E516" t="s">
        <v>15</v>
      </c>
      <c r="F516">
        <v>251</v>
      </c>
      <c r="G516" s="1">
        <v>33441</v>
      </c>
      <c r="H516" s="2">
        <v>45145</v>
      </c>
      <c r="I516" t="s">
        <v>39</v>
      </c>
      <c r="J516" t="s">
        <v>554</v>
      </c>
      <c r="K516" t="s">
        <v>34</v>
      </c>
    </row>
    <row r="517" spans="1:11">
      <c r="A517" t="s">
        <v>64</v>
      </c>
      <c r="B517" t="s">
        <v>19</v>
      </c>
      <c r="C517" t="s">
        <v>20</v>
      </c>
      <c r="D517" t="s">
        <v>14</v>
      </c>
      <c r="E517" t="s">
        <v>15</v>
      </c>
      <c r="F517">
        <v>954</v>
      </c>
      <c r="G517" s="1">
        <v>6130</v>
      </c>
      <c r="H517" s="2">
        <v>45158</v>
      </c>
      <c r="I517" t="s">
        <v>27</v>
      </c>
      <c r="J517" t="s">
        <v>555</v>
      </c>
      <c r="K517" t="s">
        <v>34</v>
      </c>
    </row>
    <row r="518" spans="1:11">
      <c r="A518" t="s">
        <v>11</v>
      </c>
      <c r="B518" t="s">
        <v>36</v>
      </c>
      <c r="C518" t="s">
        <v>59</v>
      </c>
      <c r="D518" t="s">
        <v>21</v>
      </c>
      <c r="E518" t="s">
        <v>15</v>
      </c>
      <c r="F518">
        <v>1105</v>
      </c>
      <c r="G518" s="1">
        <v>9186</v>
      </c>
      <c r="H518" s="2">
        <v>45216</v>
      </c>
      <c r="I518" t="s">
        <v>41</v>
      </c>
      <c r="J518" t="s">
        <v>556</v>
      </c>
      <c r="K518" t="s">
        <v>29</v>
      </c>
    </row>
    <row r="519" spans="1:11">
      <c r="A519" t="s">
        <v>45</v>
      </c>
      <c r="B519" t="s">
        <v>51</v>
      </c>
      <c r="C519" t="s">
        <v>25</v>
      </c>
      <c r="D519" t="s">
        <v>26</v>
      </c>
      <c r="E519" t="s">
        <v>15</v>
      </c>
      <c r="F519">
        <v>280</v>
      </c>
      <c r="G519" s="1">
        <v>41256</v>
      </c>
      <c r="H519" s="2">
        <v>45385</v>
      </c>
      <c r="I519" t="s">
        <v>32</v>
      </c>
      <c r="J519" t="s">
        <v>557</v>
      </c>
      <c r="K519" t="s">
        <v>34</v>
      </c>
    </row>
    <row r="520" spans="1:11">
      <c r="A520" t="s">
        <v>35</v>
      </c>
      <c r="B520" t="s">
        <v>51</v>
      </c>
      <c r="C520" t="s">
        <v>59</v>
      </c>
      <c r="D520" t="s">
        <v>66</v>
      </c>
      <c r="E520">
        <v>30</v>
      </c>
      <c r="F520">
        <v>357</v>
      </c>
      <c r="G520" s="1">
        <v>2350</v>
      </c>
      <c r="H520" s="2">
        <v>45445</v>
      </c>
      <c r="I520" t="s">
        <v>16</v>
      </c>
      <c r="J520" t="s">
        <v>558</v>
      </c>
      <c r="K520" t="s">
        <v>44</v>
      </c>
    </row>
    <row r="521" spans="1:11">
      <c r="A521" t="s">
        <v>11</v>
      </c>
      <c r="B521" t="s">
        <v>36</v>
      </c>
      <c r="C521" t="s">
        <v>20</v>
      </c>
      <c r="D521" t="s">
        <v>26</v>
      </c>
      <c r="E521">
        <v>60</v>
      </c>
      <c r="F521">
        <v>1476</v>
      </c>
      <c r="G521" s="1">
        <v>21861</v>
      </c>
      <c r="H521" s="2">
        <v>45188</v>
      </c>
      <c r="I521" t="s">
        <v>32</v>
      </c>
      <c r="J521" t="s">
        <v>559</v>
      </c>
      <c r="K521" t="s">
        <v>34</v>
      </c>
    </row>
    <row r="522" spans="1:11">
      <c r="A522" t="s">
        <v>24</v>
      </c>
      <c r="B522" t="s">
        <v>36</v>
      </c>
      <c r="C522" t="s">
        <v>20</v>
      </c>
      <c r="D522" t="s">
        <v>31</v>
      </c>
      <c r="E522" t="s">
        <v>22</v>
      </c>
      <c r="F522">
        <v>1448</v>
      </c>
      <c r="G522" s="1">
        <v>37724</v>
      </c>
      <c r="H522" s="2">
        <v>45268</v>
      </c>
      <c r="I522" t="s">
        <v>39</v>
      </c>
      <c r="J522" t="s">
        <v>560</v>
      </c>
      <c r="K522" t="s">
        <v>18</v>
      </c>
    </row>
    <row r="523" spans="1:11">
      <c r="A523" t="s">
        <v>64</v>
      </c>
      <c r="B523" t="s">
        <v>49</v>
      </c>
      <c r="C523" t="s">
        <v>59</v>
      </c>
      <c r="D523" t="s">
        <v>14</v>
      </c>
      <c r="E523" t="s">
        <v>15</v>
      </c>
      <c r="F523">
        <v>1191</v>
      </c>
      <c r="G523" s="1">
        <v>27570</v>
      </c>
      <c r="H523" s="2">
        <v>45251</v>
      </c>
      <c r="I523" t="s">
        <v>39</v>
      </c>
      <c r="J523" t="s">
        <v>561</v>
      </c>
      <c r="K523" t="s">
        <v>29</v>
      </c>
    </row>
    <row r="524" spans="1:11">
      <c r="A524" t="s">
        <v>11</v>
      </c>
      <c r="B524" t="s">
        <v>19</v>
      </c>
      <c r="C524" t="s">
        <v>20</v>
      </c>
      <c r="D524" t="s">
        <v>66</v>
      </c>
      <c r="E524" t="s">
        <v>15</v>
      </c>
      <c r="F524">
        <v>451</v>
      </c>
      <c r="G524" s="1">
        <v>18899</v>
      </c>
      <c r="H524" s="2">
        <v>45388</v>
      </c>
      <c r="I524" t="s">
        <v>41</v>
      </c>
      <c r="J524" t="s">
        <v>562</v>
      </c>
      <c r="K524" t="s">
        <v>34</v>
      </c>
    </row>
    <row r="525" spans="1:11">
      <c r="A525" t="s">
        <v>11</v>
      </c>
      <c r="B525" t="s">
        <v>12</v>
      </c>
      <c r="C525" t="s">
        <v>25</v>
      </c>
      <c r="D525" t="s">
        <v>26</v>
      </c>
      <c r="E525">
        <v>60</v>
      </c>
      <c r="F525">
        <v>1978</v>
      </c>
      <c r="G525" s="1">
        <v>23993</v>
      </c>
      <c r="H525" s="2">
        <v>45447</v>
      </c>
      <c r="I525" t="s">
        <v>39</v>
      </c>
      <c r="J525" t="s">
        <v>158</v>
      </c>
      <c r="K525" t="s">
        <v>34</v>
      </c>
    </row>
    <row r="526" spans="1:11">
      <c r="A526" t="s">
        <v>64</v>
      </c>
      <c r="B526" t="s">
        <v>36</v>
      </c>
      <c r="C526" t="s">
        <v>30</v>
      </c>
      <c r="D526" t="s">
        <v>31</v>
      </c>
      <c r="E526" t="s">
        <v>22</v>
      </c>
      <c r="F526">
        <v>403</v>
      </c>
      <c r="G526" s="1">
        <v>4075</v>
      </c>
      <c r="H526" s="2">
        <v>45367</v>
      </c>
      <c r="I526" t="s">
        <v>16</v>
      </c>
      <c r="J526" t="s">
        <v>563</v>
      </c>
      <c r="K526" t="s">
        <v>29</v>
      </c>
    </row>
    <row r="527" spans="1:11">
      <c r="A527" t="s">
        <v>64</v>
      </c>
      <c r="B527" t="s">
        <v>19</v>
      </c>
      <c r="C527" t="s">
        <v>20</v>
      </c>
      <c r="D527" t="s">
        <v>31</v>
      </c>
      <c r="E527" t="s">
        <v>15</v>
      </c>
      <c r="F527">
        <v>309</v>
      </c>
      <c r="G527" s="1">
        <v>38835</v>
      </c>
      <c r="H527" s="2">
        <v>45359</v>
      </c>
      <c r="I527" t="s">
        <v>41</v>
      </c>
      <c r="J527" t="s">
        <v>564</v>
      </c>
      <c r="K527" t="s">
        <v>29</v>
      </c>
    </row>
    <row r="528" spans="1:11">
      <c r="A528" t="s">
        <v>35</v>
      </c>
      <c r="B528" t="s">
        <v>12</v>
      </c>
      <c r="C528" t="s">
        <v>30</v>
      </c>
      <c r="D528" t="s">
        <v>31</v>
      </c>
      <c r="E528" t="s">
        <v>38</v>
      </c>
      <c r="F528">
        <v>1448</v>
      </c>
      <c r="G528" s="1">
        <v>13865</v>
      </c>
      <c r="H528" s="2">
        <v>45268</v>
      </c>
      <c r="I528" t="s">
        <v>16</v>
      </c>
      <c r="J528" t="s">
        <v>565</v>
      </c>
      <c r="K528" t="s">
        <v>47</v>
      </c>
    </row>
    <row r="529" spans="1:11">
      <c r="A529" t="s">
        <v>64</v>
      </c>
      <c r="B529" t="s">
        <v>12</v>
      </c>
      <c r="C529" t="s">
        <v>20</v>
      </c>
      <c r="D529" t="s">
        <v>14</v>
      </c>
      <c r="E529" t="s">
        <v>15</v>
      </c>
      <c r="F529">
        <v>704</v>
      </c>
      <c r="G529" s="1">
        <v>12836</v>
      </c>
      <c r="H529" s="2">
        <v>45308</v>
      </c>
      <c r="I529" t="s">
        <v>27</v>
      </c>
      <c r="J529" t="s">
        <v>566</v>
      </c>
      <c r="K529" t="s">
        <v>18</v>
      </c>
    </row>
    <row r="530" spans="1:11">
      <c r="A530" t="s">
        <v>11</v>
      </c>
      <c r="B530" t="s">
        <v>49</v>
      </c>
      <c r="C530" t="s">
        <v>59</v>
      </c>
      <c r="D530" t="s">
        <v>31</v>
      </c>
      <c r="E530">
        <v>30</v>
      </c>
      <c r="F530">
        <v>165</v>
      </c>
      <c r="G530" s="1">
        <v>32484</v>
      </c>
      <c r="H530" s="2">
        <v>45484</v>
      </c>
      <c r="I530" t="s">
        <v>27</v>
      </c>
      <c r="J530" t="s">
        <v>567</v>
      </c>
      <c r="K530" t="s">
        <v>34</v>
      </c>
    </row>
    <row r="531" spans="1:11">
      <c r="A531" t="s">
        <v>11</v>
      </c>
      <c r="B531" t="s">
        <v>12</v>
      </c>
      <c r="C531" t="s">
        <v>25</v>
      </c>
      <c r="D531" t="s">
        <v>66</v>
      </c>
      <c r="E531" t="s">
        <v>38</v>
      </c>
      <c r="F531">
        <v>1824</v>
      </c>
      <c r="G531" s="1">
        <v>12594</v>
      </c>
      <c r="H531" s="2">
        <v>45271</v>
      </c>
      <c r="I531" t="s">
        <v>16</v>
      </c>
      <c r="J531" t="s">
        <v>568</v>
      </c>
      <c r="K531" t="s">
        <v>29</v>
      </c>
    </row>
    <row r="532" spans="1:11">
      <c r="A532" t="s">
        <v>45</v>
      </c>
      <c r="B532" t="s">
        <v>49</v>
      </c>
      <c r="C532" t="s">
        <v>13</v>
      </c>
      <c r="D532" t="s">
        <v>26</v>
      </c>
      <c r="E532" t="s">
        <v>38</v>
      </c>
      <c r="F532">
        <v>1553</v>
      </c>
      <c r="G532" s="1">
        <v>35920</v>
      </c>
      <c r="H532" s="2">
        <v>45154</v>
      </c>
      <c r="I532" t="s">
        <v>39</v>
      </c>
      <c r="J532" t="s">
        <v>569</v>
      </c>
      <c r="K532" t="s">
        <v>34</v>
      </c>
    </row>
    <row r="533" spans="1:11">
      <c r="A533" t="s">
        <v>24</v>
      </c>
      <c r="B533" t="s">
        <v>12</v>
      </c>
      <c r="C533" t="s">
        <v>13</v>
      </c>
      <c r="D533" t="s">
        <v>66</v>
      </c>
      <c r="E533">
        <v>30</v>
      </c>
      <c r="F533">
        <v>1114</v>
      </c>
      <c r="G533" s="1">
        <v>45080</v>
      </c>
      <c r="H533" s="2">
        <v>45213</v>
      </c>
      <c r="I533" t="s">
        <v>27</v>
      </c>
      <c r="J533" t="s">
        <v>570</v>
      </c>
      <c r="K533" t="s">
        <v>29</v>
      </c>
    </row>
    <row r="534" spans="1:11">
      <c r="A534" t="s">
        <v>35</v>
      </c>
      <c r="B534" t="s">
        <v>49</v>
      </c>
      <c r="C534" t="s">
        <v>20</v>
      </c>
      <c r="D534" t="s">
        <v>14</v>
      </c>
      <c r="E534">
        <v>60</v>
      </c>
      <c r="F534">
        <v>1746</v>
      </c>
      <c r="G534" s="1">
        <v>7097</v>
      </c>
      <c r="H534" s="2">
        <v>45237</v>
      </c>
      <c r="I534" t="s">
        <v>32</v>
      </c>
      <c r="J534" t="s">
        <v>571</v>
      </c>
      <c r="K534" t="s">
        <v>47</v>
      </c>
    </row>
    <row r="535" spans="1:11">
      <c r="A535" t="s">
        <v>64</v>
      </c>
      <c r="B535" t="s">
        <v>36</v>
      </c>
      <c r="C535" t="s">
        <v>25</v>
      </c>
      <c r="D535" t="s">
        <v>31</v>
      </c>
      <c r="E535">
        <v>30</v>
      </c>
      <c r="F535">
        <v>1468</v>
      </c>
      <c r="G535" s="1">
        <v>32272</v>
      </c>
      <c r="H535" s="2">
        <v>45403</v>
      </c>
      <c r="I535" t="s">
        <v>16</v>
      </c>
      <c r="J535" t="s">
        <v>572</v>
      </c>
      <c r="K535" t="s">
        <v>47</v>
      </c>
    </row>
    <row r="536" spans="1:11">
      <c r="A536" t="s">
        <v>11</v>
      </c>
      <c r="B536" t="s">
        <v>36</v>
      </c>
      <c r="C536" t="s">
        <v>30</v>
      </c>
      <c r="D536" t="s">
        <v>21</v>
      </c>
      <c r="E536" t="s">
        <v>15</v>
      </c>
      <c r="F536">
        <v>230</v>
      </c>
      <c r="G536" s="1">
        <v>41305</v>
      </c>
      <c r="H536" s="2">
        <v>45391</v>
      </c>
      <c r="I536" t="s">
        <v>39</v>
      </c>
      <c r="J536" t="s">
        <v>573</v>
      </c>
      <c r="K536" t="s">
        <v>18</v>
      </c>
    </row>
    <row r="537" spans="1:11">
      <c r="A537" t="s">
        <v>24</v>
      </c>
      <c r="B537" t="s">
        <v>19</v>
      </c>
      <c r="C537" t="s">
        <v>25</v>
      </c>
      <c r="D537" t="s">
        <v>21</v>
      </c>
      <c r="E537" t="s">
        <v>15</v>
      </c>
      <c r="F537">
        <v>776</v>
      </c>
      <c r="G537" s="1">
        <v>6165</v>
      </c>
      <c r="H537" s="2">
        <v>45396</v>
      </c>
      <c r="I537" t="s">
        <v>32</v>
      </c>
      <c r="J537" t="s">
        <v>574</v>
      </c>
      <c r="K537" t="s">
        <v>29</v>
      </c>
    </row>
    <row r="538" spans="1:11">
      <c r="A538" t="s">
        <v>24</v>
      </c>
      <c r="B538" t="s">
        <v>12</v>
      </c>
      <c r="C538" t="s">
        <v>13</v>
      </c>
      <c r="D538" t="s">
        <v>21</v>
      </c>
      <c r="E538" t="s">
        <v>15</v>
      </c>
      <c r="F538">
        <v>1071</v>
      </c>
      <c r="G538" s="1">
        <v>3760</v>
      </c>
      <c r="H538" s="2">
        <v>45178</v>
      </c>
      <c r="I538" t="s">
        <v>39</v>
      </c>
      <c r="J538" t="s">
        <v>575</v>
      </c>
      <c r="K538" t="s">
        <v>29</v>
      </c>
    </row>
    <row r="539" spans="1:11">
      <c r="A539" t="s">
        <v>11</v>
      </c>
      <c r="B539" t="s">
        <v>51</v>
      </c>
      <c r="C539" t="s">
        <v>25</v>
      </c>
      <c r="D539" t="s">
        <v>21</v>
      </c>
      <c r="E539" t="s">
        <v>15</v>
      </c>
      <c r="F539">
        <v>1137</v>
      </c>
      <c r="G539" s="1">
        <v>1699</v>
      </c>
      <c r="H539" s="2">
        <v>45253</v>
      </c>
      <c r="I539" t="s">
        <v>39</v>
      </c>
      <c r="J539" t="s">
        <v>576</v>
      </c>
      <c r="K539" t="s">
        <v>47</v>
      </c>
    </row>
    <row r="540" spans="1:11">
      <c r="A540" t="s">
        <v>45</v>
      </c>
      <c r="B540" t="s">
        <v>49</v>
      </c>
      <c r="C540" t="s">
        <v>25</v>
      </c>
      <c r="D540" t="s">
        <v>31</v>
      </c>
      <c r="E540">
        <v>60</v>
      </c>
      <c r="F540">
        <v>787</v>
      </c>
      <c r="G540" s="1">
        <v>47912</v>
      </c>
      <c r="H540" s="2">
        <v>45452</v>
      </c>
      <c r="I540" t="s">
        <v>16</v>
      </c>
      <c r="J540" t="s">
        <v>577</v>
      </c>
      <c r="K540" t="s">
        <v>44</v>
      </c>
    </row>
    <row r="541" spans="1:11">
      <c r="A541" t="s">
        <v>64</v>
      </c>
      <c r="B541" t="s">
        <v>49</v>
      </c>
      <c r="C541" t="s">
        <v>30</v>
      </c>
      <c r="D541" t="s">
        <v>66</v>
      </c>
      <c r="E541">
        <v>30</v>
      </c>
      <c r="F541">
        <v>1479</v>
      </c>
      <c r="G541" s="1">
        <v>33505</v>
      </c>
      <c r="H541" s="2">
        <v>45473</v>
      </c>
      <c r="I541" t="s">
        <v>16</v>
      </c>
      <c r="J541" t="s">
        <v>578</v>
      </c>
      <c r="K541" t="s">
        <v>34</v>
      </c>
    </row>
    <row r="542" spans="1:11">
      <c r="A542" t="s">
        <v>35</v>
      </c>
      <c r="B542" t="s">
        <v>36</v>
      </c>
      <c r="C542" t="s">
        <v>25</v>
      </c>
      <c r="D542" t="s">
        <v>21</v>
      </c>
      <c r="E542" t="s">
        <v>22</v>
      </c>
      <c r="F542">
        <v>405</v>
      </c>
      <c r="G542" s="1">
        <v>23360</v>
      </c>
      <c r="H542" s="2">
        <v>45233</v>
      </c>
      <c r="I542" t="s">
        <v>16</v>
      </c>
      <c r="J542" t="s">
        <v>579</v>
      </c>
      <c r="K542" t="s">
        <v>44</v>
      </c>
    </row>
    <row r="543" spans="1:11">
      <c r="A543" t="s">
        <v>35</v>
      </c>
      <c r="B543" t="s">
        <v>12</v>
      </c>
      <c r="C543" t="s">
        <v>20</v>
      </c>
      <c r="D543" t="s">
        <v>26</v>
      </c>
      <c r="E543" t="s">
        <v>38</v>
      </c>
      <c r="F543">
        <v>470</v>
      </c>
      <c r="G543" s="1">
        <v>45836</v>
      </c>
      <c r="H543" s="2">
        <v>45232</v>
      </c>
      <c r="I543" t="s">
        <v>16</v>
      </c>
      <c r="J543" t="s">
        <v>580</v>
      </c>
      <c r="K543" t="s">
        <v>44</v>
      </c>
    </row>
    <row r="544" spans="1:11">
      <c r="A544" t="s">
        <v>64</v>
      </c>
      <c r="B544" t="s">
        <v>12</v>
      </c>
      <c r="C544" t="s">
        <v>25</v>
      </c>
      <c r="D544" t="s">
        <v>31</v>
      </c>
      <c r="E544" t="s">
        <v>15</v>
      </c>
      <c r="F544">
        <v>1864</v>
      </c>
      <c r="G544" s="1">
        <v>26663</v>
      </c>
      <c r="H544" s="2">
        <v>45403</v>
      </c>
      <c r="I544" t="s">
        <v>16</v>
      </c>
      <c r="J544" t="s">
        <v>581</v>
      </c>
      <c r="K544" t="s">
        <v>34</v>
      </c>
    </row>
    <row r="545" spans="1:11">
      <c r="A545" t="s">
        <v>11</v>
      </c>
      <c r="B545" t="s">
        <v>19</v>
      </c>
      <c r="C545" t="s">
        <v>13</v>
      </c>
      <c r="D545" t="s">
        <v>21</v>
      </c>
      <c r="E545" t="s">
        <v>15</v>
      </c>
      <c r="F545">
        <v>1610</v>
      </c>
      <c r="G545" s="1">
        <v>22700</v>
      </c>
      <c r="H545" s="2">
        <v>45215</v>
      </c>
      <c r="I545" t="s">
        <v>39</v>
      </c>
      <c r="J545" t="s">
        <v>582</v>
      </c>
      <c r="K545" t="s">
        <v>18</v>
      </c>
    </row>
    <row r="546" spans="1:11">
      <c r="A546" t="s">
        <v>45</v>
      </c>
      <c r="B546" t="s">
        <v>19</v>
      </c>
      <c r="C546" t="s">
        <v>20</v>
      </c>
      <c r="D546" t="s">
        <v>31</v>
      </c>
      <c r="E546" t="s">
        <v>38</v>
      </c>
      <c r="F546">
        <v>1247</v>
      </c>
      <c r="G546" s="1">
        <v>23054</v>
      </c>
      <c r="H546" s="2">
        <v>45243</v>
      </c>
      <c r="I546" t="s">
        <v>27</v>
      </c>
      <c r="J546" t="s">
        <v>583</v>
      </c>
      <c r="K546" t="s">
        <v>29</v>
      </c>
    </row>
    <row r="547" spans="1:11">
      <c r="A547" t="s">
        <v>24</v>
      </c>
      <c r="B547" t="s">
        <v>12</v>
      </c>
      <c r="C547" t="s">
        <v>30</v>
      </c>
      <c r="D547" t="s">
        <v>26</v>
      </c>
      <c r="E547">
        <v>60</v>
      </c>
      <c r="F547">
        <v>1515</v>
      </c>
      <c r="G547" s="1">
        <v>37393</v>
      </c>
      <c r="H547" s="2">
        <v>45290</v>
      </c>
      <c r="I547" t="s">
        <v>41</v>
      </c>
      <c r="J547" t="s">
        <v>584</v>
      </c>
      <c r="K547" t="s">
        <v>29</v>
      </c>
    </row>
    <row r="548" spans="1:11">
      <c r="A548" t="s">
        <v>24</v>
      </c>
      <c r="B548" t="s">
        <v>19</v>
      </c>
      <c r="C548" t="s">
        <v>59</v>
      </c>
      <c r="D548" t="s">
        <v>21</v>
      </c>
      <c r="E548">
        <v>30</v>
      </c>
      <c r="F548">
        <v>1064</v>
      </c>
      <c r="G548" s="1">
        <v>11558</v>
      </c>
      <c r="H548" s="2">
        <v>45485</v>
      </c>
      <c r="I548" t="s">
        <v>39</v>
      </c>
      <c r="J548" t="s">
        <v>585</v>
      </c>
      <c r="K548" t="s">
        <v>44</v>
      </c>
    </row>
    <row r="549" spans="1:11">
      <c r="A549" t="s">
        <v>45</v>
      </c>
      <c r="B549" t="s">
        <v>51</v>
      </c>
      <c r="C549" t="s">
        <v>59</v>
      </c>
      <c r="D549" t="s">
        <v>14</v>
      </c>
      <c r="E549" t="s">
        <v>15</v>
      </c>
      <c r="F549">
        <v>336</v>
      </c>
      <c r="G549" s="1">
        <v>7855</v>
      </c>
      <c r="H549" s="2">
        <v>45166</v>
      </c>
      <c r="I549" t="s">
        <v>32</v>
      </c>
      <c r="J549" t="s">
        <v>586</v>
      </c>
      <c r="K549" t="s">
        <v>47</v>
      </c>
    </row>
    <row r="550" spans="1:11">
      <c r="A550" t="s">
        <v>35</v>
      </c>
      <c r="B550" t="s">
        <v>36</v>
      </c>
      <c r="C550" t="s">
        <v>13</v>
      </c>
      <c r="D550" t="s">
        <v>21</v>
      </c>
      <c r="E550" t="s">
        <v>15</v>
      </c>
      <c r="F550">
        <v>1334</v>
      </c>
      <c r="G550" s="1">
        <v>30566</v>
      </c>
      <c r="H550" s="2">
        <v>45279</v>
      </c>
      <c r="I550" t="s">
        <v>41</v>
      </c>
      <c r="J550" t="s">
        <v>587</v>
      </c>
      <c r="K550" t="s">
        <v>34</v>
      </c>
    </row>
    <row r="551" spans="1:11">
      <c r="A551" t="s">
        <v>64</v>
      </c>
      <c r="B551" t="s">
        <v>19</v>
      </c>
      <c r="C551" t="s">
        <v>20</v>
      </c>
      <c r="D551" t="s">
        <v>21</v>
      </c>
      <c r="E551" t="s">
        <v>22</v>
      </c>
      <c r="F551">
        <v>472</v>
      </c>
      <c r="G551" s="1">
        <v>23247</v>
      </c>
      <c r="H551" s="2">
        <v>45280</v>
      </c>
      <c r="I551" t="s">
        <v>32</v>
      </c>
      <c r="J551" t="s">
        <v>588</v>
      </c>
      <c r="K551" t="s">
        <v>29</v>
      </c>
    </row>
    <row r="552" spans="1:11">
      <c r="A552" t="s">
        <v>64</v>
      </c>
      <c r="B552" t="s">
        <v>36</v>
      </c>
      <c r="C552" t="s">
        <v>25</v>
      </c>
      <c r="D552" t="s">
        <v>26</v>
      </c>
      <c r="E552" t="s">
        <v>22</v>
      </c>
      <c r="F552">
        <v>169</v>
      </c>
      <c r="G552" s="1">
        <v>18665</v>
      </c>
      <c r="H552" s="2">
        <v>45322</v>
      </c>
      <c r="I552" t="s">
        <v>39</v>
      </c>
      <c r="J552" t="s">
        <v>589</v>
      </c>
      <c r="K552" t="s">
        <v>34</v>
      </c>
    </row>
    <row r="553" spans="1:11">
      <c r="A553" t="s">
        <v>35</v>
      </c>
      <c r="B553" t="s">
        <v>49</v>
      </c>
      <c r="C553" t="s">
        <v>59</v>
      </c>
      <c r="D553" t="s">
        <v>14</v>
      </c>
      <c r="E553" t="s">
        <v>22</v>
      </c>
      <c r="F553">
        <v>150</v>
      </c>
      <c r="G553" s="1">
        <v>8735</v>
      </c>
      <c r="H553" s="2">
        <v>45217</v>
      </c>
      <c r="I553" t="s">
        <v>41</v>
      </c>
      <c r="J553" t="s">
        <v>590</v>
      </c>
      <c r="K553" t="s">
        <v>47</v>
      </c>
    </row>
    <row r="554" spans="1:11">
      <c r="A554" t="s">
        <v>64</v>
      </c>
      <c r="B554" t="s">
        <v>36</v>
      </c>
      <c r="C554" t="s">
        <v>30</v>
      </c>
      <c r="D554" t="s">
        <v>14</v>
      </c>
      <c r="E554" t="s">
        <v>38</v>
      </c>
      <c r="F554">
        <v>1503</v>
      </c>
      <c r="G554" s="1">
        <v>19148</v>
      </c>
      <c r="H554" s="2">
        <v>45209</v>
      </c>
      <c r="I554" t="s">
        <v>41</v>
      </c>
      <c r="J554" t="s">
        <v>591</v>
      </c>
      <c r="K554" t="s">
        <v>18</v>
      </c>
    </row>
    <row r="555" spans="1:11">
      <c r="A555" t="s">
        <v>45</v>
      </c>
      <c r="B555" t="s">
        <v>19</v>
      </c>
      <c r="C555" t="s">
        <v>59</v>
      </c>
      <c r="D555" t="s">
        <v>14</v>
      </c>
      <c r="E555" t="s">
        <v>15</v>
      </c>
      <c r="F555">
        <v>355</v>
      </c>
      <c r="G555" s="1">
        <v>33093</v>
      </c>
      <c r="H555" s="2">
        <v>45430</v>
      </c>
      <c r="I555" t="s">
        <v>41</v>
      </c>
      <c r="J555" t="s">
        <v>592</v>
      </c>
      <c r="K555" t="s">
        <v>29</v>
      </c>
    </row>
    <row r="556" spans="1:11">
      <c r="A556" t="s">
        <v>45</v>
      </c>
      <c r="B556" t="s">
        <v>12</v>
      </c>
      <c r="C556" t="s">
        <v>30</v>
      </c>
      <c r="D556" t="s">
        <v>14</v>
      </c>
      <c r="E556" t="s">
        <v>15</v>
      </c>
      <c r="F556">
        <v>1215</v>
      </c>
      <c r="G556" s="1">
        <v>12727</v>
      </c>
      <c r="H556" s="2">
        <v>45260</v>
      </c>
      <c r="I556" t="s">
        <v>41</v>
      </c>
      <c r="J556" t="s">
        <v>593</v>
      </c>
      <c r="K556" t="s">
        <v>34</v>
      </c>
    </row>
    <row r="557" spans="1:11">
      <c r="A557" t="s">
        <v>64</v>
      </c>
      <c r="B557" t="s">
        <v>36</v>
      </c>
      <c r="C557" t="s">
        <v>13</v>
      </c>
      <c r="D557" t="s">
        <v>26</v>
      </c>
      <c r="E557" t="s">
        <v>15</v>
      </c>
      <c r="F557">
        <v>857</v>
      </c>
      <c r="G557" s="1">
        <v>26479</v>
      </c>
      <c r="H557" s="2">
        <v>45163</v>
      </c>
      <c r="I557" t="s">
        <v>32</v>
      </c>
      <c r="J557" t="s">
        <v>594</v>
      </c>
      <c r="K557" t="s">
        <v>34</v>
      </c>
    </row>
    <row r="558" spans="1:11">
      <c r="A558" t="s">
        <v>24</v>
      </c>
      <c r="B558" t="s">
        <v>12</v>
      </c>
      <c r="C558" t="s">
        <v>20</v>
      </c>
      <c r="D558" t="s">
        <v>66</v>
      </c>
      <c r="E558" t="s">
        <v>22</v>
      </c>
      <c r="F558">
        <v>914</v>
      </c>
      <c r="G558" s="1">
        <v>28345</v>
      </c>
      <c r="H558" s="2">
        <v>45343</v>
      </c>
      <c r="I558" t="s">
        <v>27</v>
      </c>
      <c r="J558" t="s">
        <v>595</v>
      </c>
      <c r="K558" t="s">
        <v>29</v>
      </c>
    </row>
    <row r="559" spans="1:11">
      <c r="A559" t="s">
        <v>24</v>
      </c>
      <c r="B559" t="s">
        <v>36</v>
      </c>
      <c r="C559" t="s">
        <v>13</v>
      </c>
      <c r="D559" t="s">
        <v>14</v>
      </c>
      <c r="E559" t="s">
        <v>22</v>
      </c>
      <c r="F559">
        <v>1513</v>
      </c>
      <c r="G559" s="1">
        <v>16791</v>
      </c>
      <c r="H559" s="2">
        <v>45501</v>
      </c>
      <c r="I559" t="s">
        <v>16</v>
      </c>
      <c r="J559" t="s">
        <v>596</v>
      </c>
      <c r="K559" t="s">
        <v>47</v>
      </c>
    </row>
    <row r="560" spans="1:11">
      <c r="A560" t="s">
        <v>64</v>
      </c>
      <c r="B560" t="s">
        <v>36</v>
      </c>
      <c r="C560" t="s">
        <v>30</v>
      </c>
      <c r="D560" t="s">
        <v>21</v>
      </c>
      <c r="E560" t="s">
        <v>22</v>
      </c>
      <c r="F560">
        <v>809</v>
      </c>
      <c r="G560" s="1">
        <v>1788</v>
      </c>
      <c r="H560" s="2">
        <v>45188</v>
      </c>
      <c r="I560" t="s">
        <v>16</v>
      </c>
      <c r="J560" t="s">
        <v>597</v>
      </c>
      <c r="K560" t="s">
        <v>44</v>
      </c>
    </row>
    <row r="561" spans="1:11">
      <c r="A561" t="s">
        <v>45</v>
      </c>
      <c r="B561" t="s">
        <v>19</v>
      </c>
      <c r="C561" t="s">
        <v>13</v>
      </c>
      <c r="D561" t="s">
        <v>31</v>
      </c>
      <c r="E561" t="s">
        <v>38</v>
      </c>
      <c r="F561">
        <v>1696</v>
      </c>
      <c r="G561" s="1">
        <v>42076</v>
      </c>
      <c r="H561" s="2">
        <v>45378</v>
      </c>
      <c r="I561" t="s">
        <v>27</v>
      </c>
      <c r="J561" t="s">
        <v>598</v>
      </c>
      <c r="K561" t="s">
        <v>34</v>
      </c>
    </row>
    <row r="562" spans="1:11">
      <c r="A562" t="s">
        <v>64</v>
      </c>
      <c r="B562" t="s">
        <v>36</v>
      </c>
      <c r="C562" t="s">
        <v>20</v>
      </c>
      <c r="D562" t="s">
        <v>21</v>
      </c>
      <c r="E562" t="s">
        <v>15</v>
      </c>
      <c r="F562">
        <v>1943</v>
      </c>
      <c r="G562" s="1">
        <v>42637</v>
      </c>
      <c r="H562" s="2">
        <v>45395</v>
      </c>
      <c r="I562" t="s">
        <v>41</v>
      </c>
      <c r="J562" t="s">
        <v>599</v>
      </c>
      <c r="K562" t="s">
        <v>44</v>
      </c>
    </row>
    <row r="563" spans="1:11">
      <c r="A563" t="s">
        <v>11</v>
      </c>
      <c r="B563" t="s">
        <v>12</v>
      </c>
      <c r="C563" t="s">
        <v>20</v>
      </c>
      <c r="D563" t="s">
        <v>14</v>
      </c>
      <c r="E563" t="s">
        <v>38</v>
      </c>
      <c r="F563">
        <v>794</v>
      </c>
      <c r="G563" s="1">
        <v>5918</v>
      </c>
      <c r="H563" s="2">
        <v>45396</v>
      </c>
      <c r="I563" t="s">
        <v>27</v>
      </c>
      <c r="J563" t="s">
        <v>600</v>
      </c>
      <c r="K563" t="s">
        <v>29</v>
      </c>
    </row>
    <row r="564" spans="1:11">
      <c r="A564" t="s">
        <v>45</v>
      </c>
      <c r="B564" t="s">
        <v>49</v>
      </c>
      <c r="C564" t="s">
        <v>20</v>
      </c>
      <c r="D564" t="s">
        <v>21</v>
      </c>
      <c r="E564">
        <v>60</v>
      </c>
      <c r="F564">
        <v>601</v>
      </c>
      <c r="G564" s="1">
        <v>7096</v>
      </c>
      <c r="H564" s="2">
        <v>45471</v>
      </c>
      <c r="I564" t="s">
        <v>39</v>
      </c>
      <c r="J564" t="s">
        <v>601</v>
      </c>
      <c r="K564" t="s">
        <v>34</v>
      </c>
    </row>
    <row r="565" spans="1:11">
      <c r="A565" t="s">
        <v>64</v>
      </c>
      <c r="B565" t="s">
        <v>12</v>
      </c>
      <c r="C565" t="s">
        <v>20</v>
      </c>
      <c r="D565" t="s">
        <v>14</v>
      </c>
      <c r="E565">
        <v>30</v>
      </c>
      <c r="F565">
        <v>1954</v>
      </c>
      <c r="G565" s="1">
        <v>14676</v>
      </c>
      <c r="H565" s="2">
        <v>45280</v>
      </c>
      <c r="I565" t="s">
        <v>27</v>
      </c>
      <c r="J565" t="s">
        <v>602</v>
      </c>
      <c r="K565" t="s">
        <v>44</v>
      </c>
    </row>
    <row r="566" spans="1:11">
      <c r="A566" t="s">
        <v>64</v>
      </c>
      <c r="B566" t="s">
        <v>49</v>
      </c>
      <c r="C566" t="s">
        <v>13</v>
      </c>
      <c r="D566" t="s">
        <v>31</v>
      </c>
      <c r="E566">
        <v>30</v>
      </c>
      <c r="F566">
        <v>301</v>
      </c>
      <c r="G566" s="1">
        <v>28337</v>
      </c>
      <c r="H566" s="2">
        <v>45209</v>
      </c>
      <c r="I566" t="s">
        <v>27</v>
      </c>
      <c r="J566" t="s">
        <v>603</v>
      </c>
      <c r="K566" t="s">
        <v>34</v>
      </c>
    </row>
    <row r="567" spans="1:11">
      <c r="A567" t="s">
        <v>64</v>
      </c>
      <c r="B567" t="s">
        <v>51</v>
      </c>
      <c r="C567" t="s">
        <v>20</v>
      </c>
      <c r="D567" t="s">
        <v>66</v>
      </c>
      <c r="E567" t="s">
        <v>15</v>
      </c>
      <c r="F567">
        <v>648</v>
      </c>
      <c r="G567" s="1">
        <v>34565</v>
      </c>
      <c r="H567" s="2">
        <v>45453</v>
      </c>
      <c r="I567" t="s">
        <v>16</v>
      </c>
      <c r="J567" t="s">
        <v>604</v>
      </c>
      <c r="K567" t="s">
        <v>44</v>
      </c>
    </row>
    <row r="568" spans="1:11">
      <c r="A568" t="s">
        <v>24</v>
      </c>
      <c r="B568" t="s">
        <v>12</v>
      </c>
      <c r="C568" t="s">
        <v>30</v>
      </c>
      <c r="D568" t="s">
        <v>31</v>
      </c>
      <c r="E568" t="s">
        <v>15</v>
      </c>
      <c r="F568">
        <v>508</v>
      </c>
      <c r="G568" s="1">
        <v>9190</v>
      </c>
      <c r="H568" s="2">
        <v>45225</v>
      </c>
      <c r="I568" t="s">
        <v>27</v>
      </c>
      <c r="J568" t="s">
        <v>605</v>
      </c>
      <c r="K568" t="s">
        <v>29</v>
      </c>
    </row>
    <row r="569" spans="1:11">
      <c r="A569" t="s">
        <v>24</v>
      </c>
      <c r="B569" t="s">
        <v>49</v>
      </c>
      <c r="C569" t="s">
        <v>30</v>
      </c>
      <c r="D569" t="s">
        <v>14</v>
      </c>
      <c r="E569">
        <v>30</v>
      </c>
      <c r="F569">
        <v>1259</v>
      </c>
      <c r="G569" s="1">
        <v>21505</v>
      </c>
      <c r="H569" s="2">
        <v>45204</v>
      </c>
      <c r="I569" t="s">
        <v>39</v>
      </c>
      <c r="J569" t="s">
        <v>606</v>
      </c>
      <c r="K569" t="s">
        <v>44</v>
      </c>
    </row>
    <row r="570" spans="1:11">
      <c r="A570" t="s">
        <v>35</v>
      </c>
      <c r="B570" t="s">
        <v>49</v>
      </c>
      <c r="C570" t="s">
        <v>30</v>
      </c>
      <c r="D570" t="s">
        <v>14</v>
      </c>
      <c r="E570">
        <v>60</v>
      </c>
      <c r="F570">
        <v>1922</v>
      </c>
      <c r="G570" s="1">
        <v>5404</v>
      </c>
      <c r="H570" s="2">
        <v>45287</v>
      </c>
      <c r="I570" t="s">
        <v>27</v>
      </c>
      <c r="J570" t="s">
        <v>607</v>
      </c>
      <c r="K570" t="s">
        <v>29</v>
      </c>
    </row>
    <row r="571" spans="1:11">
      <c r="A571" t="s">
        <v>35</v>
      </c>
      <c r="B571" t="s">
        <v>12</v>
      </c>
      <c r="C571" t="s">
        <v>13</v>
      </c>
      <c r="D571" t="s">
        <v>14</v>
      </c>
      <c r="E571" t="s">
        <v>22</v>
      </c>
      <c r="F571">
        <v>1769</v>
      </c>
      <c r="G571" s="1">
        <v>49043</v>
      </c>
      <c r="H571" s="2">
        <v>45206</v>
      </c>
      <c r="I571" t="s">
        <v>16</v>
      </c>
      <c r="J571" t="s">
        <v>608</v>
      </c>
      <c r="K571" t="s">
        <v>44</v>
      </c>
    </row>
    <row r="572" spans="1:11">
      <c r="A572" t="s">
        <v>11</v>
      </c>
      <c r="B572" t="s">
        <v>49</v>
      </c>
      <c r="C572" t="s">
        <v>25</v>
      </c>
      <c r="D572" t="s">
        <v>26</v>
      </c>
      <c r="E572" t="s">
        <v>22</v>
      </c>
      <c r="F572">
        <v>348</v>
      </c>
      <c r="G572" s="1">
        <v>40962</v>
      </c>
      <c r="H572" s="2">
        <v>45145</v>
      </c>
      <c r="I572" t="s">
        <v>16</v>
      </c>
      <c r="J572" t="s">
        <v>609</v>
      </c>
      <c r="K572" t="s">
        <v>29</v>
      </c>
    </row>
    <row r="573" spans="1:11">
      <c r="A573" t="s">
        <v>35</v>
      </c>
      <c r="B573" t="s">
        <v>49</v>
      </c>
      <c r="C573" t="s">
        <v>20</v>
      </c>
      <c r="D573" t="s">
        <v>26</v>
      </c>
      <c r="E573" t="s">
        <v>15</v>
      </c>
      <c r="F573">
        <v>317</v>
      </c>
      <c r="G573" s="1">
        <v>17536</v>
      </c>
      <c r="H573" s="2">
        <v>45351</v>
      </c>
      <c r="I573" t="s">
        <v>27</v>
      </c>
      <c r="J573" t="s">
        <v>610</v>
      </c>
      <c r="K573" t="s">
        <v>47</v>
      </c>
    </row>
    <row r="574" spans="1:11">
      <c r="A574" t="s">
        <v>64</v>
      </c>
      <c r="B574" t="s">
        <v>19</v>
      </c>
      <c r="C574" t="s">
        <v>13</v>
      </c>
      <c r="D574" t="s">
        <v>66</v>
      </c>
      <c r="E574" t="s">
        <v>22</v>
      </c>
      <c r="F574">
        <v>832</v>
      </c>
      <c r="G574" s="1">
        <v>14813</v>
      </c>
      <c r="H574" s="2">
        <v>45231</v>
      </c>
      <c r="I574" t="s">
        <v>41</v>
      </c>
      <c r="J574" t="s">
        <v>611</v>
      </c>
      <c r="K574" t="s">
        <v>47</v>
      </c>
    </row>
    <row r="575" spans="1:11">
      <c r="A575" t="s">
        <v>11</v>
      </c>
      <c r="B575" t="s">
        <v>12</v>
      </c>
      <c r="C575" t="s">
        <v>30</v>
      </c>
      <c r="D575" t="s">
        <v>26</v>
      </c>
      <c r="E575" t="s">
        <v>15</v>
      </c>
      <c r="F575">
        <v>1217</v>
      </c>
      <c r="G575" s="1">
        <v>44230</v>
      </c>
      <c r="H575" s="2">
        <v>45163</v>
      </c>
      <c r="I575" t="s">
        <v>32</v>
      </c>
      <c r="J575" t="s">
        <v>612</v>
      </c>
      <c r="K575" t="s">
        <v>18</v>
      </c>
    </row>
    <row r="576" spans="1:11">
      <c r="A576" t="s">
        <v>11</v>
      </c>
      <c r="B576" t="s">
        <v>36</v>
      </c>
      <c r="C576" t="s">
        <v>13</v>
      </c>
      <c r="D576" t="s">
        <v>31</v>
      </c>
      <c r="E576">
        <v>30</v>
      </c>
      <c r="F576">
        <v>987</v>
      </c>
      <c r="G576" s="1">
        <v>46351</v>
      </c>
      <c r="H576" s="2">
        <v>45395</v>
      </c>
      <c r="I576" t="s">
        <v>32</v>
      </c>
      <c r="J576" t="s">
        <v>613</v>
      </c>
      <c r="K576" t="s">
        <v>34</v>
      </c>
    </row>
    <row r="577" spans="1:11">
      <c r="A577" t="s">
        <v>35</v>
      </c>
      <c r="B577" t="s">
        <v>36</v>
      </c>
      <c r="C577" t="s">
        <v>20</v>
      </c>
      <c r="D577" t="s">
        <v>14</v>
      </c>
      <c r="E577">
        <v>30</v>
      </c>
      <c r="F577">
        <v>1544</v>
      </c>
      <c r="G577" s="1">
        <v>28088</v>
      </c>
      <c r="H577" s="2">
        <v>45396</v>
      </c>
      <c r="I577" t="s">
        <v>16</v>
      </c>
      <c r="J577" t="s">
        <v>614</v>
      </c>
      <c r="K577" t="s">
        <v>29</v>
      </c>
    </row>
    <row r="578" spans="1:11">
      <c r="A578" t="s">
        <v>35</v>
      </c>
      <c r="B578" t="s">
        <v>49</v>
      </c>
      <c r="C578" t="s">
        <v>30</v>
      </c>
      <c r="D578" t="s">
        <v>31</v>
      </c>
      <c r="E578" t="s">
        <v>15</v>
      </c>
      <c r="F578">
        <v>1500</v>
      </c>
      <c r="G578" s="1">
        <v>33627</v>
      </c>
      <c r="H578" s="2">
        <v>45235</v>
      </c>
      <c r="I578" t="s">
        <v>27</v>
      </c>
      <c r="J578" t="s">
        <v>615</v>
      </c>
      <c r="K578" t="s">
        <v>29</v>
      </c>
    </row>
    <row r="579" spans="1:11">
      <c r="A579" t="s">
        <v>11</v>
      </c>
      <c r="B579" t="s">
        <v>36</v>
      </c>
      <c r="C579" t="s">
        <v>59</v>
      </c>
      <c r="D579" t="s">
        <v>66</v>
      </c>
      <c r="E579" t="s">
        <v>22</v>
      </c>
      <c r="F579">
        <v>1406</v>
      </c>
      <c r="G579" s="1">
        <v>38824</v>
      </c>
      <c r="H579" s="2">
        <v>45289</v>
      </c>
      <c r="I579" t="s">
        <v>39</v>
      </c>
      <c r="J579" t="s">
        <v>616</v>
      </c>
      <c r="K579" t="s">
        <v>34</v>
      </c>
    </row>
    <row r="580" spans="1:11">
      <c r="A580" t="s">
        <v>11</v>
      </c>
      <c r="B580" t="s">
        <v>51</v>
      </c>
      <c r="C580" t="s">
        <v>30</v>
      </c>
      <c r="D580" t="s">
        <v>21</v>
      </c>
      <c r="E580" t="s">
        <v>15</v>
      </c>
      <c r="F580">
        <v>1176</v>
      </c>
      <c r="G580" s="1">
        <v>3089</v>
      </c>
      <c r="H580" s="2">
        <v>45140</v>
      </c>
      <c r="I580" t="s">
        <v>39</v>
      </c>
      <c r="J580" t="s">
        <v>617</v>
      </c>
      <c r="K580" t="s">
        <v>18</v>
      </c>
    </row>
    <row r="581" spans="1:11">
      <c r="A581" t="s">
        <v>11</v>
      </c>
      <c r="B581" t="s">
        <v>12</v>
      </c>
      <c r="C581" t="s">
        <v>59</v>
      </c>
      <c r="D581" t="s">
        <v>21</v>
      </c>
      <c r="E581" t="s">
        <v>38</v>
      </c>
      <c r="F581">
        <v>1806</v>
      </c>
      <c r="G581" s="1">
        <v>24517</v>
      </c>
      <c r="H581" s="2">
        <v>45398</v>
      </c>
      <c r="I581" t="s">
        <v>16</v>
      </c>
      <c r="J581" t="s">
        <v>618</v>
      </c>
      <c r="K581" t="s">
        <v>44</v>
      </c>
    </row>
    <row r="582" spans="1:11">
      <c r="A582" t="s">
        <v>45</v>
      </c>
      <c r="B582" t="s">
        <v>36</v>
      </c>
      <c r="C582" t="s">
        <v>59</v>
      </c>
      <c r="D582" t="s">
        <v>66</v>
      </c>
      <c r="E582">
        <v>30</v>
      </c>
      <c r="F582">
        <v>1187</v>
      </c>
      <c r="G582" s="1">
        <v>25578</v>
      </c>
      <c r="H582" s="2">
        <v>45220</v>
      </c>
      <c r="I582" t="s">
        <v>41</v>
      </c>
      <c r="J582" t="s">
        <v>619</v>
      </c>
      <c r="K582" t="s">
        <v>18</v>
      </c>
    </row>
    <row r="583" spans="1:11">
      <c r="A583" t="s">
        <v>45</v>
      </c>
      <c r="B583" t="s">
        <v>12</v>
      </c>
      <c r="C583" t="s">
        <v>20</v>
      </c>
      <c r="D583" t="s">
        <v>66</v>
      </c>
      <c r="E583" t="s">
        <v>38</v>
      </c>
      <c r="F583">
        <v>606</v>
      </c>
      <c r="G583" s="1">
        <v>19299</v>
      </c>
      <c r="H583" s="2">
        <v>45358</v>
      </c>
      <c r="I583" t="s">
        <v>41</v>
      </c>
      <c r="J583" t="s">
        <v>620</v>
      </c>
      <c r="K583" t="s">
        <v>44</v>
      </c>
    </row>
    <row r="584" spans="1:11">
      <c r="A584" t="s">
        <v>64</v>
      </c>
      <c r="B584" t="s">
        <v>49</v>
      </c>
      <c r="C584" t="s">
        <v>30</v>
      </c>
      <c r="D584" t="s">
        <v>26</v>
      </c>
      <c r="E584">
        <v>30</v>
      </c>
      <c r="F584">
        <v>1824</v>
      </c>
      <c r="G584" s="1">
        <v>35974</v>
      </c>
      <c r="H584" s="2">
        <v>45141</v>
      </c>
      <c r="I584" t="s">
        <v>39</v>
      </c>
      <c r="J584" t="s">
        <v>621</v>
      </c>
      <c r="K584" t="s">
        <v>29</v>
      </c>
    </row>
    <row r="585" spans="1:11">
      <c r="A585" t="s">
        <v>11</v>
      </c>
      <c r="B585" t="s">
        <v>49</v>
      </c>
      <c r="C585" t="s">
        <v>13</v>
      </c>
      <c r="D585" t="s">
        <v>14</v>
      </c>
      <c r="E585">
        <v>30</v>
      </c>
      <c r="F585">
        <v>1082</v>
      </c>
      <c r="G585" s="1">
        <v>1598</v>
      </c>
      <c r="H585" s="2">
        <v>45197</v>
      </c>
      <c r="I585" t="s">
        <v>41</v>
      </c>
      <c r="J585" t="s">
        <v>622</v>
      </c>
      <c r="K585" t="s">
        <v>47</v>
      </c>
    </row>
    <row r="586" spans="1:11">
      <c r="A586" t="s">
        <v>11</v>
      </c>
      <c r="B586" t="s">
        <v>12</v>
      </c>
      <c r="C586" t="s">
        <v>30</v>
      </c>
      <c r="D586" t="s">
        <v>21</v>
      </c>
      <c r="E586" t="s">
        <v>15</v>
      </c>
      <c r="F586">
        <v>1738</v>
      </c>
      <c r="G586" s="1">
        <v>46460</v>
      </c>
      <c r="H586" s="2">
        <v>45380</v>
      </c>
      <c r="I586" t="s">
        <v>16</v>
      </c>
      <c r="J586" t="s">
        <v>623</v>
      </c>
      <c r="K586" t="s">
        <v>44</v>
      </c>
    </row>
    <row r="587" spans="1:11">
      <c r="A587" t="s">
        <v>45</v>
      </c>
      <c r="B587" t="s">
        <v>49</v>
      </c>
      <c r="C587" t="s">
        <v>25</v>
      </c>
      <c r="D587" t="s">
        <v>66</v>
      </c>
      <c r="E587" t="s">
        <v>22</v>
      </c>
      <c r="F587">
        <v>566</v>
      </c>
      <c r="G587" s="1">
        <v>7773</v>
      </c>
      <c r="H587" s="2">
        <v>45192</v>
      </c>
      <c r="I587" t="s">
        <v>39</v>
      </c>
      <c r="J587" t="s">
        <v>624</v>
      </c>
      <c r="K587" t="s">
        <v>34</v>
      </c>
    </row>
    <row r="588" spans="1:11">
      <c r="A588" t="s">
        <v>64</v>
      </c>
      <c r="B588" t="s">
        <v>49</v>
      </c>
      <c r="C588" t="s">
        <v>13</v>
      </c>
      <c r="D588" t="s">
        <v>26</v>
      </c>
      <c r="E588" t="s">
        <v>22</v>
      </c>
      <c r="F588">
        <v>1542</v>
      </c>
      <c r="G588" s="1">
        <v>18211</v>
      </c>
      <c r="H588" s="2">
        <v>45218</v>
      </c>
      <c r="I588" t="s">
        <v>39</v>
      </c>
      <c r="J588" t="s">
        <v>625</v>
      </c>
      <c r="K588" t="s">
        <v>34</v>
      </c>
    </row>
    <row r="589" spans="1:11">
      <c r="A589" t="s">
        <v>11</v>
      </c>
      <c r="B589" t="s">
        <v>51</v>
      </c>
      <c r="C589" t="s">
        <v>25</v>
      </c>
      <c r="D589" t="s">
        <v>66</v>
      </c>
      <c r="E589" t="s">
        <v>22</v>
      </c>
      <c r="F589">
        <v>1818</v>
      </c>
      <c r="G589" s="1">
        <v>24007</v>
      </c>
      <c r="H589" s="2">
        <v>45427</v>
      </c>
      <c r="I589" t="s">
        <v>32</v>
      </c>
      <c r="J589" t="s">
        <v>626</v>
      </c>
      <c r="K589" t="s">
        <v>47</v>
      </c>
    </row>
    <row r="590" spans="1:11">
      <c r="A590" t="s">
        <v>35</v>
      </c>
      <c r="B590" t="s">
        <v>19</v>
      </c>
      <c r="C590" t="s">
        <v>20</v>
      </c>
      <c r="D590" t="s">
        <v>21</v>
      </c>
      <c r="E590" t="s">
        <v>38</v>
      </c>
      <c r="F590">
        <v>380</v>
      </c>
      <c r="G590" s="1">
        <v>19627</v>
      </c>
      <c r="H590" s="2">
        <v>45408</v>
      </c>
      <c r="I590" t="s">
        <v>27</v>
      </c>
      <c r="J590" t="s">
        <v>627</v>
      </c>
      <c r="K590" t="s">
        <v>18</v>
      </c>
    </row>
    <row r="591" spans="1:11">
      <c r="A591" t="s">
        <v>35</v>
      </c>
      <c r="B591" t="s">
        <v>49</v>
      </c>
      <c r="C591" t="s">
        <v>20</v>
      </c>
      <c r="D591" t="s">
        <v>21</v>
      </c>
      <c r="E591">
        <v>30</v>
      </c>
      <c r="F591">
        <v>1258</v>
      </c>
      <c r="G591" s="1">
        <v>32636</v>
      </c>
      <c r="H591" s="2">
        <v>45205</v>
      </c>
      <c r="I591" t="s">
        <v>16</v>
      </c>
      <c r="J591" t="s">
        <v>628</v>
      </c>
      <c r="K591" t="s">
        <v>18</v>
      </c>
    </row>
    <row r="592" spans="1:11">
      <c r="A592" t="s">
        <v>11</v>
      </c>
      <c r="B592" t="s">
        <v>19</v>
      </c>
      <c r="C592" t="s">
        <v>30</v>
      </c>
      <c r="D592" t="s">
        <v>21</v>
      </c>
      <c r="E592" t="s">
        <v>38</v>
      </c>
      <c r="F592">
        <v>271</v>
      </c>
      <c r="G592" s="1">
        <v>42665</v>
      </c>
      <c r="H592" s="2">
        <v>45496</v>
      </c>
      <c r="I592" t="s">
        <v>39</v>
      </c>
      <c r="J592" t="s">
        <v>629</v>
      </c>
      <c r="K592" t="s">
        <v>34</v>
      </c>
    </row>
    <row r="593" spans="1:11">
      <c r="A593" t="s">
        <v>35</v>
      </c>
      <c r="B593" t="s">
        <v>51</v>
      </c>
      <c r="C593" t="s">
        <v>20</v>
      </c>
      <c r="D593" t="s">
        <v>14</v>
      </c>
      <c r="E593">
        <v>60</v>
      </c>
      <c r="F593">
        <v>1450</v>
      </c>
      <c r="G593" s="1">
        <v>41272</v>
      </c>
      <c r="H593" s="2">
        <v>45194</v>
      </c>
      <c r="I593" t="s">
        <v>27</v>
      </c>
      <c r="J593" t="s">
        <v>630</v>
      </c>
      <c r="K593" t="s">
        <v>44</v>
      </c>
    </row>
    <row r="594" spans="1:11">
      <c r="A594" t="s">
        <v>11</v>
      </c>
      <c r="B594" t="s">
        <v>12</v>
      </c>
      <c r="C594" t="s">
        <v>25</v>
      </c>
      <c r="D594" t="s">
        <v>21</v>
      </c>
      <c r="E594" t="s">
        <v>38</v>
      </c>
      <c r="F594">
        <v>880</v>
      </c>
      <c r="G594" s="1">
        <v>41888</v>
      </c>
      <c r="H594" s="2">
        <v>45323</v>
      </c>
      <c r="I594" t="s">
        <v>41</v>
      </c>
      <c r="J594" t="s">
        <v>631</v>
      </c>
      <c r="K594" t="s">
        <v>44</v>
      </c>
    </row>
    <row r="595" spans="1:11">
      <c r="A595" t="s">
        <v>45</v>
      </c>
      <c r="B595" t="s">
        <v>51</v>
      </c>
      <c r="C595" t="s">
        <v>59</v>
      </c>
      <c r="D595" t="s">
        <v>31</v>
      </c>
      <c r="E595" t="s">
        <v>22</v>
      </c>
      <c r="F595">
        <v>946</v>
      </c>
      <c r="G595" s="1">
        <v>11455</v>
      </c>
      <c r="H595" s="2">
        <v>45249</v>
      </c>
      <c r="I595" t="s">
        <v>39</v>
      </c>
      <c r="J595" t="s">
        <v>632</v>
      </c>
      <c r="K595" t="s">
        <v>34</v>
      </c>
    </row>
    <row r="596" spans="1:11">
      <c r="A596" t="s">
        <v>24</v>
      </c>
      <c r="B596" t="s">
        <v>12</v>
      </c>
      <c r="C596" t="s">
        <v>30</v>
      </c>
      <c r="D596" t="s">
        <v>14</v>
      </c>
      <c r="E596" t="s">
        <v>15</v>
      </c>
      <c r="F596">
        <v>1435</v>
      </c>
      <c r="G596" s="1">
        <v>5947</v>
      </c>
      <c r="H596" s="2">
        <v>45459</v>
      </c>
      <c r="I596" t="s">
        <v>41</v>
      </c>
      <c r="J596" t="s">
        <v>633</v>
      </c>
      <c r="K596" t="s">
        <v>29</v>
      </c>
    </row>
    <row r="597" spans="1:11">
      <c r="A597" t="s">
        <v>35</v>
      </c>
      <c r="B597" t="s">
        <v>49</v>
      </c>
      <c r="C597" t="s">
        <v>25</v>
      </c>
      <c r="D597" t="s">
        <v>14</v>
      </c>
      <c r="E597" t="s">
        <v>15</v>
      </c>
      <c r="F597">
        <v>662</v>
      </c>
      <c r="G597" s="1">
        <v>42968</v>
      </c>
      <c r="H597" s="2">
        <v>45416</v>
      </c>
      <c r="I597" t="s">
        <v>32</v>
      </c>
      <c r="J597" t="s">
        <v>634</v>
      </c>
      <c r="K597" t="s">
        <v>29</v>
      </c>
    </row>
    <row r="598" spans="1:11">
      <c r="A598" t="s">
        <v>45</v>
      </c>
      <c r="B598" t="s">
        <v>51</v>
      </c>
      <c r="C598" t="s">
        <v>59</v>
      </c>
      <c r="D598" t="s">
        <v>31</v>
      </c>
      <c r="E598" t="s">
        <v>38</v>
      </c>
      <c r="F598">
        <v>974</v>
      </c>
      <c r="G598" s="1">
        <v>1233</v>
      </c>
      <c r="H598" s="2">
        <v>45272</v>
      </c>
      <c r="I598" t="s">
        <v>32</v>
      </c>
      <c r="J598" t="s">
        <v>635</v>
      </c>
      <c r="K598" t="s">
        <v>44</v>
      </c>
    </row>
    <row r="599" spans="1:11">
      <c r="A599" t="s">
        <v>11</v>
      </c>
      <c r="B599" t="s">
        <v>49</v>
      </c>
      <c r="C599" t="s">
        <v>25</v>
      </c>
      <c r="D599" t="s">
        <v>21</v>
      </c>
      <c r="E599" t="s">
        <v>22</v>
      </c>
      <c r="F599">
        <v>375</v>
      </c>
      <c r="G599" s="1">
        <v>48490</v>
      </c>
      <c r="H599" s="2">
        <v>45179</v>
      </c>
      <c r="I599" t="s">
        <v>32</v>
      </c>
      <c r="J599" t="s">
        <v>636</v>
      </c>
      <c r="K599" t="s">
        <v>44</v>
      </c>
    </row>
    <row r="600" spans="1:11">
      <c r="A600" t="s">
        <v>64</v>
      </c>
      <c r="B600" t="s">
        <v>51</v>
      </c>
      <c r="C600" t="s">
        <v>20</v>
      </c>
      <c r="D600" t="s">
        <v>14</v>
      </c>
      <c r="E600">
        <v>60</v>
      </c>
      <c r="F600">
        <v>1174</v>
      </c>
      <c r="G600" s="1">
        <v>45203</v>
      </c>
      <c r="H600" s="2">
        <v>45185</v>
      </c>
      <c r="I600" t="s">
        <v>32</v>
      </c>
      <c r="J600" t="s">
        <v>637</v>
      </c>
      <c r="K600" t="s">
        <v>29</v>
      </c>
    </row>
    <row r="601" spans="1:11">
      <c r="A601" t="s">
        <v>11</v>
      </c>
      <c r="B601" t="s">
        <v>12</v>
      </c>
      <c r="C601" t="s">
        <v>20</v>
      </c>
      <c r="D601" t="s">
        <v>14</v>
      </c>
      <c r="E601" t="s">
        <v>15</v>
      </c>
      <c r="F601">
        <v>826</v>
      </c>
      <c r="G601" s="1">
        <v>38948</v>
      </c>
      <c r="H601" s="2">
        <v>45425</v>
      </c>
      <c r="I601" t="s">
        <v>32</v>
      </c>
      <c r="J601" t="s">
        <v>638</v>
      </c>
      <c r="K601" t="s">
        <v>34</v>
      </c>
    </row>
    <row r="602" spans="1:11">
      <c r="A602" t="s">
        <v>64</v>
      </c>
      <c r="B602" t="s">
        <v>12</v>
      </c>
      <c r="C602" t="s">
        <v>20</v>
      </c>
      <c r="D602" t="s">
        <v>21</v>
      </c>
      <c r="E602" t="s">
        <v>22</v>
      </c>
      <c r="F602">
        <v>1991</v>
      </c>
      <c r="G602" s="1">
        <v>22125</v>
      </c>
      <c r="H602" s="2">
        <v>45289</v>
      </c>
      <c r="I602" t="s">
        <v>27</v>
      </c>
      <c r="J602" t="s">
        <v>639</v>
      </c>
      <c r="K602" t="s">
        <v>34</v>
      </c>
    </row>
    <row r="603" spans="1:11">
      <c r="A603" t="s">
        <v>45</v>
      </c>
      <c r="B603" t="s">
        <v>36</v>
      </c>
      <c r="C603" t="s">
        <v>13</v>
      </c>
      <c r="D603" t="s">
        <v>31</v>
      </c>
      <c r="E603">
        <v>30</v>
      </c>
      <c r="F603">
        <v>1847</v>
      </c>
      <c r="G603" s="1">
        <v>3341</v>
      </c>
      <c r="H603" s="2">
        <v>45319</v>
      </c>
      <c r="I603" t="s">
        <v>39</v>
      </c>
      <c r="J603" t="s">
        <v>640</v>
      </c>
      <c r="K603" t="s">
        <v>18</v>
      </c>
    </row>
    <row r="604" spans="1:11">
      <c r="A604" t="s">
        <v>11</v>
      </c>
      <c r="B604" t="s">
        <v>12</v>
      </c>
      <c r="C604" t="s">
        <v>13</v>
      </c>
      <c r="D604" t="s">
        <v>31</v>
      </c>
      <c r="E604" t="s">
        <v>15</v>
      </c>
      <c r="F604">
        <v>1902</v>
      </c>
      <c r="G604" s="1">
        <v>30721</v>
      </c>
      <c r="H604" s="2">
        <v>45206</v>
      </c>
      <c r="I604" t="s">
        <v>27</v>
      </c>
      <c r="J604" t="s">
        <v>641</v>
      </c>
      <c r="K604" t="s">
        <v>44</v>
      </c>
    </row>
    <row r="605" spans="1:11">
      <c r="A605" t="s">
        <v>35</v>
      </c>
      <c r="B605" t="s">
        <v>36</v>
      </c>
      <c r="C605" t="s">
        <v>25</v>
      </c>
      <c r="D605" t="s">
        <v>66</v>
      </c>
      <c r="E605">
        <v>30</v>
      </c>
      <c r="F605">
        <v>1565</v>
      </c>
      <c r="G605" s="1">
        <v>44406</v>
      </c>
      <c r="H605" s="2">
        <v>45413</v>
      </c>
      <c r="I605" t="s">
        <v>41</v>
      </c>
      <c r="J605" t="s">
        <v>642</v>
      </c>
      <c r="K605" t="s">
        <v>34</v>
      </c>
    </row>
    <row r="606" spans="1:11">
      <c r="A606" t="s">
        <v>45</v>
      </c>
      <c r="B606" t="s">
        <v>51</v>
      </c>
      <c r="C606" t="s">
        <v>59</v>
      </c>
      <c r="D606" t="s">
        <v>31</v>
      </c>
      <c r="E606">
        <v>60</v>
      </c>
      <c r="F606">
        <v>202</v>
      </c>
      <c r="G606" s="1">
        <v>29359</v>
      </c>
      <c r="H606" s="2">
        <v>45408</v>
      </c>
      <c r="I606" t="s">
        <v>39</v>
      </c>
      <c r="J606" t="s">
        <v>643</v>
      </c>
      <c r="K606" t="s">
        <v>18</v>
      </c>
    </row>
    <row r="607" spans="1:11">
      <c r="A607" t="s">
        <v>24</v>
      </c>
      <c r="B607" t="s">
        <v>12</v>
      </c>
      <c r="C607" t="s">
        <v>20</v>
      </c>
      <c r="D607" t="s">
        <v>21</v>
      </c>
      <c r="E607" t="s">
        <v>22</v>
      </c>
      <c r="F607">
        <v>1154</v>
      </c>
      <c r="G607" s="1">
        <v>43230</v>
      </c>
      <c r="H607" s="2">
        <v>45197</v>
      </c>
      <c r="I607" t="s">
        <v>32</v>
      </c>
      <c r="J607" t="s">
        <v>644</v>
      </c>
      <c r="K607" t="s">
        <v>44</v>
      </c>
    </row>
    <row r="608" spans="1:11">
      <c r="A608" t="s">
        <v>45</v>
      </c>
      <c r="B608" t="s">
        <v>49</v>
      </c>
      <c r="C608" t="s">
        <v>59</v>
      </c>
      <c r="D608" t="s">
        <v>14</v>
      </c>
      <c r="E608" t="s">
        <v>15</v>
      </c>
      <c r="F608">
        <v>1979</v>
      </c>
      <c r="G608" s="1">
        <v>44423</v>
      </c>
      <c r="H608" s="2">
        <v>45329</v>
      </c>
      <c r="I608" t="s">
        <v>32</v>
      </c>
      <c r="J608" t="s">
        <v>645</v>
      </c>
      <c r="K608" t="s">
        <v>47</v>
      </c>
    </row>
    <row r="609" spans="1:11">
      <c r="A609" t="s">
        <v>24</v>
      </c>
      <c r="B609" t="s">
        <v>51</v>
      </c>
      <c r="C609" t="s">
        <v>59</v>
      </c>
      <c r="D609" t="s">
        <v>66</v>
      </c>
      <c r="E609">
        <v>60</v>
      </c>
      <c r="F609">
        <v>1572</v>
      </c>
      <c r="G609" s="1">
        <v>45926</v>
      </c>
      <c r="H609" s="2">
        <v>45393</v>
      </c>
      <c r="I609" t="s">
        <v>27</v>
      </c>
      <c r="J609" t="s">
        <v>646</v>
      </c>
      <c r="K609" t="s">
        <v>18</v>
      </c>
    </row>
    <row r="610" spans="1:11">
      <c r="A610" t="s">
        <v>64</v>
      </c>
      <c r="B610" t="s">
        <v>36</v>
      </c>
      <c r="C610" t="s">
        <v>30</v>
      </c>
      <c r="D610" t="s">
        <v>14</v>
      </c>
      <c r="E610">
        <v>60</v>
      </c>
      <c r="F610">
        <v>1732</v>
      </c>
      <c r="G610" s="1">
        <v>15706</v>
      </c>
      <c r="H610" s="2">
        <v>45351</v>
      </c>
      <c r="I610" t="s">
        <v>27</v>
      </c>
      <c r="J610" t="s">
        <v>647</v>
      </c>
      <c r="K610" t="s">
        <v>47</v>
      </c>
    </row>
    <row r="611" spans="1:11">
      <c r="A611" t="s">
        <v>64</v>
      </c>
      <c r="B611" t="s">
        <v>19</v>
      </c>
      <c r="C611" t="s">
        <v>25</v>
      </c>
      <c r="D611" t="s">
        <v>26</v>
      </c>
      <c r="E611" t="s">
        <v>22</v>
      </c>
      <c r="F611">
        <v>994</v>
      </c>
      <c r="G611" s="1">
        <v>28766</v>
      </c>
      <c r="H611" s="2">
        <v>45448</v>
      </c>
      <c r="I611" t="s">
        <v>27</v>
      </c>
      <c r="J611" t="s">
        <v>648</v>
      </c>
      <c r="K611" t="s">
        <v>47</v>
      </c>
    </row>
    <row r="612" spans="1:11">
      <c r="A612" t="s">
        <v>24</v>
      </c>
      <c r="B612" t="s">
        <v>51</v>
      </c>
      <c r="C612" t="s">
        <v>13</v>
      </c>
      <c r="D612" t="s">
        <v>66</v>
      </c>
      <c r="E612" t="s">
        <v>38</v>
      </c>
      <c r="F612">
        <v>524</v>
      </c>
      <c r="G612" s="1">
        <v>29230</v>
      </c>
      <c r="H612" s="2">
        <v>45280</v>
      </c>
      <c r="I612" t="s">
        <v>41</v>
      </c>
      <c r="J612" t="s">
        <v>649</v>
      </c>
      <c r="K612" t="s">
        <v>47</v>
      </c>
    </row>
    <row r="613" spans="1:11">
      <c r="A613" t="s">
        <v>11</v>
      </c>
      <c r="B613" t="s">
        <v>49</v>
      </c>
      <c r="C613" t="s">
        <v>30</v>
      </c>
      <c r="D613" t="s">
        <v>26</v>
      </c>
      <c r="E613" t="s">
        <v>22</v>
      </c>
      <c r="F613">
        <v>255</v>
      </c>
      <c r="G613" s="1">
        <v>10654</v>
      </c>
      <c r="H613" s="2">
        <v>45314</v>
      </c>
      <c r="I613" t="s">
        <v>41</v>
      </c>
      <c r="J613" t="s">
        <v>650</v>
      </c>
      <c r="K613" t="s">
        <v>18</v>
      </c>
    </row>
    <row r="614" spans="1:11">
      <c r="A614" t="s">
        <v>24</v>
      </c>
      <c r="B614" t="s">
        <v>12</v>
      </c>
      <c r="C614" t="s">
        <v>20</v>
      </c>
      <c r="D614" t="s">
        <v>66</v>
      </c>
      <c r="E614" t="s">
        <v>15</v>
      </c>
      <c r="F614">
        <v>347</v>
      </c>
      <c r="G614" s="1">
        <v>13939</v>
      </c>
      <c r="H614" s="2">
        <v>45396</v>
      </c>
      <c r="I614" t="s">
        <v>41</v>
      </c>
      <c r="J614" t="s">
        <v>651</v>
      </c>
      <c r="K614" t="s">
        <v>29</v>
      </c>
    </row>
    <row r="615" spans="1:11">
      <c r="A615" t="s">
        <v>24</v>
      </c>
      <c r="B615" t="s">
        <v>12</v>
      </c>
      <c r="C615" t="s">
        <v>30</v>
      </c>
      <c r="D615" t="s">
        <v>14</v>
      </c>
      <c r="E615" t="s">
        <v>38</v>
      </c>
      <c r="F615">
        <v>884</v>
      </c>
      <c r="G615" s="1">
        <v>29077</v>
      </c>
      <c r="H615" s="2">
        <v>45374</v>
      </c>
      <c r="I615" t="s">
        <v>41</v>
      </c>
      <c r="J615" t="s">
        <v>652</v>
      </c>
      <c r="K615" t="s">
        <v>34</v>
      </c>
    </row>
    <row r="616" spans="1:11">
      <c r="A616" t="s">
        <v>11</v>
      </c>
      <c r="B616" t="s">
        <v>51</v>
      </c>
      <c r="C616" t="s">
        <v>25</v>
      </c>
      <c r="D616" t="s">
        <v>26</v>
      </c>
      <c r="E616" t="s">
        <v>38</v>
      </c>
      <c r="F616">
        <v>1415</v>
      </c>
      <c r="G616" s="1">
        <v>35744</v>
      </c>
      <c r="H616" s="2">
        <v>45449</v>
      </c>
      <c r="I616" t="s">
        <v>39</v>
      </c>
      <c r="J616" t="s">
        <v>653</v>
      </c>
      <c r="K616" t="s">
        <v>29</v>
      </c>
    </row>
    <row r="617" spans="1:11">
      <c r="A617" t="s">
        <v>11</v>
      </c>
      <c r="B617" t="s">
        <v>19</v>
      </c>
      <c r="C617" t="s">
        <v>13</v>
      </c>
      <c r="D617" t="s">
        <v>31</v>
      </c>
      <c r="E617" t="s">
        <v>22</v>
      </c>
      <c r="F617">
        <v>600</v>
      </c>
      <c r="G617" s="1">
        <v>22592</v>
      </c>
      <c r="H617" s="2">
        <v>45425</v>
      </c>
      <c r="I617" t="s">
        <v>41</v>
      </c>
      <c r="J617" t="s">
        <v>654</v>
      </c>
      <c r="K617" t="s">
        <v>29</v>
      </c>
    </row>
    <row r="618" spans="1:11">
      <c r="A618" t="s">
        <v>24</v>
      </c>
      <c r="B618" t="s">
        <v>49</v>
      </c>
      <c r="C618" t="s">
        <v>13</v>
      </c>
      <c r="D618" t="s">
        <v>21</v>
      </c>
      <c r="E618">
        <v>30</v>
      </c>
      <c r="F618">
        <v>1568</v>
      </c>
      <c r="G618" s="1">
        <v>22730</v>
      </c>
      <c r="H618" s="2">
        <v>45222</v>
      </c>
      <c r="I618" t="s">
        <v>16</v>
      </c>
      <c r="J618" t="s">
        <v>655</v>
      </c>
      <c r="K618" t="s">
        <v>18</v>
      </c>
    </row>
    <row r="619" spans="1:11">
      <c r="A619" t="s">
        <v>35</v>
      </c>
      <c r="B619" t="s">
        <v>19</v>
      </c>
      <c r="C619" t="s">
        <v>59</v>
      </c>
      <c r="D619" t="s">
        <v>14</v>
      </c>
      <c r="E619">
        <v>30</v>
      </c>
      <c r="F619">
        <v>1383</v>
      </c>
      <c r="G619" s="1">
        <v>7696</v>
      </c>
      <c r="H619" s="2">
        <v>45470</v>
      </c>
      <c r="I619" t="s">
        <v>41</v>
      </c>
      <c r="J619" t="s">
        <v>656</v>
      </c>
      <c r="K619" t="s">
        <v>29</v>
      </c>
    </row>
    <row r="620" spans="1:11">
      <c r="A620" t="s">
        <v>24</v>
      </c>
      <c r="B620" t="s">
        <v>19</v>
      </c>
      <c r="C620" t="s">
        <v>30</v>
      </c>
      <c r="D620" t="s">
        <v>14</v>
      </c>
      <c r="E620" t="s">
        <v>22</v>
      </c>
      <c r="F620">
        <v>1066</v>
      </c>
      <c r="G620" s="1">
        <v>30159</v>
      </c>
      <c r="H620" s="2">
        <v>45215</v>
      </c>
      <c r="I620" t="s">
        <v>39</v>
      </c>
      <c r="J620" t="s">
        <v>657</v>
      </c>
      <c r="K620" t="s">
        <v>29</v>
      </c>
    </row>
    <row r="621" spans="1:11">
      <c r="A621" t="s">
        <v>45</v>
      </c>
      <c r="B621" t="s">
        <v>49</v>
      </c>
      <c r="C621" t="s">
        <v>59</v>
      </c>
      <c r="D621" t="s">
        <v>66</v>
      </c>
      <c r="E621" t="s">
        <v>38</v>
      </c>
      <c r="F621">
        <v>1759</v>
      </c>
      <c r="G621" s="1">
        <v>31641</v>
      </c>
      <c r="H621" s="2">
        <v>45480</v>
      </c>
      <c r="I621" t="s">
        <v>27</v>
      </c>
      <c r="J621" t="s">
        <v>658</v>
      </c>
      <c r="K621" t="s">
        <v>34</v>
      </c>
    </row>
    <row r="622" spans="1:11">
      <c r="A622" t="s">
        <v>45</v>
      </c>
      <c r="B622" t="s">
        <v>36</v>
      </c>
      <c r="C622" t="s">
        <v>25</v>
      </c>
      <c r="D622" t="s">
        <v>26</v>
      </c>
      <c r="E622">
        <v>30</v>
      </c>
      <c r="F622">
        <v>1040</v>
      </c>
      <c r="G622" s="1">
        <v>45896</v>
      </c>
      <c r="H622" s="2">
        <v>45239</v>
      </c>
      <c r="I622" t="s">
        <v>27</v>
      </c>
      <c r="J622" t="s">
        <v>659</v>
      </c>
      <c r="K622" t="s">
        <v>44</v>
      </c>
    </row>
    <row r="623" spans="1:11">
      <c r="A623" t="s">
        <v>35</v>
      </c>
      <c r="B623" t="s">
        <v>19</v>
      </c>
      <c r="C623" t="s">
        <v>30</v>
      </c>
      <c r="D623" t="s">
        <v>21</v>
      </c>
      <c r="E623">
        <v>60</v>
      </c>
      <c r="F623">
        <v>1796</v>
      </c>
      <c r="G623" s="1">
        <v>15290</v>
      </c>
      <c r="H623" s="2">
        <v>45278</v>
      </c>
      <c r="I623" t="s">
        <v>27</v>
      </c>
      <c r="J623" t="s">
        <v>660</v>
      </c>
      <c r="K623" t="s">
        <v>34</v>
      </c>
    </row>
    <row r="624" spans="1:11">
      <c r="A624" t="s">
        <v>64</v>
      </c>
      <c r="B624" t="s">
        <v>12</v>
      </c>
      <c r="C624" t="s">
        <v>59</v>
      </c>
      <c r="D624" t="s">
        <v>66</v>
      </c>
      <c r="E624" t="s">
        <v>22</v>
      </c>
      <c r="F624">
        <v>1545</v>
      </c>
      <c r="G624" s="1">
        <v>2653</v>
      </c>
      <c r="H624" s="2">
        <v>45499</v>
      </c>
      <c r="I624" t="s">
        <v>16</v>
      </c>
      <c r="J624" t="s">
        <v>661</v>
      </c>
      <c r="K624" t="s">
        <v>29</v>
      </c>
    </row>
    <row r="625" spans="1:11">
      <c r="A625" t="s">
        <v>45</v>
      </c>
      <c r="B625" t="s">
        <v>19</v>
      </c>
      <c r="C625" t="s">
        <v>13</v>
      </c>
      <c r="D625" t="s">
        <v>26</v>
      </c>
      <c r="E625">
        <v>60</v>
      </c>
      <c r="F625">
        <v>1615</v>
      </c>
      <c r="G625" s="1">
        <v>48316</v>
      </c>
      <c r="H625" s="2">
        <v>45431</v>
      </c>
      <c r="I625" t="s">
        <v>41</v>
      </c>
      <c r="J625" t="s">
        <v>662</v>
      </c>
      <c r="K625" t="s">
        <v>47</v>
      </c>
    </row>
    <row r="626" spans="1:11">
      <c r="A626" t="s">
        <v>35</v>
      </c>
      <c r="B626" t="s">
        <v>36</v>
      </c>
      <c r="C626" t="s">
        <v>59</v>
      </c>
      <c r="D626" t="s">
        <v>14</v>
      </c>
      <c r="E626" t="s">
        <v>22</v>
      </c>
      <c r="F626">
        <v>1793</v>
      </c>
      <c r="G626" s="1">
        <v>3737</v>
      </c>
      <c r="H626" s="2">
        <v>45259</v>
      </c>
      <c r="I626" t="s">
        <v>32</v>
      </c>
      <c r="J626" t="s">
        <v>663</v>
      </c>
      <c r="K626" t="s">
        <v>29</v>
      </c>
    </row>
    <row r="627" spans="1:11">
      <c r="A627" t="s">
        <v>24</v>
      </c>
      <c r="B627" t="s">
        <v>36</v>
      </c>
      <c r="C627" t="s">
        <v>20</v>
      </c>
      <c r="D627" t="s">
        <v>66</v>
      </c>
      <c r="E627" t="s">
        <v>15</v>
      </c>
      <c r="F627">
        <v>1283</v>
      </c>
      <c r="G627" s="1">
        <v>30409</v>
      </c>
      <c r="H627" s="2">
        <v>45387</v>
      </c>
      <c r="I627" t="s">
        <v>27</v>
      </c>
      <c r="J627" t="s">
        <v>664</v>
      </c>
      <c r="K627" t="s">
        <v>29</v>
      </c>
    </row>
    <row r="628" spans="1:11">
      <c r="A628" t="s">
        <v>45</v>
      </c>
      <c r="B628" t="s">
        <v>49</v>
      </c>
      <c r="C628" t="s">
        <v>20</v>
      </c>
      <c r="D628" t="s">
        <v>26</v>
      </c>
      <c r="E628" t="s">
        <v>38</v>
      </c>
      <c r="F628">
        <v>635</v>
      </c>
      <c r="G628" s="1">
        <v>8357</v>
      </c>
      <c r="H628" s="2">
        <v>45195</v>
      </c>
      <c r="I628" t="s">
        <v>41</v>
      </c>
      <c r="J628" t="s">
        <v>665</v>
      </c>
      <c r="K628" t="s">
        <v>44</v>
      </c>
    </row>
    <row r="629" spans="1:11">
      <c r="A629" t="s">
        <v>11</v>
      </c>
      <c r="B629" t="s">
        <v>12</v>
      </c>
      <c r="C629" t="s">
        <v>30</v>
      </c>
      <c r="D629" t="s">
        <v>26</v>
      </c>
      <c r="E629">
        <v>60</v>
      </c>
      <c r="F629">
        <v>1700</v>
      </c>
      <c r="G629" s="1">
        <v>25492</v>
      </c>
      <c r="H629" s="2">
        <v>45415</v>
      </c>
      <c r="I629" t="s">
        <v>39</v>
      </c>
      <c r="J629" t="s">
        <v>666</v>
      </c>
      <c r="K629" t="s">
        <v>44</v>
      </c>
    </row>
    <row r="630" spans="1:11">
      <c r="A630" t="s">
        <v>11</v>
      </c>
      <c r="B630" t="s">
        <v>49</v>
      </c>
      <c r="C630" t="s">
        <v>25</v>
      </c>
      <c r="D630" t="s">
        <v>26</v>
      </c>
      <c r="E630">
        <v>60</v>
      </c>
      <c r="F630">
        <v>1428</v>
      </c>
      <c r="G630" s="1">
        <v>22964</v>
      </c>
      <c r="H630" s="2">
        <v>45283</v>
      </c>
      <c r="I630" t="s">
        <v>32</v>
      </c>
      <c r="J630" t="s">
        <v>667</v>
      </c>
      <c r="K630" t="s">
        <v>18</v>
      </c>
    </row>
    <row r="631" spans="1:11">
      <c r="A631" t="s">
        <v>11</v>
      </c>
      <c r="B631" t="s">
        <v>51</v>
      </c>
      <c r="C631" t="s">
        <v>59</v>
      </c>
      <c r="D631" t="s">
        <v>26</v>
      </c>
      <c r="E631">
        <v>60</v>
      </c>
      <c r="F631">
        <v>786</v>
      </c>
      <c r="G631" s="1">
        <v>11656</v>
      </c>
      <c r="H631" s="2">
        <v>45298</v>
      </c>
      <c r="I631" t="s">
        <v>27</v>
      </c>
      <c r="J631" t="s">
        <v>668</v>
      </c>
      <c r="K631" t="s">
        <v>34</v>
      </c>
    </row>
    <row r="632" spans="1:11">
      <c r="A632" t="s">
        <v>45</v>
      </c>
      <c r="B632" t="s">
        <v>51</v>
      </c>
      <c r="C632" t="s">
        <v>59</v>
      </c>
      <c r="D632" t="s">
        <v>21</v>
      </c>
      <c r="E632">
        <v>60</v>
      </c>
      <c r="F632">
        <v>973</v>
      </c>
      <c r="G632" s="1">
        <v>3690</v>
      </c>
      <c r="H632" s="2">
        <v>45413</v>
      </c>
      <c r="I632" t="s">
        <v>39</v>
      </c>
      <c r="J632" t="s">
        <v>669</v>
      </c>
      <c r="K632" t="s">
        <v>34</v>
      </c>
    </row>
    <row r="633" spans="1:11">
      <c r="A633" t="s">
        <v>35</v>
      </c>
      <c r="B633" t="s">
        <v>49</v>
      </c>
      <c r="C633" t="s">
        <v>20</v>
      </c>
      <c r="D633" t="s">
        <v>31</v>
      </c>
      <c r="E633" t="s">
        <v>15</v>
      </c>
      <c r="F633">
        <v>1841</v>
      </c>
      <c r="G633" s="1">
        <v>5308</v>
      </c>
      <c r="H633" s="2">
        <v>45264</v>
      </c>
      <c r="I633" t="s">
        <v>39</v>
      </c>
      <c r="J633" t="s">
        <v>670</v>
      </c>
      <c r="K633" t="s">
        <v>34</v>
      </c>
    </row>
    <row r="634" spans="1:11">
      <c r="A634" t="s">
        <v>64</v>
      </c>
      <c r="B634" t="s">
        <v>19</v>
      </c>
      <c r="C634" t="s">
        <v>30</v>
      </c>
      <c r="D634" t="s">
        <v>14</v>
      </c>
      <c r="E634" t="s">
        <v>22</v>
      </c>
      <c r="F634">
        <v>852</v>
      </c>
      <c r="G634" s="1">
        <v>21947</v>
      </c>
      <c r="H634" s="2">
        <v>45368</v>
      </c>
      <c r="I634" t="s">
        <v>16</v>
      </c>
      <c r="J634" t="s">
        <v>671</v>
      </c>
      <c r="K634" t="s">
        <v>47</v>
      </c>
    </row>
    <row r="635" spans="1:11">
      <c r="A635" t="s">
        <v>64</v>
      </c>
      <c r="B635" t="s">
        <v>19</v>
      </c>
      <c r="C635" t="s">
        <v>25</v>
      </c>
      <c r="D635" t="s">
        <v>31</v>
      </c>
      <c r="E635" t="s">
        <v>15</v>
      </c>
      <c r="F635">
        <v>1005</v>
      </c>
      <c r="G635" s="1">
        <v>20706</v>
      </c>
      <c r="H635" s="2">
        <v>45273</v>
      </c>
      <c r="I635" t="s">
        <v>39</v>
      </c>
      <c r="J635" t="s">
        <v>672</v>
      </c>
      <c r="K635" t="s">
        <v>18</v>
      </c>
    </row>
    <row r="636" spans="1:11">
      <c r="A636" t="s">
        <v>24</v>
      </c>
      <c r="B636" t="s">
        <v>49</v>
      </c>
      <c r="C636" t="s">
        <v>59</v>
      </c>
      <c r="D636" t="s">
        <v>21</v>
      </c>
      <c r="E636" t="s">
        <v>22</v>
      </c>
      <c r="F636">
        <v>1746</v>
      </c>
      <c r="G636" s="1">
        <v>9959</v>
      </c>
      <c r="H636" s="2">
        <v>45377</v>
      </c>
      <c r="I636" t="s">
        <v>39</v>
      </c>
      <c r="J636" t="s">
        <v>673</v>
      </c>
      <c r="K636" t="s">
        <v>18</v>
      </c>
    </row>
    <row r="637" spans="1:11">
      <c r="A637" t="s">
        <v>64</v>
      </c>
      <c r="B637" t="s">
        <v>49</v>
      </c>
      <c r="C637" t="s">
        <v>25</v>
      </c>
      <c r="D637" t="s">
        <v>66</v>
      </c>
      <c r="E637">
        <v>30</v>
      </c>
      <c r="F637">
        <v>1257</v>
      </c>
      <c r="G637" s="1">
        <v>23476</v>
      </c>
      <c r="H637" s="2">
        <v>45291</v>
      </c>
      <c r="I637" t="s">
        <v>32</v>
      </c>
      <c r="J637" t="s">
        <v>674</v>
      </c>
      <c r="K637" t="s">
        <v>47</v>
      </c>
    </row>
    <row r="638" spans="1:11">
      <c r="A638" t="s">
        <v>45</v>
      </c>
      <c r="B638" t="s">
        <v>19</v>
      </c>
      <c r="C638" t="s">
        <v>13</v>
      </c>
      <c r="D638" t="s">
        <v>31</v>
      </c>
      <c r="E638" t="s">
        <v>15</v>
      </c>
      <c r="F638">
        <v>1082</v>
      </c>
      <c r="G638" s="1">
        <v>35390</v>
      </c>
      <c r="H638" s="2">
        <v>45381</v>
      </c>
      <c r="I638" t="s">
        <v>32</v>
      </c>
      <c r="J638" t="s">
        <v>675</v>
      </c>
      <c r="K638" t="s">
        <v>34</v>
      </c>
    </row>
    <row r="639" spans="1:11">
      <c r="A639" t="s">
        <v>35</v>
      </c>
      <c r="B639" t="s">
        <v>49</v>
      </c>
      <c r="C639" t="s">
        <v>30</v>
      </c>
      <c r="D639" t="s">
        <v>31</v>
      </c>
      <c r="E639" t="s">
        <v>15</v>
      </c>
      <c r="F639">
        <v>428</v>
      </c>
      <c r="G639" s="1">
        <v>3153</v>
      </c>
      <c r="H639" s="2">
        <v>45329</v>
      </c>
      <c r="I639" t="s">
        <v>16</v>
      </c>
      <c r="J639" t="s">
        <v>676</v>
      </c>
      <c r="K639" t="s">
        <v>44</v>
      </c>
    </row>
    <row r="640" spans="1:11">
      <c r="A640" t="s">
        <v>35</v>
      </c>
      <c r="B640" t="s">
        <v>49</v>
      </c>
      <c r="C640" t="s">
        <v>59</v>
      </c>
      <c r="D640" t="s">
        <v>14</v>
      </c>
      <c r="E640">
        <v>60</v>
      </c>
      <c r="F640">
        <v>793</v>
      </c>
      <c r="G640" s="1">
        <v>30051</v>
      </c>
      <c r="H640" s="2">
        <v>45437</v>
      </c>
      <c r="I640" t="s">
        <v>32</v>
      </c>
      <c r="J640" t="s">
        <v>677</v>
      </c>
      <c r="K640" t="s">
        <v>29</v>
      </c>
    </row>
    <row r="641" spans="1:11">
      <c r="A641" t="s">
        <v>45</v>
      </c>
      <c r="B641" t="s">
        <v>36</v>
      </c>
      <c r="C641" t="s">
        <v>20</v>
      </c>
      <c r="D641" t="s">
        <v>14</v>
      </c>
      <c r="E641">
        <v>60</v>
      </c>
      <c r="F641">
        <v>140</v>
      </c>
      <c r="G641" s="1">
        <v>31617</v>
      </c>
      <c r="H641" s="2">
        <v>45221</v>
      </c>
      <c r="I641" t="s">
        <v>32</v>
      </c>
      <c r="J641" t="s">
        <v>678</v>
      </c>
      <c r="K641" t="s">
        <v>47</v>
      </c>
    </row>
    <row r="642" spans="1:11">
      <c r="A642" t="s">
        <v>11</v>
      </c>
      <c r="B642" t="s">
        <v>49</v>
      </c>
      <c r="C642" t="s">
        <v>30</v>
      </c>
      <c r="D642" t="s">
        <v>21</v>
      </c>
      <c r="E642">
        <v>30</v>
      </c>
      <c r="F642">
        <v>862</v>
      </c>
      <c r="G642" s="1">
        <v>42692</v>
      </c>
      <c r="H642" s="2">
        <v>45414</v>
      </c>
      <c r="I642" t="s">
        <v>39</v>
      </c>
      <c r="J642" t="s">
        <v>679</v>
      </c>
      <c r="K642" t="s">
        <v>34</v>
      </c>
    </row>
    <row r="643" spans="1:11">
      <c r="A643" t="s">
        <v>11</v>
      </c>
      <c r="B643" t="s">
        <v>36</v>
      </c>
      <c r="C643" t="s">
        <v>20</v>
      </c>
      <c r="D643" t="s">
        <v>66</v>
      </c>
      <c r="E643">
        <v>30</v>
      </c>
      <c r="F643">
        <v>1888</v>
      </c>
      <c r="G643" s="1">
        <v>35394</v>
      </c>
      <c r="H643" s="2">
        <v>45156</v>
      </c>
      <c r="I643" t="s">
        <v>39</v>
      </c>
      <c r="J643" t="s">
        <v>680</v>
      </c>
      <c r="K643" t="s">
        <v>44</v>
      </c>
    </row>
    <row r="644" spans="1:11">
      <c r="A644" t="s">
        <v>24</v>
      </c>
      <c r="B644" t="s">
        <v>19</v>
      </c>
      <c r="C644" t="s">
        <v>20</v>
      </c>
      <c r="D644" t="s">
        <v>14</v>
      </c>
      <c r="E644" t="s">
        <v>15</v>
      </c>
      <c r="F644">
        <v>1623</v>
      </c>
      <c r="G644" s="1">
        <v>26804</v>
      </c>
      <c r="H644" s="2">
        <v>45459</v>
      </c>
      <c r="I644" t="s">
        <v>27</v>
      </c>
      <c r="J644" t="s">
        <v>681</v>
      </c>
      <c r="K644" t="s">
        <v>18</v>
      </c>
    </row>
    <row r="645" spans="1:11">
      <c r="A645" t="s">
        <v>64</v>
      </c>
      <c r="B645" t="s">
        <v>51</v>
      </c>
      <c r="C645" t="s">
        <v>20</v>
      </c>
      <c r="D645" t="s">
        <v>21</v>
      </c>
      <c r="E645">
        <v>60</v>
      </c>
      <c r="F645">
        <v>1641</v>
      </c>
      <c r="G645" s="1">
        <v>7106</v>
      </c>
      <c r="H645" s="2">
        <v>45148</v>
      </c>
      <c r="I645" t="s">
        <v>39</v>
      </c>
      <c r="J645" t="s">
        <v>682</v>
      </c>
      <c r="K645" t="s">
        <v>29</v>
      </c>
    </row>
    <row r="646" spans="1:11">
      <c r="A646" t="s">
        <v>11</v>
      </c>
      <c r="B646" t="s">
        <v>12</v>
      </c>
      <c r="C646" t="s">
        <v>20</v>
      </c>
      <c r="D646" t="s">
        <v>21</v>
      </c>
      <c r="E646">
        <v>60</v>
      </c>
      <c r="F646">
        <v>622</v>
      </c>
      <c r="G646" s="1">
        <v>30194</v>
      </c>
      <c r="H646" s="2">
        <v>45360</v>
      </c>
      <c r="I646" t="s">
        <v>41</v>
      </c>
      <c r="J646" t="s">
        <v>683</v>
      </c>
      <c r="K646" t="s">
        <v>29</v>
      </c>
    </row>
    <row r="647" spans="1:11">
      <c r="A647" t="s">
        <v>24</v>
      </c>
      <c r="B647" t="s">
        <v>36</v>
      </c>
      <c r="C647" t="s">
        <v>59</v>
      </c>
      <c r="D647" t="s">
        <v>66</v>
      </c>
      <c r="E647" t="s">
        <v>15</v>
      </c>
      <c r="F647">
        <v>1529</v>
      </c>
      <c r="G647" s="1">
        <v>22974</v>
      </c>
      <c r="H647" s="2">
        <v>45408</v>
      </c>
      <c r="I647" t="s">
        <v>16</v>
      </c>
      <c r="J647" t="s">
        <v>684</v>
      </c>
      <c r="K647" t="s">
        <v>29</v>
      </c>
    </row>
    <row r="648" spans="1:11">
      <c r="A648" t="s">
        <v>11</v>
      </c>
      <c r="B648" t="s">
        <v>12</v>
      </c>
      <c r="C648" t="s">
        <v>13</v>
      </c>
      <c r="D648" t="s">
        <v>31</v>
      </c>
      <c r="E648" t="s">
        <v>15</v>
      </c>
      <c r="F648">
        <v>1868</v>
      </c>
      <c r="G648" s="1">
        <v>14793</v>
      </c>
      <c r="H648" s="2">
        <v>45465</v>
      </c>
      <c r="I648" t="s">
        <v>16</v>
      </c>
      <c r="J648" t="s">
        <v>685</v>
      </c>
      <c r="K648" t="s">
        <v>29</v>
      </c>
    </row>
    <row r="649" spans="1:11">
      <c r="A649" t="s">
        <v>45</v>
      </c>
      <c r="B649" t="s">
        <v>19</v>
      </c>
      <c r="C649" t="s">
        <v>13</v>
      </c>
      <c r="D649" t="s">
        <v>66</v>
      </c>
      <c r="E649">
        <v>30</v>
      </c>
      <c r="F649">
        <v>421</v>
      </c>
      <c r="G649" s="1">
        <v>11743</v>
      </c>
      <c r="H649" s="2">
        <v>45406</v>
      </c>
      <c r="I649" t="s">
        <v>32</v>
      </c>
      <c r="J649" t="s">
        <v>686</v>
      </c>
      <c r="K649" t="s">
        <v>18</v>
      </c>
    </row>
    <row r="650" spans="1:11">
      <c r="A650" t="s">
        <v>11</v>
      </c>
      <c r="B650" t="s">
        <v>49</v>
      </c>
      <c r="C650" t="s">
        <v>30</v>
      </c>
      <c r="D650" t="s">
        <v>66</v>
      </c>
      <c r="E650" t="s">
        <v>15</v>
      </c>
      <c r="F650">
        <v>1140</v>
      </c>
      <c r="G650" s="1">
        <v>11932</v>
      </c>
      <c r="H650" s="2">
        <v>45147</v>
      </c>
      <c r="I650" t="s">
        <v>27</v>
      </c>
      <c r="J650" t="s">
        <v>687</v>
      </c>
      <c r="K650" t="s">
        <v>29</v>
      </c>
    </row>
    <row r="651" spans="1:11">
      <c r="A651" t="s">
        <v>11</v>
      </c>
      <c r="B651" t="s">
        <v>36</v>
      </c>
      <c r="C651" t="s">
        <v>59</v>
      </c>
      <c r="D651" t="s">
        <v>31</v>
      </c>
      <c r="E651" t="s">
        <v>22</v>
      </c>
      <c r="F651">
        <v>1689</v>
      </c>
      <c r="G651" s="1">
        <v>48095</v>
      </c>
      <c r="H651" s="2">
        <v>45322</v>
      </c>
      <c r="I651" t="s">
        <v>16</v>
      </c>
      <c r="J651" t="s">
        <v>688</v>
      </c>
      <c r="K651" t="s">
        <v>29</v>
      </c>
    </row>
    <row r="652" spans="1:11">
      <c r="A652" t="s">
        <v>11</v>
      </c>
      <c r="B652" t="s">
        <v>51</v>
      </c>
      <c r="C652" t="s">
        <v>59</v>
      </c>
      <c r="D652" t="s">
        <v>31</v>
      </c>
      <c r="E652">
        <v>30</v>
      </c>
      <c r="F652">
        <v>899</v>
      </c>
      <c r="G652" s="1">
        <v>30188</v>
      </c>
      <c r="H652" s="2">
        <v>45292</v>
      </c>
      <c r="I652" t="s">
        <v>41</v>
      </c>
      <c r="J652" t="s">
        <v>689</v>
      </c>
      <c r="K652" t="s">
        <v>29</v>
      </c>
    </row>
    <row r="653" spans="1:11">
      <c r="A653" t="s">
        <v>11</v>
      </c>
      <c r="B653" t="s">
        <v>51</v>
      </c>
      <c r="C653" t="s">
        <v>20</v>
      </c>
      <c r="D653" t="s">
        <v>66</v>
      </c>
      <c r="E653" t="s">
        <v>38</v>
      </c>
      <c r="F653">
        <v>1631</v>
      </c>
      <c r="G653" s="1">
        <v>1499</v>
      </c>
      <c r="H653" s="2">
        <v>45449</v>
      </c>
      <c r="I653" t="s">
        <v>16</v>
      </c>
      <c r="J653" t="s">
        <v>690</v>
      </c>
      <c r="K653" t="s">
        <v>34</v>
      </c>
    </row>
    <row r="654" spans="1:11">
      <c r="A654" t="s">
        <v>11</v>
      </c>
      <c r="B654" t="s">
        <v>51</v>
      </c>
      <c r="C654" t="s">
        <v>20</v>
      </c>
      <c r="D654" t="s">
        <v>66</v>
      </c>
      <c r="E654" t="s">
        <v>15</v>
      </c>
      <c r="F654">
        <v>319</v>
      </c>
      <c r="G654" s="1">
        <v>13155</v>
      </c>
      <c r="H654" s="2">
        <v>45425</v>
      </c>
      <c r="I654" t="s">
        <v>32</v>
      </c>
      <c r="J654" t="s">
        <v>691</v>
      </c>
      <c r="K654" t="s">
        <v>44</v>
      </c>
    </row>
    <row r="655" spans="1:11">
      <c r="A655" t="s">
        <v>35</v>
      </c>
      <c r="B655" t="s">
        <v>12</v>
      </c>
      <c r="C655" t="s">
        <v>59</v>
      </c>
      <c r="D655" t="s">
        <v>21</v>
      </c>
      <c r="E655" t="s">
        <v>38</v>
      </c>
      <c r="F655">
        <v>152</v>
      </c>
      <c r="G655" s="1">
        <v>12327</v>
      </c>
      <c r="H655" s="2">
        <v>45230</v>
      </c>
      <c r="I655" t="s">
        <v>41</v>
      </c>
      <c r="J655" t="s">
        <v>692</v>
      </c>
      <c r="K655" t="s">
        <v>44</v>
      </c>
    </row>
    <row r="656" spans="1:11">
      <c r="A656" t="s">
        <v>35</v>
      </c>
      <c r="B656" t="s">
        <v>12</v>
      </c>
      <c r="C656" t="s">
        <v>20</v>
      </c>
      <c r="D656" t="s">
        <v>66</v>
      </c>
      <c r="E656" t="s">
        <v>15</v>
      </c>
      <c r="F656">
        <v>1283</v>
      </c>
      <c r="G656" s="1">
        <v>2668</v>
      </c>
      <c r="H656" s="2">
        <v>45425</v>
      </c>
      <c r="I656" t="s">
        <v>16</v>
      </c>
      <c r="J656" t="s">
        <v>693</v>
      </c>
      <c r="K656" t="s">
        <v>18</v>
      </c>
    </row>
    <row r="657" spans="1:11">
      <c r="A657" t="s">
        <v>45</v>
      </c>
      <c r="B657" t="s">
        <v>12</v>
      </c>
      <c r="C657" t="s">
        <v>30</v>
      </c>
      <c r="D657" t="s">
        <v>14</v>
      </c>
      <c r="E657" t="s">
        <v>22</v>
      </c>
      <c r="F657">
        <v>1508</v>
      </c>
      <c r="G657" s="1">
        <v>41269</v>
      </c>
      <c r="H657" s="2">
        <v>45285</v>
      </c>
      <c r="I657" t="s">
        <v>41</v>
      </c>
      <c r="J657" t="s">
        <v>694</v>
      </c>
      <c r="K657" t="s">
        <v>29</v>
      </c>
    </row>
    <row r="658" spans="1:11">
      <c r="A658" t="s">
        <v>24</v>
      </c>
      <c r="B658" t="s">
        <v>49</v>
      </c>
      <c r="C658" t="s">
        <v>25</v>
      </c>
      <c r="D658" t="s">
        <v>14</v>
      </c>
      <c r="E658">
        <v>30</v>
      </c>
      <c r="F658">
        <v>774</v>
      </c>
      <c r="G658" s="1">
        <v>26648</v>
      </c>
      <c r="H658" s="2">
        <v>45442</v>
      </c>
      <c r="I658" t="s">
        <v>16</v>
      </c>
      <c r="J658" t="s">
        <v>695</v>
      </c>
      <c r="K658" t="s">
        <v>29</v>
      </c>
    </row>
    <row r="659" spans="1:11">
      <c r="A659" t="s">
        <v>45</v>
      </c>
      <c r="B659" t="s">
        <v>51</v>
      </c>
      <c r="C659" t="s">
        <v>59</v>
      </c>
      <c r="D659" t="s">
        <v>26</v>
      </c>
      <c r="E659">
        <v>30</v>
      </c>
      <c r="F659">
        <v>255</v>
      </c>
      <c r="G659" s="1">
        <v>47763</v>
      </c>
      <c r="H659" s="2">
        <v>45381</v>
      </c>
      <c r="I659" t="s">
        <v>27</v>
      </c>
      <c r="J659" t="s">
        <v>696</v>
      </c>
      <c r="K659" t="s">
        <v>47</v>
      </c>
    </row>
    <row r="660" spans="1:11">
      <c r="A660" t="s">
        <v>64</v>
      </c>
      <c r="B660" t="s">
        <v>51</v>
      </c>
      <c r="C660" t="s">
        <v>13</v>
      </c>
      <c r="D660" t="s">
        <v>31</v>
      </c>
      <c r="E660" t="s">
        <v>38</v>
      </c>
      <c r="F660">
        <v>1460</v>
      </c>
      <c r="G660" s="1">
        <v>22865</v>
      </c>
      <c r="H660" s="2">
        <v>45209</v>
      </c>
      <c r="I660" t="s">
        <v>16</v>
      </c>
      <c r="J660" t="s">
        <v>697</v>
      </c>
      <c r="K660" t="s">
        <v>18</v>
      </c>
    </row>
    <row r="661" spans="1:11">
      <c r="A661" t="s">
        <v>11</v>
      </c>
      <c r="B661" t="s">
        <v>12</v>
      </c>
      <c r="C661" t="s">
        <v>20</v>
      </c>
      <c r="D661" t="s">
        <v>14</v>
      </c>
      <c r="E661">
        <v>30</v>
      </c>
      <c r="F661">
        <v>879</v>
      </c>
      <c r="G661" s="1">
        <v>6810</v>
      </c>
      <c r="H661" s="2">
        <v>45395</v>
      </c>
      <c r="I661" t="s">
        <v>27</v>
      </c>
      <c r="J661" t="s">
        <v>698</v>
      </c>
      <c r="K661" t="s">
        <v>29</v>
      </c>
    </row>
    <row r="662" spans="1:11">
      <c r="A662" t="s">
        <v>11</v>
      </c>
      <c r="B662" t="s">
        <v>36</v>
      </c>
      <c r="C662" t="s">
        <v>30</v>
      </c>
      <c r="D662" t="s">
        <v>21</v>
      </c>
      <c r="E662" t="s">
        <v>15</v>
      </c>
      <c r="F662">
        <v>634</v>
      </c>
      <c r="G662" s="1">
        <v>15232</v>
      </c>
      <c r="H662" s="2">
        <v>45493</v>
      </c>
      <c r="I662" t="s">
        <v>32</v>
      </c>
      <c r="J662" t="s">
        <v>699</v>
      </c>
      <c r="K662" t="s">
        <v>34</v>
      </c>
    </row>
    <row r="663" spans="1:11">
      <c r="A663" t="s">
        <v>35</v>
      </c>
      <c r="B663" t="s">
        <v>19</v>
      </c>
      <c r="C663" t="s">
        <v>20</v>
      </c>
      <c r="D663" t="s">
        <v>21</v>
      </c>
      <c r="E663" t="s">
        <v>22</v>
      </c>
      <c r="F663">
        <v>1589</v>
      </c>
      <c r="G663" s="1">
        <v>28963</v>
      </c>
      <c r="H663" s="2">
        <v>45337</v>
      </c>
      <c r="I663" t="s">
        <v>27</v>
      </c>
      <c r="J663" t="s">
        <v>700</v>
      </c>
      <c r="K663" t="s">
        <v>34</v>
      </c>
    </row>
    <row r="664" spans="1:11">
      <c r="A664" t="s">
        <v>45</v>
      </c>
      <c r="B664" t="s">
        <v>51</v>
      </c>
      <c r="C664" t="s">
        <v>59</v>
      </c>
      <c r="D664" t="s">
        <v>14</v>
      </c>
      <c r="E664" t="s">
        <v>22</v>
      </c>
      <c r="F664">
        <v>288</v>
      </c>
      <c r="G664" s="1">
        <v>10918</v>
      </c>
      <c r="H664" s="2">
        <v>45251</v>
      </c>
      <c r="I664" t="s">
        <v>27</v>
      </c>
      <c r="J664" t="s">
        <v>701</v>
      </c>
      <c r="K664" t="s">
        <v>18</v>
      </c>
    </row>
    <row r="665" spans="1:11">
      <c r="A665" t="s">
        <v>35</v>
      </c>
      <c r="B665" t="s">
        <v>36</v>
      </c>
      <c r="C665" t="s">
        <v>25</v>
      </c>
      <c r="D665" t="s">
        <v>21</v>
      </c>
      <c r="E665" t="s">
        <v>15</v>
      </c>
      <c r="F665">
        <v>161</v>
      </c>
      <c r="G665" s="1">
        <v>15335</v>
      </c>
      <c r="H665" s="2">
        <v>45488</v>
      </c>
      <c r="I665" t="s">
        <v>16</v>
      </c>
      <c r="J665" t="s">
        <v>702</v>
      </c>
      <c r="K665" t="s">
        <v>44</v>
      </c>
    </row>
    <row r="666" spans="1:11">
      <c r="A666" t="s">
        <v>24</v>
      </c>
      <c r="B666" t="s">
        <v>49</v>
      </c>
      <c r="C666" t="s">
        <v>20</v>
      </c>
      <c r="D666" t="s">
        <v>21</v>
      </c>
      <c r="E666" t="s">
        <v>15</v>
      </c>
      <c r="F666">
        <v>855</v>
      </c>
      <c r="G666" s="1">
        <v>29393</v>
      </c>
      <c r="H666" s="2">
        <v>45173</v>
      </c>
      <c r="I666" t="s">
        <v>16</v>
      </c>
      <c r="J666" t="s">
        <v>703</v>
      </c>
      <c r="K666" t="s">
        <v>18</v>
      </c>
    </row>
    <row r="667" spans="1:11">
      <c r="A667" t="s">
        <v>24</v>
      </c>
      <c r="B667" t="s">
        <v>49</v>
      </c>
      <c r="C667" t="s">
        <v>59</v>
      </c>
      <c r="D667" t="s">
        <v>31</v>
      </c>
      <c r="E667" t="s">
        <v>38</v>
      </c>
      <c r="F667">
        <v>488</v>
      </c>
      <c r="G667" s="1">
        <v>48696</v>
      </c>
      <c r="H667" s="2">
        <v>45273</v>
      </c>
      <c r="I667" t="s">
        <v>39</v>
      </c>
      <c r="J667" t="s">
        <v>704</v>
      </c>
      <c r="K667" t="s">
        <v>18</v>
      </c>
    </row>
    <row r="668" spans="1:11">
      <c r="A668" t="s">
        <v>35</v>
      </c>
      <c r="B668" t="s">
        <v>12</v>
      </c>
      <c r="C668" t="s">
        <v>20</v>
      </c>
      <c r="D668" t="s">
        <v>26</v>
      </c>
      <c r="E668" t="s">
        <v>22</v>
      </c>
      <c r="F668">
        <v>1119</v>
      </c>
      <c r="G668" s="1">
        <v>17664</v>
      </c>
      <c r="H668" s="2">
        <v>45343</v>
      </c>
      <c r="I668" t="s">
        <v>27</v>
      </c>
      <c r="J668" t="s">
        <v>705</v>
      </c>
      <c r="K668" t="s">
        <v>29</v>
      </c>
    </row>
    <row r="669" spans="1:11">
      <c r="A669" t="s">
        <v>64</v>
      </c>
      <c r="B669" t="s">
        <v>36</v>
      </c>
      <c r="C669" t="s">
        <v>13</v>
      </c>
      <c r="D669" t="s">
        <v>66</v>
      </c>
      <c r="E669">
        <v>30</v>
      </c>
      <c r="F669">
        <v>105</v>
      </c>
      <c r="G669" s="1">
        <v>10114</v>
      </c>
      <c r="H669" s="2">
        <v>45197</v>
      </c>
      <c r="I669" t="s">
        <v>32</v>
      </c>
      <c r="J669" t="s">
        <v>706</v>
      </c>
      <c r="K669" t="s">
        <v>18</v>
      </c>
    </row>
    <row r="670" spans="1:11">
      <c r="A670" t="s">
        <v>64</v>
      </c>
      <c r="B670" t="s">
        <v>19</v>
      </c>
      <c r="C670" t="s">
        <v>30</v>
      </c>
      <c r="D670" t="s">
        <v>14</v>
      </c>
      <c r="E670" t="s">
        <v>22</v>
      </c>
      <c r="F670">
        <v>1425</v>
      </c>
      <c r="G670" s="1">
        <v>49691</v>
      </c>
      <c r="H670" s="2">
        <v>45252</v>
      </c>
      <c r="I670" t="s">
        <v>27</v>
      </c>
      <c r="J670" t="s">
        <v>707</v>
      </c>
      <c r="K670" t="s">
        <v>34</v>
      </c>
    </row>
    <row r="671" spans="1:11">
      <c r="A671" t="s">
        <v>11</v>
      </c>
      <c r="B671" t="s">
        <v>49</v>
      </c>
      <c r="C671" t="s">
        <v>59</v>
      </c>
      <c r="D671" t="s">
        <v>14</v>
      </c>
      <c r="E671" t="s">
        <v>38</v>
      </c>
      <c r="F671">
        <v>908</v>
      </c>
      <c r="G671" s="1">
        <v>12202</v>
      </c>
      <c r="H671" s="2">
        <v>45362</v>
      </c>
      <c r="I671" t="s">
        <v>39</v>
      </c>
      <c r="J671" t="s">
        <v>708</v>
      </c>
      <c r="K671" t="s">
        <v>29</v>
      </c>
    </row>
    <row r="672" spans="1:11">
      <c r="A672" t="s">
        <v>35</v>
      </c>
      <c r="B672" t="s">
        <v>49</v>
      </c>
      <c r="C672" t="s">
        <v>20</v>
      </c>
      <c r="D672" t="s">
        <v>66</v>
      </c>
      <c r="E672">
        <v>30</v>
      </c>
      <c r="F672">
        <v>1479</v>
      </c>
      <c r="G672" s="1">
        <v>39296</v>
      </c>
      <c r="H672" s="2">
        <v>45441</v>
      </c>
      <c r="I672" t="s">
        <v>27</v>
      </c>
      <c r="J672" t="s">
        <v>709</v>
      </c>
      <c r="K672" t="s">
        <v>34</v>
      </c>
    </row>
    <row r="673" spans="1:11">
      <c r="A673" t="s">
        <v>64</v>
      </c>
      <c r="B673" t="s">
        <v>49</v>
      </c>
      <c r="C673" t="s">
        <v>30</v>
      </c>
      <c r="D673" t="s">
        <v>31</v>
      </c>
      <c r="E673">
        <v>30</v>
      </c>
      <c r="F673">
        <v>1271</v>
      </c>
      <c r="G673" s="1">
        <v>24977</v>
      </c>
      <c r="H673" s="2">
        <v>45233</v>
      </c>
      <c r="I673" t="s">
        <v>27</v>
      </c>
      <c r="J673" t="s">
        <v>710</v>
      </c>
      <c r="K673" t="s">
        <v>18</v>
      </c>
    </row>
    <row r="674" spans="1:11">
      <c r="A674" t="s">
        <v>11</v>
      </c>
      <c r="B674" t="s">
        <v>49</v>
      </c>
      <c r="C674" t="s">
        <v>25</v>
      </c>
      <c r="D674" t="s">
        <v>26</v>
      </c>
      <c r="E674">
        <v>60</v>
      </c>
      <c r="F674">
        <v>255</v>
      </c>
      <c r="G674" s="1">
        <v>3422</v>
      </c>
      <c r="H674" s="2">
        <v>45499</v>
      </c>
      <c r="I674" t="s">
        <v>39</v>
      </c>
      <c r="J674" t="s">
        <v>711</v>
      </c>
      <c r="K674" t="s">
        <v>29</v>
      </c>
    </row>
    <row r="675" spans="1:11">
      <c r="A675" t="s">
        <v>11</v>
      </c>
      <c r="B675" t="s">
        <v>51</v>
      </c>
      <c r="C675" t="s">
        <v>30</v>
      </c>
      <c r="D675" t="s">
        <v>26</v>
      </c>
      <c r="E675" t="s">
        <v>22</v>
      </c>
      <c r="F675">
        <v>1258</v>
      </c>
      <c r="G675" s="1">
        <v>40096</v>
      </c>
      <c r="H675" s="2">
        <v>45315</v>
      </c>
      <c r="I675" t="s">
        <v>41</v>
      </c>
      <c r="J675" t="s">
        <v>712</v>
      </c>
      <c r="K675" t="s">
        <v>18</v>
      </c>
    </row>
    <row r="676" spans="1:11">
      <c r="A676" t="s">
        <v>11</v>
      </c>
      <c r="B676" t="s">
        <v>51</v>
      </c>
      <c r="C676" t="s">
        <v>25</v>
      </c>
      <c r="D676" t="s">
        <v>21</v>
      </c>
      <c r="E676" t="s">
        <v>22</v>
      </c>
      <c r="F676">
        <v>1633</v>
      </c>
      <c r="G676" s="1">
        <v>49748</v>
      </c>
      <c r="H676" s="2">
        <v>45140</v>
      </c>
      <c r="I676" t="s">
        <v>16</v>
      </c>
      <c r="J676" t="s">
        <v>713</v>
      </c>
      <c r="K676" t="s">
        <v>47</v>
      </c>
    </row>
    <row r="677" spans="1:11">
      <c r="A677" t="s">
        <v>45</v>
      </c>
      <c r="B677" t="s">
        <v>51</v>
      </c>
      <c r="C677" t="s">
        <v>20</v>
      </c>
      <c r="D677" t="s">
        <v>31</v>
      </c>
      <c r="E677" t="s">
        <v>22</v>
      </c>
      <c r="F677">
        <v>115</v>
      </c>
      <c r="G677" s="1">
        <v>42746</v>
      </c>
      <c r="H677" s="2">
        <v>45470</v>
      </c>
      <c r="I677" t="s">
        <v>16</v>
      </c>
      <c r="J677" t="s">
        <v>714</v>
      </c>
      <c r="K677" t="s">
        <v>18</v>
      </c>
    </row>
    <row r="678" spans="1:11">
      <c r="A678" t="s">
        <v>24</v>
      </c>
      <c r="B678" t="s">
        <v>51</v>
      </c>
      <c r="C678" t="s">
        <v>30</v>
      </c>
      <c r="D678" t="s">
        <v>21</v>
      </c>
      <c r="E678">
        <v>30</v>
      </c>
      <c r="F678">
        <v>1666</v>
      </c>
      <c r="G678" s="1">
        <v>31902</v>
      </c>
      <c r="H678" s="2">
        <v>45296</v>
      </c>
      <c r="I678" t="s">
        <v>16</v>
      </c>
      <c r="J678" t="s">
        <v>715</v>
      </c>
      <c r="K678" t="s">
        <v>34</v>
      </c>
    </row>
    <row r="679" spans="1:11">
      <c r="A679" t="s">
        <v>24</v>
      </c>
      <c r="B679" t="s">
        <v>49</v>
      </c>
      <c r="C679" t="s">
        <v>30</v>
      </c>
      <c r="D679" t="s">
        <v>31</v>
      </c>
      <c r="E679" t="s">
        <v>22</v>
      </c>
      <c r="F679">
        <v>1141</v>
      </c>
      <c r="G679" s="1">
        <v>14925</v>
      </c>
      <c r="H679" s="2">
        <v>45410</v>
      </c>
      <c r="I679" t="s">
        <v>27</v>
      </c>
      <c r="J679" t="s">
        <v>716</v>
      </c>
      <c r="K679" t="s">
        <v>29</v>
      </c>
    </row>
    <row r="680" spans="1:11">
      <c r="A680" t="s">
        <v>45</v>
      </c>
      <c r="B680" t="s">
        <v>19</v>
      </c>
      <c r="C680" t="s">
        <v>25</v>
      </c>
      <c r="D680" t="s">
        <v>21</v>
      </c>
      <c r="E680" t="s">
        <v>15</v>
      </c>
      <c r="F680">
        <v>684</v>
      </c>
      <c r="G680" s="1">
        <v>49285</v>
      </c>
      <c r="H680" s="2">
        <v>45348</v>
      </c>
      <c r="I680" t="s">
        <v>39</v>
      </c>
      <c r="J680" t="s">
        <v>717</v>
      </c>
      <c r="K680" t="s">
        <v>44</v>
      </c>
    </row>
    <row r="681" spans="1:11">
      <c r="A681" t="s">
        <v>35</v>
      </c>
      <c r="B681" t="s">
        <v>12</v>
      </c>
      <c r="C681" t="s">
        <v>13</v>
      </c>
      <c r="D681" t="s">
        <v>14</v>
      </c>
      <c r="E681" t="s">
        <v>22</v>
      </c>
      <c r="F681">
        <v>125</v>
      </c>
      <c r="G681" s="1">
        <v>27122</v>
      </c>
      <c r="H681" s="2">
        <v>45163</v>
      </c>
      <c r="I681" t="s">
        <v>32</v>
      </c>
      <c r="J681" t="s">
        <v>718</v>
      </c>
      <c r="K681" t="s">
        <v>29</v>
      </c>
    </row>
    <row r="682" spans="1:11">
      <c r="A682" t="s">
        <v>11</v>
      </c>
      <c r="B682" t="s">
        <v>49</v>
      </c>
      <c r="C682" t="s">
        <v>59</v>
      </c>
      <c r="D682" t="s">
        <v>31</v>
      </c>
      <c r="E682" t="s">
        <v>22</v>
      </c>
      <c r="F682">
        <v>1257</v>
      </c>
      <c r="G682" s="1">
        <v>9065</v>
      </c>
      <c r="H682" s="2">
        <v>45335</v>
      </c>
      <c r="I682" t="s">
        <v>16</v>
      </c>
      <c r="J682" t="s">
        <v>719</v>
      </c>
      <c r="K682" t="s">
        <v>44</v>
      </c>
    </row>
    <row r="683" spans="1:11">
      <c r="A683" t="s">
        <v>45</v>
      </c>
      <c r="B683" t="s">
        <v>12</v>
      </c>
      <c r="C683" t="s">
        <v>59</v>
      </c>
      <c r="D683" t="s">
        <v>66</v>
      </c>
      <c r="E683" t="s">
        <v>38</v>
      </c>
      <c r="F683">
        <v>512</v>
      </c>
      <c r="G683" s="1">
        <v>38483</v>
      </c>
      <c r="H683" s="2">
        <v>45259</v>
      </c>
      <c r="I683" t="s">
        <v>27</v>
      </c>
      <c r="J683" t="s">
        <v>720</v>
      </c>
      <c r="K683" t="s">
        <v>29</v>
      </c>
    </row>
    <row r="684" spans="1:11">
      <c r="A684" t="s">
        <v>11</v>
      </c>
      <c r="B684" t="s">
        <v>51</v>
      </c>
      <c r="C684" t="s">
        <v>13</v>
      </c>
      <c r="D684" t="s">
        <v>21</v>
      </c>
      <c r="E684">
        <v>60</v>
      </c>
      <c r="F684">
        <v>1978</v>
      </c>
      <c r="G684" s="1">
        <v>35271</v>
      </c>
      <c r="H684" s="2">
        <v>45285</v>
      </c>
      <c r="I684" t="s">
        <v>41</v>
      </c>
      <c r="J684" t="s">
        <v>721</v>
      </c>
      <c r="K684" t="s">
        <v>47</v>
      </c>
    </row>
    <row r="685" spans="1:11">
      <c r="A685" t="s">
        <v>11</v>
      </c>
      <c r="B685" t="s">
        <v>51</v>
      </c>
      <c r="C685" t="s">
        <v>59</v>
      </c>
      <c r="D685" t="s">
        <v>26</v>
      </c>
      <c r="E685" t="s">
        <v>38</v>
      </c>
      <c r="F685">
        <v>452</v>
      </c>
      <c r="G685" s="1">
        <v>27833</v>
      </c>
      <c r="H685" s="2">
        <v>45231</v>
      </c>
      <c r="I685" t="s">
        <v>39</v>
      </c>
      <c r="J685" t="s">
        <v>722</v>
      </c>
      <c r="K685" t="s">
        <v>34</v>
      </c>
    </row>
    <row r="686" spans="1:11">
      <c r="A686" t="s">
        <v>35</v>
      </c>
      <c r="B686" t="s">
        <v>49</v>
      </c>
      <c r="C686" t="s">
        <v>20</v>
      </c>
      <c r="D686" t="s">
        <v>26</v>
      </c>
      <c r="E686" t="s">
        <v>22</v>
      </c>
      <c r="F686">
        <v>1464</v>
      </c>
      <c r="G686" s="1">
        <v>13450</v>
      </c>
      <c r="H686" s="2">
        <v>45203</v>
      </c>
      <c r="I686" t="s">
        <v>41</v>
      </c>
      <c r="J686" t="s">
        <v>723</v>
      </c>
      <c r="K686" t="s">
        <v>29</v>
      </c>
    </row>
    <row r="687" spans="1:11">
      <c r="A687" t="s">
        <v>24</v>
      </c>
      <c r="B687" t="s">
        <v>36</v>
      </c>
      <c r="C687" t="s">
        <v>20</v>
      </c>
      <c r="D687" t="s">
        <v>14</v>
      </c>
      <c r="E687">
        <v>60</v>
      </c>
      <c r="F687">
        <v>1259</v>
      </c>
      <c r="G687" s="1">
        <v>34258</v>
      </c>
      <c r="H687" s="2">
        <v>45220</v>
      </c>
      <c r="I687" t="s">
        <v>41</v>
      </c>
      <c r="J687" t="s">
        <v>724</v>
      </c>
      <c r="K687" t="s">
        <v>44</v>
      </c>
    </row>
    <row r="688" spans="1:11">
      <c r="A688" t="s">
        <v>11</v>
      </c>
      <c r="B688" t="s">
        <v>51</v>
      </c>
      <c r="C688" t="s">
        <v>30</v>
      </c>
      <c r="D688" t="s">
        <v>26</v>
      </c>
      <c r="E688" t="s">
        <v>38</v>
      </c>
      <c r="F688">
        <v>997</v>
      </c>
      <c r="G688" s="1">
        <v>6288</v>
      </c>
      <c r="H688" s="2">
        <v>45490</v>
      </c>
      <c r="I688" t="s">
        <v>41</v>
      </c>
      <c r="J688" t="s">
        <v>725</v>
      </c>
      <c r="K688" t="s">
        <v>47</v>
      </c>
    </row>
    <row r="689" spans="1:11">
      <c r="A689" t="s">
        <v>45</v>
      </c>
      <c r="B689" t="s">
        <v>36</v>
      </c>
      <c r="C689" t="s">
        <v>20</v>
      </c>
      <c r="D689" t="s">
        <v>26</v>
      </c>
      <c r="E689">
        <v>60</v>
      </c>
      <c r="F689">
        <v>324</v>
      </c>
      <c r="G689" s="1">
        <v>16995</v>
      </c>
      <c r="H689" s="2">
        <v>45225</v>
      </c>
      <c r="I689" t="s">
        <v>39</v>
      </c>
      <c r="J689" t="s">
        <v>726</v>
      </c>
      <c r="K689" t="s">
        <v>34</v>
      </c>
    </row>
    <row r="690" spans="1:11">
      <c r="A690" t="s">
        <v>45</v>
      </c>
      <c r="B690" t="s">
        <v>19</v>
      </c>
      <c r="C690" t="s">
        <v>59</v>
      </c>
      <c r="D690" t="s">
        <v>31</v>
      </c>
      <c r="E690" t="s">
        <v>22</v>
      </c>
      <c r="F690">
        <v>153</v>
      </c>
      <c r="G690" s="1">
        <v>48959</v>
      </c>
      <c r="H690" s="2">
        <v>45443</v>
      </c>
      <c r="I690" t="s">
        <v>39</v>
      </c>
      <c r="J690" t="s">
        <v>727</v>
      </c>
      <c r="K690" t="s">
        <v>18</v>
      </c>
    </row>
    <row r="691" spans="1:11">
      <c r="A691" t="s">
        <v>24</v>
      </c>
      <c r="B691" t="s">
        <v>49</v>
      </c>
      <c r="C691" t="s">
        <v>20</v>
      </c>
      <c r="D691" t="s">
        <v>31</v>
      </c>
      <c r="E691" t="s">
        <v>15</v>
      </c>
      <c r="F691">
        <v>1927</v>
      </c>
      <c r="G691" s="1">
        <v>36009</v>
      </c>
      <c r="H691" s="2">
        <v>45147</v>
      </c>
      <c r="I691" t="s">
        <v>27</v>
      </c>
      <c r="J691" t="s">
        <v>728</v>
      </c>
      <c r="K691" t="s">
        <v>29</v>
      </c>
    </row>
    <row r="692" spans="1:11">
      <c r="A692" t="s">
        <v>11</v>
      </c>
      <c r="B692" t="s">
        <v>19</v>
      </c>
      <c r="C692" t="s">
        <v>20</v>
      </c>
      <c r="D692" t="s">
        <v>14</v>
      </c>
      <c r="E692">
        <v>60</v>
      </c>
      <c r="F692">
        <v>463</v>
      </c>
      <c r="G692" s="1">
        <v>7692</v>
      </c>
      <c r="H692" s="2">
        <v>45137</v>
      </c>
      <c r="I692" t="s">
        <v>27</v>
      </c>
      <c r="J692" t="s">
        <v>729</v>
      </c>
      <c r="K692" t="s">
        <v>18</v>
      </c>
    </row>
    <row r="693" spans="1:11">
      <c r="A693" t="s">
        <v>11</v>
      </c>
      <c r="B693" t="s">
        <v>36</v>
      </c>
      <c r="C693" t="s">
        <v>25</v>
      </c>
      <c r="D693" t="s">
        <v>31</v>
      </c>
      <c r="E693">
        <v>30</v>
      </c>
      <c r="F693">
        <v>1767</v>
      </c>
      <c r="G693" s="1">
        <v>37875</v>
      </c>
      <c r="H693" s="2">
        <v>45319</v>
      </c>
      <c r="I693" t="s">
        <v>39</v>
      </c>
      <c r="J693" t="s">
        <v>730</v>
      </c>
      <c r="K693" t="s">
        <v>18</v>
      </c>
    </row>
    <row r="694" spans="1:11">
      <c r="A694" t="s">
        <v>64</v>
      </c>
      <c r="B694" t="s">
        <v>12</v>
      </c>
      <c r="C694" t="s">
        <v>30</v>
      </c>
      <c r="D694" t="s">
        <v>66</v>
      </c>
      <c r="E694" t="s">
        <v>22</v>
      </c>
      <c r="F694">
        <v>1906</v>
      </c>
      <c r="G694" s="1">
        <v>37464</v>
      </c>
      <c r="H694" s="2">
        <v>45142</v>
      </c>
      <c r="I694" t="s">
        <v>32</v>
      </c>
      <c r="J694" t="s">
        <v>731</v>
      </c>
      <c r="K694" t="s">
        <v>34</v>
      </c>
    </row>
    <row r="695" spans="1:11">
      <c r="A695" t="s">
        <v>35</v>
      </c>
      <c r="B695" t="s">
        <v>19</v>
      </c>
      <c r="C695" t="s">
        <v>13</v>
      </c>
      <c r="D695" t="s">
        <v>14</v>
      </c>
      <c r="E695">
        <v>30</v>
      </c>
      <c r="F695">
        <v>1155</v>
      </c>
      <c r="G695" s="1">
        <v>27188</v>
      </c>
      <c r="H695" s="2">
        <v>45188</v>
      </c>
      <c r="I695" t="s">
        <v>27</v>
      </c>
      <c r="J695" t="s">
        <v>732</v>
      </c>
      <c r="K695" t="s">
        <v>44</v>
      </c>
    </row>
    <row r="696" spans="1:11">
      <c r="A696" t="s">
        <v>11</v>
      </c>
      <c r="B696" t="s">
        <v>19</v>
      </c>
      <c r="C696" t="s">
        <v>25</v>
      </c>
      <c r="D696" t="s">
        <v>26</v>
      </c>
      <c r="E696" t="s">
        <v>22</v>
      </c>
      <c r="F696">
        <v>752</v>
      </c>
      <c r="G696" s="1">
        <v>2969</v>
      </c>
      <c r="H696" s="2">
        <v>45413</v>
      </c>
      <c r="I696" t="s">
        <v>41</v>
      </c>
      <c r="J696" t="s">
        <v>733</v>
      </c>
      <c r="K696" t="s">
        <v>44</v>
      </c>
    </row>
    <row r="697" spans="1:11">
      <c r="A697" t="s">
        <v>45</v>
      </c>
      <c r="B697" t="s">
        <v>12</v>
      </c>
      <c r="C697" t="s">
        <v>30</v>
      </c>
      <c r="D697" t="s">
        <v>31</v>
      </c>
      <c r="E697">
        <v>30</v>
      </c>
      <c r="F697">
        <v>1723</v>
      </c>
      <c r="G697" s="1">
        <v>43091</v>
      </c>
      <c r="H697" s="2">
        <v>45155</v>
      </c>
      <c r="I697" t="s">
        <v>27</v>
      </c>
      <c r="J697" t="s">
        <v>734</v>
      </c>
      <c r="K697" t="s">
        <v>29</v>
      </c>
    </row>
    <row r="698" spans="1:11">
      <c r="A698" t="s">
        <v>35</v>
      </c>
      <c r="B698" t="s">
        <v>51</v>
      </c>
      <c r="C698" t="s">
        <v>25</v>
      </c>
      <c r="D698" t="s">
        <v>14</v>
      </c>
      <c r="E698">
        <v>60</v>
      </c>
      <c r="F698">
        <v>1337</v>
      </c>
      <c r="G698" s="1">
        <v>22675</v>
      </c>
      <c r="H698" s="2">
        <v>45143</v>
      </c>
      <c r="I698" t="s">
        <v>27</v>
      </c>
      <c r="J698" t="s">
        <v>735</v>
      </c>
      <c r="K698" t="s">
        <v>18</v>
      </c>
    </row>
    <row r="699" spans="1:11">
      <c r="A699" t="s">
        <v>64</v>
      </c>
      <c r="B699" t="s">
        <v>49</v>
      </c>
      <c r="C699" t="s">
        <v>25</v>
      </c>
      <c r="D699" t="s">
        <v>26</v>
      </c>
      <c r="E699">
        <v>60</v>
      </c>
      <c r="F699">
        <v>1430</v>
      </c>
      <c r="G699" s="1">
        <v>41328</v>
      </c>
      <c r="H699" s="2">
        <v>45144</v>
      </c>
      <c r="I699" t="s">
        <v>16</v>
      </c>
      <c r="J699" t="s">
        <v>736</v>
      </c>
      <c r="K699" t="s">
        <v>47</v>
      </c>
    </row>
    <row r="700" spans="1:11">
      <c r="A700" t="s">
        <v>45</v>
      </c>
      <c r="B700" t="s">
        <v>49</v>
      </c>
      <c r="C700" t="s">
        <v>25</v>
      </c>
      <c r="D700" t="s">
        <v>26</v>
      </c>
      <c r="E700" t="s">
        <v>22</v>
      </c>
      <c r="F700">
        <v>1184</v>
      </c>
      <c r="G700" s="1">
        <v>27895</v>
      </c>
      <c r="H700" s="2">
        <v>45411</v>
      </c>
      <c r="I700" t="s">
        <v>16</v>
      </c>
      <c r="J700" t="s">
        <v>737</v>
      </c>
      <c r="K700" t="s">
        <v>18</v>
      </c>
    </row>
    <row r="701" spans="1:11">
      <c r="A701" t="s">
        <v>24</v>
      </c>
      <c r="B701" t="s">
        <v>49</v>
      </c>
      <c r="C701" t="s">
        <v>59</v>
      </c>
      <c r="D701" t="s">
        <v>31</v>
      </c>
      <c r="E701">
        <v>30</v>
      </c>
      <c r="F701">
        <v>506</v>
      </c>
      <c r="G701" s="1">
        <v>17762</v>
      </c>
      <c r="H701" s="2">
        <v>45463</v>
      </c>
      <c r="I701" t="s">
        <v>32</v>
      </c>
      <c r="J701" t="s">
        <v>738</v>
      </c>
      <c r="K701" t="s">
        <v>34</v>
      </c>
    </row>
    <row r="702" spans="1:11">
      <c r="A702" t="s">
        <v>64</v>
      </c>
      <c r="B702" t="s">
        <v>51</v>
      </c>
      <c r="C702" t="s">
        <v>25</v>
      </c>
      <c r="D702" t="s">
        <v>21</v>
      </c>
      <c r="E702" t="s">
        <v>38</v>
      </c>
      <c r="F702">
        <v>1085</v>
      </c>
      <c r="G702" s="1">
        <v>1367</v>
      </c>
      <c r="H702" s="2">
        <v>45356</v>
      </c>
      <c r="I702" t="s">
        <v>27</v>
      </c>
      <c r="J702" t="s">
        <v>739</v>
      </c>
      <c r="K702" t="s">
        <v>34</v>
      </c>
    </row>
    <row r="703" spans="1:11">
      <c r="A703" t="s">
        <v>35</v>
      </c>
      <c r="B703" t="s">
        <v>36</v>
      </c>
      <c r="C703" t="s">
        <v>30</v>
      </c>
      <c r="D703" t="s">
        <v>26</v>
      </c>
      <c r="E703" t="s">
        <v>38</v>
      </c>
      <c r="F703">
        <v>1151</v>
      </c>
      <c r="G703" s="1">
        <v>23237</v>
      </c>
      <c r="H703" s="2">
        <v>45379</v>
      </c>
      <c r="I703" t="s">
        <v>39</v>
      </c>
      <c r="J703" t="s">
        <v>740</v>
      </c>
      <c r="K703" t="s">
        <v>29</v>
      </c>
    </row>
    <row r="704" spans="1:11">
      <c r="A704" t="s">
        <v>35</v>
      </c>
      <c r="B704" t="s">
        <v>51</v>
      </c>
      <c r="C704" t="s">
        <v>25</v>
      </c>
      <c r="D704" t="s">
        <v>66</v>
      </c>
      <c r="E704" t="s">
        <v>22</v>
      </c>
      <c r="F704">
        <v>157</v>
      </c>
      <c r="G704" s="1">
        <v>17373</v>
      </c>
      <c r="H704" s="2">
        <v>45388</v>
      </c>
      <c r="I704" t="s">
        <v>41</v>
      </c>
      <c r="J704" t="s">
        <v>741</v>
      </c>
      <c r="K704" t="s">
        <v>18</v>
      </c>
    </row>
    <row r="705" spans="1:11">
      <c r="A705" t="s">
        <v>64</v>
      </c>
      <c r="B705" t="s">
        <v>12</v>
      </c>
      <c r="C705" t="s">
        <v>30</v>
      </c>
      <c r="D705" t="s">
        <v>21</v>
      </c>
      <c r="E705" t="s">
        <v>38</v>
      </c>
      <c r="F705">
        <v>1665</v>
      </c>
      <c r="G705" s="1">
        <v>49986</v>
      </c>
      <c r="H705" s="2">
        <v>45167</v>
      </c>
      <c r="I705" t="s">
        <v>41</v>
      </c>
      <c r="J705" t="s">
        <v>742</v>
      </c>
      <c r="K705" t="s">
        <v>44</v>
      </c>
    </row>
    <row r="706" spans="1:11">
      <c r="A706" t="s">
        <v>64</v>
      </c>
      <c r="B706" t="s">
        <v>49</v>
      </c>
      <c r="C706" t="s">
        <v>20</v>
      </c>
      <c r="D706" t="s">
        <v>26</v>
      </c>
      <c r="E706">
        <v>30</v>
      </c>
      <c r="F706">
        <v>206</v>
      </c>
      <c r="G706" s="1">
        <v>35133</v>
      </c>
      <c r="H706" s="2">
        <v>45366</v>
      </c>
      <c r="I706" t="s">
        <v>27</v>
      </c>
      <c r="J706" t="s">
        <v>743</v>
      </c>
      <c r="K706" t="s">
        <v>29</v>
      </c>
    </row>
    <row r="707" spans="1:11">
      <c r="A707" t="s">
        <v>35</v>
      </c>
      <c r="B707" t="s">
        <v>36</v>
      </c>
      <c r="C707" t="s">
        <v>13</v>
      </c>
      <c r="D707" t="s">
        <v>14</v>
      </c>
      <c r="E707">
        <v>30</v>
      </c>
      <c r="F707">
        <v>1348</v>
      </c>
      <c r="G707" s="1">
        <v>37823</v>
      </c>
      <c r="H707" s="2">
        <v>45467</v>
      </c>
      <c r="I707" t="s">
        <v>27</v>
      </c>
      <c r="J707" t="s">
        <v>744</v>
      </c>
      <c r="K707" t="s">
        <v>47</v>
      </c>
    </row>
    <row r="708" spans="1:11">
      <c r="A708" t="s">
        <v>64</v>
      </c>
      <c r="B708" t="s">
        <v>36</v>
      </c>
      <c r="C708" t="s">
        <v>13</v>
      </c>
      <c r="D708" t="s">
        <v>21</v>
      </c>
      <c r="E708">
        <v>60</v>
      </c>
      <c r="F708">
        <v>1397</v>
      </c>
      <c r="G708" s="1">
        <v>45903</v>
      </c>
      <c r="H708" s="2">
        <v>45225</v>
      </c>
      <c r="I708" t="s">
        <v>32</v>
      </c>
      <c r="J708" t="s">
        <v>745</v>
      </c>
      <c r="K708" t="s">
        <v>18</v>
      </c>
    </row>
    <row r="709" spans="1:11">
      <c r="A709" t="s">
        <v>11</v>
      </c>
      <c r="B709" t="s">
        <v>36</v>
      </c>
      <c r="C709" t="s">
        <v>13</v>
      </c>
      <c r="D709" t="s">
        <v>26</v>
      </c>
      <c r="E709" t="s">
        <v>22</v>
      </c>
      <c r="F709">
        <v>1514</v>
      </c>
      <c r="G709" s="1">
        <v>24056</v>
      </c>
      <c r="H709" s="2">
        <v>45398</v>
      </c>
      <c r="I709" t="s">
        <v>39</v>
      </c>
      <c r="J709" t="s">
        <v>746</v>
      </c>
      <c r="K709" t="s">
        <v>18</v>
      </c>
    </row>
    <row r="710" spans="1:11">
      <c r="A710" t="s">
        <v>11</v>
      </c>
      <c r="B710" t="s">
        <v>36</v>
      </c>
      <c r="C710" t="s">
        <v>13</v>
      </c>
      <c r="D710" t="s">
        <v>26</v>
      </c>
      <c r="E710">
        <v>30</v>
      </c>
      <c r="F710">
        <v>160</v>
      </c>
      <c r="G710" s="1">
        <v>14104</v>
      </c>
      <c r="H710" s="2">
        <v>45229</v>
      </c>
      <c r="I710" t="s">
        <v>41</v>
      </c>
      <c r="J710" t="s">
        <v>747</v>
      </c>
      <c r="K710" t="s">
        <v>18</v>
      </c>
    </row>
    <row r="711" spans="1:11">
      <c r="A711" t="s">
        <v>35</v>
      </c>
      <c r="B711" t="s">
        <v>36</v>
      </c>
      <c r="C711" t="s">
        <v>30</v>
      </c>
      <c r="D711" t="s">
        <v>21</v>
      </c>
      <c r="E711">
        <v>60</v>
      </c>
      <c r="F711">
        <v>1386</v>
      </c>
      <c r="G711" s="1">
        <v>21572</v>
      </c>
      <c r="H711" s="2">
        <v>45326</v>
      </c>
      <c r="I711" t="s">
        <v>32</v>
      </c>
      <c r="J711" t="s">
        <v>748</v>
      </c>
      <c r="K711" t="s">
        <v>29</v>
      </c>
    </row>
    <row r="712" spans="1:11">
      <c r="A712" t="s">
        <v>35</v>
      </c>
      <c r="B712" t="s">
        <v>49</v>
      </c>
      <c r="C712" t="s">
        <v>20</v>
      </c>
      <c r="D712" t="s">
        <v>21</v>
      </c>
      <c r="E712">
        <v>60</v>
      </c>
      <c r="F712">
        <v>348</v>
      </c>
      <c r="G712" s="1">
        <v>3487</v>
      </c>
      <c r="H712" s="2">
        <v>45356</v>
      </c>
      <c r="I712" t="s">
        <v>27</v>
      </c>
      <c r="J712" t="s">
        <v>749</v>
      </c>
      <c r="K712" t="s">
        <v>34</v>
      </c>
    </row>
    <row r="713" spans="1:11">
      <c r="A713" t="s">
        <v>64</v>
      </c>
      <c r="B713" t="s">
        <v>12</v>
      </c>
      <c r="C713" t="s">
        <v>25</v>
      </c>
      <c r="D713" t="s">
        <v>31</v>
      </c>
      <c r="E713" t="s">
        <v>15</v>
      </c>
      <c r="F713">
        <v>1100</v>
      </c>
      <c r="G713" s="1">
        <v>3858</v>
      </c>
      <c r="H713" s="2">
        <v>45399</v>
      </c>
      <c r="I713" t="s">
        <v>32</v>
      </c>
      <c r="J713" t="s">
        <v>750</v>
      </c>
      <c r="K713" t="s">
        <v>29</v>
      </c>
    </row>
    <row r="714" spans="1:11">
      <c r="A714" t="s">
        <v>35</v>
      </c>
      <c r="B714" t="s">
        <v>49</v>
      </c>
      <c r="C714" t="s">
        <v>25</v>
      </c>
      <c r="D714" t="s">
        <v>14</v>
      </c>
      <c r="E714">
        <v>60</v>
      </c>
      <c r="F714">
        <v>514</v>
      </c>
      <c r="G714" s="1">
        <v>39240</v>
      </c>
      <c r="H714" s="2">
        <v>45241</v>
      </c>
      <c r="I714" t="s">
        <v>27</v>
      </c>
      <c r="J714" t="s">
        <v>751</v>
      </c>
      <c r="K714" t="s">
        <v>47</v>
      </c>
    </row>
    <row r="715" spans="1:11">
      <c r="A715" t="s">
        <v>11</v>
      </c>
      <c r="B715" t="s">
        <v>12</v>
      </c>
      <c r="C715" t="s">
        <v>59</v>
      </c>
      <c r="D715" t="s">
        <v>14</v>
      </c>
      <c r="E715" t="s">
        <v>22</v>
      </c>
      <c r="F715">
        <v>1752</v>
      </c>
      <c r="G715" s="1">
        <v>38068</v>
      </c>
      <c r="H715" s="2">
        <v>45289</v>
      </c>
      <c r="I715" t="s">
        <v>41</v>
      </c>
      <c r="J715" t="s">
        <v>752</v>
      </c>
      <c r="K715" t="s">
        <v>44</v>
      </c>
    </row>
    <row r="716" spans="1:11">
      <c r="A716" t="s">
        <v>45</v>
      </c>
      <c r="B716" t="s">
        <v>12</v>
      </c>
      <c r="C716" t="s">
        <v>20</v>
      </c>
      <c r="D716" t="s">
        <v>14</v>
      </c>
      <c r="E716" t="s">
        <v>38</v>
      </c>
      <c r="F716">
        <v>358</v>
      </c>
      <c r="G716" s="1">
        <v>13438</v>
      </c>
      <c r="H716" s="2">
        <v>45364</v>
      </c>
      <c r="I716" t="s">
        <v>39</v>
      </c>
      <c r="J716" t="s">
        <v>753</v>
      </c>
      <c r="K716" t="s">
        <v>47</v>
      </c>
    </row>
    <row r="717" spans="1:11">
      <c r="A717" t="s">
        <v>45</v>
      </c>
      <c r="B717" t="s">
        <v>49</v>
      </c>
      <c r="C717" t="s">
        <v>25</v>
      </c>
      <c r="D717" t="s">
        <v>21</v>
      </c>
      <c r="E717" t="s">
        <v>38</v>
      </c>
      <c r="F717">
        <v>506</v>
      </c>
      <c r="G717" s="1">
        <v>28350</v>
      </c>
      <c r="H717" s="2">
        <v>45392</v>
      </c>
      <c r="I717" t="s">
        <v>32</v>
      </c>
      <c r="J717" t="s">
        <v>754</v>
      </c>
      <c r="K717" t="s">
        <v>47</v>
      </c>
    </row>
    <row r="718" spans="1:11">
      <c r="A718" t="s">
        <v>24</v>
      </c>
      <c r="B718" t="s">
        <v>49</v>
      </c>
      <c r="C718" t="s">
        <v>13</v>
      </c>
      <c r="D718" t="s">
        <v>14</v>
      </c>
      <c r="E718" t="s">
        <v>22</v>
      </c>
      <c r="F718">
        <v>1938</v>
      </c>
      <c r="G718" s="1">
        <v>28072</v>
      </c>
      <c r="H718" s="2">
        <v>45485</v>
      </c>
      <c r="I718" t="s">
        <v>32</v>
      </c>
      <c r="J718" t="s">
        <v>755</v>
      </c>
      <c r="K718" t="s">
        <v>44</v>
      </c>
    </row>
    <row r="719" spans="1:11">
      <c r="A719" t="s">
        <v>11</v>
      </c>
      <c r="B719" t="s">
        <v>36</v>
      </c>
      <c r="C719" t="s">
        <v>25</v>
      </c>
      <c r="D719" t="s">
        <v>21</v>
      </c>
      <c r="E719" t="s">
        <v>38</v>
      </c>
      <c r="F719">
        <v>794</v>
      </c>
      <c r="G719" s="1">
        <v>29529</v>
      </c>
      <c r="H719" s="2">
        <v>45256</v>
      </c>
      <c r="I719" t="s">
        <v>41</v>
      </c>
      <c r="J719" t="s">
        <v>756</v>
      </c>
      <c r="K719" t="s">
        <v>18</v>
      </c>
    </row>
    <row r="720" spans="1:11">
      <c r="A720" t="s">
        <v>45</v>
      </c>
      <c r="B720" t="s">
        <v>19</v>
      </c>
      <c r="C720" t="s">
        <v>30</v>
      </c>
      <c r="D720" t="s">
        <v>21</v>
      </c>
      <c r="E720" t="s">
        <v>38</v>
      </c>
      <c r="F720">
        <v>483</v>
      </c>
      <c r="G720" s="1">
        <v>26712</v>
      </c>
      <c r="H720" s="2">
        <v>45282</v>
      </c>
      <c r="I720" t="s">
        <v>41</v>
      </c>
      <c r="J720" t="s">
        <v>757</v>
      </c>
      <c r="K720" t="s">
        <v>34</v>
      </c>
    </row>
    <row r="721" spans="1:11">
      <c r="A721" t="s">
        <v>64</v>
      </c>
      <c r="B721" t="s">
        <v>36</v>
      </c>
      <c r="C721" t="s">
        <v>20</v>
      </c>
      <c r="D721" t="s">
        <v>14</v>
      </c>
      <c r="E721" t="s">
        <v>15</v>
      </c>
      <c r="F721">
        <v>1884</v>
      </c>
      <c r="G721" s="1">
        <v>23635</v>
      </c>
      <c r="H721" s="2">
        <v>45423</v>
      </c>
      <c r="I721" t="s">
        <v>32</v>
      </c>
      <c r="J721" t="s">
        <v>758</v>
      </c>
      <c r="K721" t="s">
        <v>47</v>
      </c>
    </row>
    <row r="722" spans="1:11">
      <c r="A722" t="s">
        <v>64</v>
      </c>
      <c r="B722" t="s">
        <v>49</v>
      </c>
      <c r="C722" t="s">
        <v>20</v>
      </c>
      <c r="D722" t="s">
        <v>26</v>
      </c>
      <c r="E722" t="s">
        <v>38</v>
      </c>
      <c r="F722">
        <v>735</v>
      </c>
      <c r="G722" s="1">
        <v>40658</v>
      </c>
      <c r="H722" s="2">
        <v>45211</v>
      </c>
      <c r="I722" t="s">
        <v>27</v>
      </c>
      <c r="J722" t="s">
        <v>759</v>
      </c>
      <c r="K722" t="s">
        <v>44</v>
      </c>
    </row>
    <row r="723" spans="1:11">
      <c r="A723" t="s">
        <v>11</v>
      </c>
      <c r="B723" t="s">
        <v>36</v>
      </c>
      <c r="C723" t="s">
        <v>59</v>
      </c>
      <c r="D723" t="s">
        <v>14</v>
      </c>
      <c r="E723" t="s">
        <v>15</v>
      </c>
      <c r="F723">
        <v>274</v>
      </c>
      <c r="G723" s="1">
        <v>30681</v>
      </c>
      <c r="H723" s="2">
        <v>45431</v>
      </c>
      <c r="I723" t="s">
        <v>32</v>
      </c>
      <c r="J723" t="s">
        <v>760</v>
      </c>
      <c r="K723" t="s">
        <v>47</v>
      </c>
    </row>
    <row r="724" spans="1:11">
      <c r="A724" t="s">
        <v>35</v>
      </c>
      <c r="B724" t="s">
        <v>36</v>
      </c>
      <c r="C724" t="s">
        <v>13</v>
      </c>
      <c r="D724" t="s">
        <v>21</v>
      </c>
      <c r="E724" t="s">
        <v>15</v>
      </c>
      <c r="F724">
        <v>1805</v>
      </c>
      <c r="G724" s="1">
        <v>40381</v>
      </c>
      <c r="H724" s="2">
        <v>45392</v>
      </c>
      <c r="I724" t="s">
        <v>41</v>
      </c>
      <c r="J724" t="s">
        <v>761</v>
      </c>
      <c r="K724" t="s">
        <v>29</v>
      </c>
    </row>
    <row r="725" spans="1:11">
      <c r="A725" t="s">
        <v>11</v>
      </c>
      <c r="B725" t="s">
        <v>49</v>
      </c>
      <c r="C725" t="s">
        <v>25</v>
      </c>
      <c r="D725" t="s">
        <v>31</v>
      </c>
      <c r="E725" t="s">
        <v>15</v>
      </c>
      <c r="F725">
        <v>873</v>
      </c>
      <c r="G725" s="1">
        <v>28594</v>
      </c>
      <c r="H725" s="2">
        <v>45332</v>
      </c>
      <c r="I725" t="s">
        <v>39</v>
      </c>
      <c r="J725" t="s">
        <v>762</v>
      </c>
      <c r="K725" t="s">
        <v>18</v>
      </c>
    </row>
    <row r="726" spans="1:11">
      <c r="A726" t="s">
        <v>45</v>
      </c>
      <c r="B726" t="s">
        <v>12</v>
      </c>
      <c r="C726" t="s">
        <v>59</v>
      </c>
      <c r="D726" t="s">
        <v>21</v>
      </c>
      <c r="E726" t="s">
        <v>22</v>
      </c>
      <c r="F726">
        <v>132</v>
      </c>
      <c r="G726" s="1">
        <v>44778</v>
      </c>
      <c r="H726" s="2">
        <v>45400</v>
      </c>
      <c r="I726" t="s">
        <v>32</v>
      </c>
      <c r="J726" t="s">
        <v>763</v>
      </c>
      <c r="K726" t="s">
        <v>29</v>
      </c>
    </row>
    <row r="727" spans="1:11">
      <c r="A727" t="s">
        <v>45</v>
      </c>
      <c r="B727" t="s">
        <v>12</v>
      </c>
      <c r="C727" t="s">
        <v>13</v>
      </c>
      <c r="D727" t="s">
        <v>66</v>
      </c>
      <c r="E727" t="s">
        <v>15</v>
      </c>
      <c r="F727">
        <v>1420</v>
      </c>
      <c r="G727" s="1">
        <v>14853</v>
      </c>
      <c r="H727" s="2">
        <v>45314</v>
      </c>
      <c r="I727" t="s">
        <v>39</v>
      </c>
      <c r="J727" t="s">
        <v>764</v>
      </c>
      <c r="K727" t="s">
        <v>47</v>
      </c>
    </row>
    <row r="728" spans="1:11">
      <c r="A728" t="s">
        <v>45</v>
      </c>
      <c r="B728" t="s">
        <v>12</v>
      </c>
      <c r="C728" t="s">
        <v>30</v>
      </c>
      <c r="D728" t="s">
        <v>14</v>
      </c>
      <c r="E728" t="s">
        <v>15</v>
      </c>
      <c r="F728">
        <v>1683</v>
      </c>
      <c r="G728" s="1">
        <v>29645</v>
      </c>
      <c r="H728" s="2">
        <v>45202</v>
      </c>
      <c r="I728" t="s">
        <v>39</v>
      </c>
      <c r="J728" t="s">
        <v>765</v>
      </c>
      <c r="K728" t="s">
        <v>44</v>
      </c>
    </row>
    <row r="729" spans="1:11">
      <c r="A729" t="s">
        <v>24</v>
      </c>
      <c r="B729" t="s">
        <v>49</v>
      </c>
      <c r="C729" t="s">
        <v>30</v>
      </c>
      <c r="D729" t="s">
        <v>66</v>
      </c>
      <c r="E729">
        <v>60</v>
      </c>
      <c r="F729">
        <v>1143</v>
      </c>
      <c r="G729" s="1">
        <v>43589</v>
      </c>
      <c r="H729" s="2">
        <v>45407</v>
      </c>
      <c r="I729" t="s">
        <v>32</v>
      </c>
      <c r="J729" t="s">
        <v>766</v>
      </c>
      <c r="K729" t="s">
        <v>47</v>
      </c>
    </row>
    <row r="730" spans="1:11">
      <c r="A730" t="s">
        <v>11</v>
      </c>
      <c r="B730" t="s">
        <v>51</v>
      </c>
      <c r="C730" t="s">
        <v>20</v>
      </c>
      <c r="D730" t="s">
        <v>21</v>
      </c>
      <c r="E730">
        <v>30</v>
      </c>
      <c r="F730">
        <v>223</v>
      </c>
      <c r="G730" s="1">
        <v>2979</v>
      </c>
      <c r="H730" s="2">
        <v>45416</v>
      </c>
      <c r="I730" t="s">
        <v>39</v>
      </c>
      <c r="J730" t="s">
        <v>767</v>
      </c>
      <c r="K730" t="s">
        <v>18</v>
      </c>
    </row>
    <row r="731" spans="1:11">
      <c r="A731" t="s">
        <v>35</v>
      </c>
      <c r="B731" t="s">
        <v>19</v>
      </c>
      <c r="C731" t="s">
        <v>59</v>
      </c>
      <c r="D731" t="s">
        <v>31</v>
      </c>
      <c r="E731">
        <v>60</v>
      </c>
      <c r="F731">
        <v>1324</v>
      </c>
      <c r="G731" s="1">
        <v>4688</v>
      </c>
      <c r="H731" s="2">
        <v>45205</v>
      </c>
      <c r="I731" t="s">
        <v>32</v>
      </c>
      <c r="J731" t="s">
        <v>768</v>
      </c>
      <c r="K731" t="s">
        <v>18</v>
      </c>
    </row>
    <row r="732" spans="1:11">
      <c r="A732" t="s">
        <v>24</v>
      </c>
      <c r="B732" t="s">
        <v>36</v>
      </c>
      <c r="C732" t="s">
        <v>30</v>
      </c>
      <c r="D732" t="s">
        <v>66</v>
      </c>
      <c r="E732" t="s">
        <v>22</v>
      </c>
      <c r="F732">
        <v>194</v>
      </c>
      <c r="G732" s="1">
        <v>24534</v>
      </c>
      <c r="H732" s="2">
        <v>45385</v>
      </c>
      <c r="I732" t="s">
        <v>39</v>
      </c>
      <c r="J732" t="s">
        <v>769</v>
      </c>
      <c r="K732" t="s">
        <v>44</v>
      </c>
    </row>
    <row r="733" spans="1:11">
      <c r="A733" t="s">
        <v>35</v>
      </c>
      <c r="B733" t="s">
        <v>49</v>
      </c>
      <c r="C733" t="s">
        <v>13</v>
      </c>
      <c r="D733" t="s">
        <v>31</v>
      </c>
      <c r="E733">
        <v>60</v>
      </c>
      <c r="F733">
        <v>661</v>
      </c>
      <c r="G733" s="1">
        <v>23684</v>
      </c>
      <c r="H733" s="2">
        <v>45311</v>
      </c>
      <c r="I733" t="s">
        <v>27</v>
      </c>
      <c r="J733" t="s">
        <v>770</v>
      </c>
      <c r="K733" t="s">
        <v>44</v>
      </c>
    </row>
    <row r="734" spans="1:11">
      <c r="A734" t="s">
        <v>11</v>
      </c>
      <c r="B734" t="s">
        <v>49</v>
      </c>
      <c r="C734" t="s">
        <v>13</v>
      </c>
      <c r="D734" t="s">
        <v>31</v>
      </c>
      <c r="E734" t="s">
        <v>15</v>
      </c>
      <c r="F734">
        <v>751</v>
      </c>
      <c r="G734" s="1">
        <v>19968</v>
      </c>
      <c r="H734" s="2">
        <v>45367</v>
      </c>
      <c r="I734" t="s">
        <v>16</v>
      </c>
      <c r="J734" t="s">
        <v>771</v>
      </c>
      <c r="K734" t="s">
        <v>34</v>
      </c>
    </row>
    <row r="735" spans="1:11">
      <c r="A735" t="s">
        <v>11</v>
      </c>
      <c r="B735" t="s">
        <v>36</v>
      </c>
      <c r="C735" t="s">
        <v>20</v>
      </c>
      <c r="D735" t="s">
        <v>66</v>
      </c>
      <c r="E735" t="s">
        <v>22</v>
      </c>
      <c r="F735">
        <v>1257</v>
      </c>
      <c r="G735" s="1">
        <v>23292</v>
      </c>
      <c r="H735" s="2">
        <v>45499</v>
      </c>
      <c r="I735" t="s">
        <v>41</v>
      </c>
      <c r="J735" t="s">
        <v>772</v>
      </c>
      <c r="K735" t="s">
        <v>34</v>
      </c>
    </row>
    <row r="736" spans="1:11">
      <c r="A736" t="s">
        <v>64</v>
      </c>
      <c r="B736" t="s">
        <v>36</v>
      </c>
      <c r="C736" t="s">
        <v>30</v>
      </c>
      <c r="D736" t="s">
        <v>21</v>
      </c>
      <c r="E736">
        <v>60</v>
      </c>
      <c r="F736">
        <v>302</v>
      </c>
      <c r="G736" s="1">
        <v>13102</v>
      </c>
      <c r="H736" s="2">
        <v>45301</v>
      </c>
      <c r="I736" t="s">
        <v>27</v>
      </c>
      <c r="J736" t="s">
        <v>773</v>
      </c>
      <c r="K736" t="s">
        <v>44</v>
      </c>
    </row>
    <row r="737" spans="1:11">
      <c r="A737" t="s">
        <v>64</v>
      </c>
      <c r="B737" t="s">
        <v>49</v>
      </c>
      <c r="C737" t="s">
        <v>25</v>
      </c>
      <c r="D737" t="s">
        <v>21</v>
      </c>
      <c r="E737" t="s">
        <v>22</v>
      </c>
      <c r="F737">
        <v>952</v>
      </c>
      <c r="G737" s="1">
        <v>24617</v>
      </c>
      <c r="H737" s="2">
        <v>45448</v>
      </c>
      <c r="I737" t="s">
        <v>41</v>
      </c>
      <c r="J737" t="s">
        <v>774</v>
      </c>
      <c r="K737" t="s">
        <v>34</v>
      </c>
    </row>
    <row r="738" spans="1:11">
      <c r="A738" t="s">
        <v>45</v>
      </c>
      <c r="B738" t="s">
        <v>19</v>
      </c>
      <c r="C738" t="s">
        <v>25</v>
      </c>
      <c r="D738" t="s">
        <v>31</v>
      </c>
      <c r="E738" t="s">
        <v>22</v>
      </c>
      <c r="F738">
        <v>507</v>
      </c>
      <c r="G738" s="1">
        <v>10837</v>
      </c>
      <c r="H738" s="2">
        <v>45269</v>
      </c>
      <c r="I738" t="s">
        <v>32</v>
      </c>
      <c r="J738" t="s">
        <v>775</v>
      </c>
      <c r="K738" t="s">
        <v>44</v>
      </c>
    </row>
    <row r="739" spans="1:11">
      <c r="A739" t="s">
        <v>11</v>
      </c>
      <c r="B739" t="s">
        <v>36</v>
      </c>
      <c r="C739" t="s">
        <v>20</v>
      </c>
      <c r="D739" t="s">
        <v>31</v>
      </c>
      <c r="E739" t="s">
        <v>15</v>
      </c>
      <c r="F739">
        <v>1325</v>
      </c>
      <c r="G739" s="1">
        <v>29008</v>
      </c>
      <c r="H739" s="2">
        <v>45187</v>
      </c>
      <c r="I739" t="s">
        <v>16</v>
      </c>
      <c r="J739" t="s">
        <v>776</v>
      </c>
      <c r="K739" t="s">
        <v>18</v>
      </c>
    </row>
    <row r="740" spans="1:11">
      <c r="A740" t="s">
        <v>11</v>
      </c>
      <c r="B740" t="s">
        <v>36</v>
      </c>
      <c r="C740" t="s">
        <v>13</v>
      </c>
      <c r="D740" t="s">
        <v>31</v>
      </c>
      <c r="E740" t="s">
        <v>15</v>
      </c>
      <c r="F740">
        <v>970</v>
      </c>
      <c r="G740" s="1">
        <v>30738</v>
      </c>
      <c r="H740" s="2">
        <v>45439</v>
      </c>
      <c r="I740" t="s">
        <v>27</v>
      </c>
      <c r="J740" t="s">
        <v>777</v>
      </c>
      <c r="K740" t="s">
        <v>34</v>
      </c>
    </row>
    <row r="741" spans="1:11">
      <c r="A741" t="s">
        <v>24</v>
      </c>
      <c r="B741" t="s">
        <v>12</v>
      </c>
      <c r="C741" t="s">
        <v>25</v>
      </c>
      <c r="D741" t="s">
        <v>21</v>
      </c>
      <c r="E741" t="s">
        <v>15</v>
      </c>
      <c r="F741">
        <v>1034</v>
      </c>
      <c r="G741" s="1">
        <v>9255</v>
      </c>
      <c r="H741" s="2">
        <v>45368</v>
      </c>
      <c r="I741" t="s">
        <v>32</v>
      </c>
      <c r="J741" t="s">
        <v>778</v>
      </c>
      <c r="K741" t="s">
        <v>47</v>
      </c>
    </row>
    <row r="742" spans="1:11">
      <c r="A742" t="s">
        <v>24</v>
      </c>
      <c r="B742" t="s">
        <v>51</v>
      </c>
      <c r="C742" t="s">
        <v>25</v>
      </c>
      <c r="D742" t="s">
        <v>14</v>
      </c>
      <c r="E742" t="s">
        <v>22</v>
      </c>
      <c r="F742">
        <v>1127</v>
      </c>
      <c r="G742" s="1">
        <v>3828</v>
      </c>
      <c r="H742" s="2">
        <v>45467</v>
      </c>
      <c r="I742" t="s">
        <v>16</v>
      </c>
      <c r="J742" t="s">
        <v>779</v>
      </c>
      <c r="K742" t="s">
        <v>29</v>
      </c>
    </row>
    <row r="743" spans="1:11">
      <c r="A743" t="s">
        <v>24</v>
      </c>
      <c r="B743" t="s">
        <v>51</v>
      </c>
      <c r="C743" t="s">
        <v>59</v>
      </c>
      <c r="D743" t="s">
        <v>66</v>
      </c>
      <c r="E743">
        <v>30</v>
      </c>
      <c r="F743">
        <v>347</v>
      </c>
      <c r="G743" s="1">
        <v>46219</v>
      </c>
      <c r="H743" s="2">
        <v>45421</v>
      </c>
      <c r="I743" t="s">
        <v>27</v>
      </c>
      <c r="J743" t="s">
        <v>780</v>
      </c>
      <c r="K743" t="s">
        <v>34</v>
      </c>
    </row>
    <row r="744" spans="1:11">
      <c r="A744" t="s">
        <v>35</v>
      </c>
      <c r="B744" t="s">
        <v>49</v>
      </c>
      <c r="C744" t="s">
        <v>59</v>
      </c>
      <c r="D744" t="s">
        <v>31</v>
      </c>
      <c r="E744" t="s">
        <v>15</v>
      </c>
      <c r="F744">
        <v>1032</v>
      </c>
      <c r="G744" s="1">
        <v>37678</v>
      </c>
      <c r="H744" s="2">
        <v>45311</v>
      </c>
      <c r="I744" t="s">
        <v>41</v>
      </c>
      <c r="J744" t="s">
        <v>781</v>
      </c>
      <c r="K744" t="s">
        <v>18</v>
      </c>
    </row>
    <row r="745" spans="1:11">
      <c r="A745" t="s">
        <v>11</v>
      </c>
      <c r="B745" t="s">
        <v>51</v>
      </c>
      <c r="C745" t="s">
        <v>13</v>
      </c>
      <c r="D745" t="s">
        <v>26</v>
      </c>
      <c r="E745">
        <v>30</v>
      </c>
      <c r="F745">
        <v>1105</v>
      </c>
      <c r="G745" s="1">
        <v>35389</v>
      </c>
      <c r="H745" s="2">
        <v>45253</v>
      </c>
      <c r="I745" t="s">
        <v>32</v>
      </c>
      <c r="J745" t="s">
        <v>782</v>
      </c>
      <c r="K745" t="s">
        <v>34</v>
      </c>
    </row>
    <row r="746" spans="1:11">
      <c r="A746" t="s">
        <v>11</v>
      </c>
      <c r="B746" t="s">
        <v>36</v>
      </c>
      <c r="C746" t="s">
        <v>59</v>
      </c>
      <c r="D746" t="s">
        <v>66</v>
      </c>
      <c r="E746" t="s">
        <v>22</v>
      </c>
      <c r="F746">
        <v>107</v>
      </c>
      <c r="G746" s="1">
        <v>11533</v>
      </c>
      <c r="H746" s="2">
        <v>45317</v>
      </c>
      <c r="I746" t="s">
        <v>16</v>
      </c>
      <c r="J746" t="s">
        <v>783</v>
      </c>
      <c r="K746" t="s">
        <v>44</v>
      </c>
    </row>
    <row r="747" spans="1:11">
      <c r="A747" t="s">
        <v>24</v>
      </c>
      <c r="B747" t="s">
        <v>51</v>
      </c>
      <c r="C747" t="s">
        <v>20</v>
      </c>
      <c r="D747" t="s">
        <v>14</v>
      </c>
      <c r="E747">
        <v>60</v>
      </c>
      <c r="F747">
        <v>585</v>
      </c>
      <c r="G747" s="1">
        <v>37206</v>
      </c>
      <c r="H747" s="2">
        <v>45340</v>
      </c>
      <c r="I747" t="s">
        <v>41</v>
      </c>
      <c r="J747" t="s">
        <v>784</v>
      </c>
      <c r="K747" t="s">
        <v>44</v>
      </c>
    </row>
    <row r="748" spans="1:11">
      <c r="A748" t="s">
        <v>24</v>
      </c>
      <c r="B748" t="s">
        <v>19</v>
      </c>
      <c r="C748" t="s">
        <v>13</v>
      </c>
      <c r="D748" t="s">
        <v>21</v>
      </c>
      <c r="E748">
        <v>30</v>
      </c>
      <c r="F748">
        <v>1915</v>
      </c>
      <c r="G748" s="1">
        <v>6442</v>
      </c>
      <c r="H748" s="2">
        <v>45428</v>
      </c>
      <c r="I748" t="s">
        <v>16</v>
      </c>
      <c r="J748" t="s">
        <v>785</v>
      </c>
      <c r="K748" t="s">
        <v>44</v>
      </c>
    </row>
    <row r="749" spans="1:11">
      <c r="A749" t="s">
        <v>11</v>
      </c>
      <c r="B749" t="s">
        <v>12</v>
      </c>
      <c r="C749" t="s">
        <v>20</v>
      </c>
      <c r="D749" t="s">
        <v>66</v>
      </c>
      <c r="E749" t="s">
        <v>22</v>
      </c>
      <c r="F749">
        <v>1228</v>
      </c>
      <c r="G749" s="1">
        <v>47317</v>
      </c>
      <c r="H749" s="2">
        <v>45424</v>
      </c>
      <c r="I749" t="s">
        <v>39</v>
      </c>
      <c r="J749" t="s">
        <v>786</v>
      </c>
      <c r="K749" t="s">
        <v>34</v>
      </c>
    </row>
    <row r="750" spans="1:11">
      <c r="A750" t="s">
        <v>64</v>
      </c>
      <c r="B750" t="s">
        <v>19</v>
      </c>
      <c r="C750" t="s">
        <v>30</v>
      </c>
      <c r="D750" t="s">
        <v>31</v>
      </c>
      <c r="E750">
        <v>60</v>
      </c>
      <c r="F750">
        <v>728</v>
      </c>
      <c r="G750" s="1">
        <v>17927</v>
      </c>
      <c r="H750" s="2">
        <v>45481</v>
      </c>
      <c r="I750" t="s">
        <v>41</v>
      </c>
      <c r="J750" t="s">
        <v>787</v>
      </c>
      <c r="K750" t="s">
        <v>44</v>
      </c>
    </row>
    <row r="751" spans="1:11">
      <c r="A751" t="s">
        <v>35</v>
      </c>
      <c r="B751" t="s">
        <v>19</v>
      </c>
      <c r="C751" t="s">
        <v>30</v>
      </c>
      <c r="D751" t="s">
        <v>26</v>
      </c>
      <c r="E751" t="s">
        <v>22</v>
      </c>
      <c r="F751">
        <v>938</v>
      </c>
      <c r="G751" s="1">
        <v>49452</v>
      </c>
      <c r="H751" s="2">
        <v>45280</v>
      </c>
      <c r="I751" t="s">
        <v>39</v>
      </c>
      <c r="J751" t="s">
        <v>788</v>
      </c>
      <c r="K751" t="s">
        <v>29</v>
      </c>
    </row>
    <row r="752" spans="1:11">
      <c r="A752" t="s">
        <v>11</v>
      </c>
      <c r="B752" t="s">
        <v>12</v>
      </c>
      <c r="C752" t="s">
        <v>30</v>
      </c>
      <c r="D752" t="s">
        <v>14</v>
      </c>
      <c r="E752" t="s">
        <v>15</v>
      </c>
      <c r="F752">
        <v>1140</v>
      </c>
      <c r="G752" s="1">
        <v>37493</v>
      </c>
      <c r="H752" s="2">
        <v>45170</v>
      </c>
      <c r="I752" t="s">
        <v>41</v>
      </c>
      <c r="J752" t="s">
        <v>789</v>
      </c>
      <c r="K752" t="s">
        <v>29</v>
      </c>
    </row>
    <row r="753" spans="1:11">
      <c r="A753" t="s">
        <v>64</v>
      </c>
      <c r="B753" t="s">
        <v>36</v>
      </c>
      <c r="C753" t="s">
        <v>20</v>
      </c>
      <c r="D753" t="s">
        <v>66</v>
      </c>
      <c r="E753" t="s">
        <v>38</v>
      </c>
      <c r="F753">
        <v>493</v>
      </c>
      <c r="G753" s="1">
        <v>37610</v>
      </c>
      <c r="H753" s="2">
        <v>45190</v>
      </c>
      <c r="I753" t="s">
        <v>39</v>
      </c>
      <c r="J753" t="s">
        <v>790</v>
      </c>
      <c r="K753" t="s">
        <v>29</v>
      </c>
    </row>
    <row r="754" spans="1:11">
      <c r="A754" t="s">
        <v>64</v>
      </c>
      <c r="B754" t="s">
        <v>49</v>
      </c>
      <c r="C754" t="s">
        <v>59</v>
      </c>
      <c r="D754" t="s">
        <v>66</v>
      </c>
      <c r="E754" t="s">
        <v>38</v>
      </c>
      <c r="F754">
        <v>1358</v>
      </c>
      <c r="G754" s="1">
        <v>3735</v>
      </c>
      <c r="H754" s="2">
        <v>45482</v>
      </c>
      <c r="I754" t="s">
        <v>39</v>
      </c>
      <c r="J754" t="s">
        <v>791</v>
      </c>
      <c r="K754" t="s">
        <v>18</v>
      </c>
    </row>
    <row r="755" spans="1:11">
      <c r="A755" t="s">
        <v>45</v>
      </c>
      <c r="B755" t="s">
        <v>51</v>
      </c>
      <c r="C755" t="s">
        <v>20</v>
      </c>
      <c r="D755" t="s">
        <v>21</v>
      </c>
      <c r="E755" t="s">
        <v>15</v>
      </c>
      <c r="F755">
        <v>269</v>
      </c>
      <c r="G755" s="1">
        <v>43198</v>
      </c>
      <c r="H755" s="2">
        <v>45209</v>
      </c>
      <c r="I755" t="s">
        <v>32</v>
      </c>
      <c r="J755" t="s">
        <v>792</v>
      </c>
      <c r="K755" t="s">
        <v>34</v>
      </c>
    </row>
    <row r="756" spans="1:11">
      <c r="A756" t="s">
        <v>11</v>
      </c>
      <c r="B756" t="s">
        <v>19</v>
      </c>
      <c r="C756" t="s">
        <v>20</v>
      </c>
      <c r="D756" t="s">
        <v>66</v>
      </c>
      <c r="E756">
        <v>30</v>
      </c>
      <c r="F756">
        <v>201</v>
      </c>
      <c r="G756" s="1">
        <v>24265</v>
      </c>
      <c r="H756" s="2">
        <v>45216</v>
      </c>
      <c r="I756" t="s">
        <v>32</v>
      </c>
      <c r="J756" t="s">
        <v>793</v>
      </c>
      <c r="K756" t="s">
        <v>44</v>
      </c>
    </row>
    <row r="757" spans="1:11">
      <c r="A757" t="s">
        <v>24</v>
      </c>
      <c r="B757" t="s">
        <v>49</v>
      </c>
      <c r="C757" t="s">
        <v>20</v>
      </c>
      <c r="D757" t="s">
        <v>26</v>
      </c>
      <c r="E757">
        <v>30</v>
      </c>
      <c r="F757">
        <v>1918</v>
      </c>
      <c r="G757" s="1">
        <v>16223</v>
      </c>
      <c r="H757" s="2">
        <v>45350</v>
      </c>
      <c r="I757" t="s">
        <v>32</v>
      </c>
      <c r="J757" t="s">
        <v>794</v>
      </c>
      <c r="K757" t="s">
        <v>29</v>
      </c>
    </row>
    <row r="758" spans="1:11">
      <c r="A758" t="s">
        <v>64</v>
      </c>
      <c r="B758" t="s">
        <v>12</v>
      </c>
      <c r="C758" t="s">
        <v>30</v>
      </c>
      <c r="D758" t="s">
        <v>14</v>
      </c>
      <c r="E758">
        <v>60</v>
      </c>
      <c r="F758">
        <v>1337</v>
      </c>
      <c r="G758" s="1">
        <v>12997</v>
      </c>
      <c r="H758" s="2">
        <v>45469</v>
      </c>
      <c r="I758" t="s">
        <v>39</v>
      </c>
      <c r="J758" t="s">
        <v>795</v>
      </c>
      <c r="K758" t="s">
        <v>47</v>
      </c>
    </row>
    <row r="759" spans="1:11">
      <c r="A759" t="s">
        <v>64</v>
      </c>
      <c r="B759" t="s">
        <v>19</v>
      </c>
      <c r="C759" t="s">
        <v>59</v>
      </c>
      <c r="D759" t="s">
        <v>14</v>
      </c>
      <c r="E759" t="s">
        <v>22</v>
      </c>
      <c r="F759">
        <v>483</v>
      </c>
      <c r="G759" s="1">
        <v>25162</v>
      </c>
      <c r="H759" s="2">
        <v>45138</v>
      </c>
      <c r="I759" t="s">
        <v>27</v>
      </c>
      <c r="J759" t="s">
        <v>796</v>
      </c>
      <c r="K759" t="s">
        <v>47</v>
      </c>
    </row>
    <row r="760" spans="1:11">
      <c r="A760" t="s">
        <v>45</v>
      </c>
      <c r="B760" t="s">
        <v>49</v>
      </c>
      <c r="C760" t="s">
        <v>30</v>
      </c>
      <c r="D760" t="s">
        <v>21</v>
      </c>
      <c r="E760" t="s">
        <v>15</v>
      </c>
      <c r="F760">
        <v>105</v>
      </c>
      <c r="G760" s="1">
        <v>31985</v>
      </c>
      <c r="H760" s="2">
        <v>45490</v>
      </c>
      <c r="I760" t="s">
        <v>16</v>
      </c>
      <c r="J760" t="s">
        <v>797</v>
      </c>
      <c r="K760" t="s">
        <v>47</v>
      </c>
    </row>
    <row r="761" spans="1:11">
      <c r="A761" t="s">
        <v>24</v>
      </c>
      <c r="B761" t="s">
        <v>36</v>
      </c>
      <c r="C761" t="s">
        <v>20</v>
      </c>
      <c r="D761" t="s">
        <v>26</v>
      </c>
      <c r="E761">
        <v>60</v>
      </c>
      <c r="F761">
        <v>1760</v>
      </c>
      <c r="G761" s="1">
        <v>24924</v>
      </c>
      <c r="H761" s="2">
        <v>45257</v>
      </c>
      <c r="I761" t="s">
        <v>39</v>
      </c>
      <c r="J761" t="s">
        <v>798</v>
      </c>
      <c r="K761" t="s">
        <v>44</v>
      </c>
    </row>
    <row r="762" spans="1:11">
      <c r="A762" t="s">
        <v>45</v>
      </c>
      <c r="B762" t="s">
        <v>19</v>
      </c>
      <c r="C762" t="s">
        <v>20</v>
      </c>
      <c r="D762" t="s">
        <v>31</v>
      </c>
      <c r="E762">
        <v>60</v>
      </c>
      <c r="F762">
        <v>835</v>
      </c>
      <c r="G762" s="1">
        <v>35184</v>
      </c>
      <c r="H762" s="2">
        <v>45489</v>
      </c>
      <c r="I762" t="s">
        <v>41</v>
      </c>
      <c r="J762" t="s">
        <v>799</v>
      </c>
      <c r="K762" t="s">
        <v>47</v>
      </c>
    </row>
    <row r="763" spans="1:11">
      <c r="A763" t="s">
        <v>11</v>
      </c>
      <c r="B763" t="s">
        <v>49</v>
      </c>
      <c r="C763" t="s">
        <v>30</v>
      </c>
      <c r="D763" t="s">
        <v>26</v>
      </c>
      <c r="E763" t="s">
        <v>38</v>
      </c>
      <c r="F763">
        <v>122</v>
      </c>
      <c r="G763" s="1">
        <v>7349</v>
      </c>
      <c r="H763" s="2">
        <v>45310</v>
      </c>
      <c r="I763" t="s">
        <v>39</v>
      </c>
      <c r="J763" t="s">
        <v>800</v>
      </c>
      <c r="K763" t="s">
        <v>34</v>
      </c>
    </row>
    <row r="764" spans="1:11">
      <c r="A764" t="s">
        <v>35</v>
      </c>
      <c r="B764" t="s">
        <v>49</v>
      </c>
      <c r="C764" t="s">
        <v>59</v>
      </c>
      <c r="D764" t="s">
        <v>66</v>
      </c>
      <c r="E764">
        <v>30</v>
      </c>
      <c r="F764">
        <v>1415</v>
      </c>
      <c r="G764" s="1">
        <v>41330</v>
      </c>
      <c r="H764" s="2">
        <v>45417</v>
      </c>
      <c r="I764" t="s">
        <v>39</v>
      </c>
      <c r="J764" t="s">
        <v>801</v>
      </c>
      <c r="K764" t="s">
        <v>34</v>
      </c>
    </row>
    <row r="765" spans="1:11">
      <c r="A765" t="s">
        <v>24</v>
      </c>
      <c r="B765" t="s">
        <v>12</v>
      </c>
      <c r="C765" t="s">
        <v>13</v>
      </c>
      <c r="D765" t="s">
        <v>14</v>
      </c>
      <c r="E765" t="s">
        <v>15</v>
      </c>
      <c r="F765">
        <v>1993</v>
      </c>
      <c r="G765" s="1">
        <v>5212</v>
      </c>
      <c r="H765" s="2">
        <v>45355</v>
      </c>
      <c r="I765" t="s">
        <v>27</v>
      </c>
      <c r="J765" t="s">
        <v>802</v>
      </c>
      <c r="K765" t="s">
        <v>18</v>
      </c>
    </row>
    <row r="766" spans="1:11">
      <c r="A766" t="s">
        <v>24</v>
      </c>
      <c r="B766" t="s">
        <v>19</v>
      </c>
      <c r="C766" t="s">
        <v>13</v>
      </c>
      <c r="D766" t="s">
        <v>21</v>
      </c>
      <c r="E766" t="s">
        <v>15</v>
      </c>
      <c r="F766">
        <v>958</v>
      </c>
      <c r="G766" s="1">
        <v>15537</v>
      </c>
      <c r="H766" s="2">
        <v>45415</v>
      </c>
      <c r="I766" t="s">
        <v>41</v>
      </c>
      <c r="J766" t="s">
        <v>803</v>
      </c>
      <c r="K766" t="s">
        <v>18</v>
      </c>
    </row>
    <row r="767" spans="1:11">
      <c r="A767" t="s">
        <v>45</v>
      </c>
      <c r="B767" t="s">
        <v>12</v>
      </c>
      <c r="C767" t="s">
        <v>30</v>
      </c>
      <c r="D767" t="s">
        <v>26</v>
      </c>
      <c r="E767" t="s">
        <v>38</v>
      </c>
      <c r="F767">
        <v>1616</v>
      </c>
      <c r="G767" s="1">
        <v>15777</v>
      </c>
      <c r="H767" s="2">
        <v>45148</v>
      </c>
      <c r="I767" t="s">
        <v>41</v>
      </c>
      <c r="J767" t="s">
        <v>804</v>
      </c>
      <c r="K767" t="s">
        <v>18</v>
      </c>
    </row>
    <row r="768" spans="1:11">
      <c r="A768" t="s">
        <v>24</v>
      </c>
      <c r="B768" t="s">
        <v>12</v>
      </c>
      <c r="C768" t="s">
        <v>59</v>
      </c>
      <c r="D768" t="s">
        <v>14</v>
      </c>
      <c r="E768" t="s">
        <v>15</v>
      </c>
      <c r="F768">
        <v>922</v>
      </c>
      <c r="G768" s="1">
        <v>32819</v>
      </c>
      <c r="H768" s="2">
        <v>45315</v>
      </c>
      <c r="I768" t="s">
        <v>39</v>
      </c>
      <c r="J768" t="s">
        <v>805</v>
      </c>
      <c r="K768" t="s">
        <v>34</v>
      </c>
    </row>
    <row r="769" spans="1:11">
      <c r="A769" t="s">
        <v>11</v>
      </c>
      <c r="B769" t="s">
        <v>12</v>
      </c>
      <c r="C769" t="s">
        <v>20</v>
      </c>
      <c r="D769" t="s">
        <v>31</v>
      </c>
      <c r="E769">
        <v>30</v>
      </c>
      <c r="F769">
        <v>580</v>
      </c>
      <c r="G769" s="1">
        <v>41566</v>
      </c>
      <c r="H769" s="2">
        <v>45466</v>
      </c>
      <c r="I769" t="s">
        <v>27</v>
      </c>
      <c r="J769" t="s">
        <v>806</v>
      </c>
      <c r="K769" t="s">
        <v>29</v>
      </c>
    </row>
    <row r="770" spans="1:11">
      <c r="A770" t="s">
        <v>11</v>
      </c>
      <c r="B770" t="s">
        <v>19</v>
      </c>
      <c r="C770" t="s">
        <v>13</v>
      </c>
      <c r="D770" t="s">
        <v>66</v>
      </c>
      <c r="E770" t="s">
        <v>22</v>
      </c>
      <c r="F770">
        <v>561</v>
      </c>
      <c r="G770" s="1">
        <v>42268</v>
      </c>
      <c r="H770" s="2">
        <v>45424</v>
      </c>
      <c r="I770" t="s">
        <v>32</v>
      </c>
      <c r="J770" t="s">
        <v>807</v>
      </c>
      <c r="K770" t="s">
        <v>47</v>
      </c>
    </row>
    <row r="771" spans="1:11">
      <c r="A771" t="s">
        <v>35</v>
      </c>
      <c r="B771" t="s">
        <v>12</v>
      </c>
      <c r="C771" t="s">
        <v>25</v>
      </c>
      <c r="D771" t="s">
        <v>26</v>
      </c>
      <c r="E771">
        <v>30</v>
      </c>
      <c r="F771">
        <v>1709</v>
      </c>
      <c r="G771" s="1">
        <v>28361</v>
      </c>
      <c r="H771" s="2">
        <v>45416</v>
      </c>
      <c r="I771" t="s">
        <v>16</v>
      </c>
      <c r="J771" t="s">
        <v>808</v>
      </c>
      <c r="K771" t="s">
        <v>34</v>
      </c>
    </row>
    <row r="772" spans="1:11">
      <c r="A772" t="s">
        <v>35</v>
      </c>
      <c r="B772" t="s">
        <v>49</v>
      </c>
      <c r="C772" t="s">
        <v>13</v>
      </c>
      <c r="D772" t="s">
        <v>21</v>
      </c>
      <c r="E772" t="s">
        <v>15</v>
      </c>
      <c r="F772">
        <v>1662</v>
      </c>
      <c r="G772" s="1">
        <v>43524</v>
      </c>
      <c r="H772" s="2">
        <v>45404</v>
      </c>
      <c r="I772" t="s">
        <v>39</v>
      </c>
      <c r="J772" t="s">
        <v>809</v>
      </c>
      <c r="K772" t="s">
        <v>34</v>
      </c>
    </row>
    <row r="773" spans="1:11">
      <c r="A773" t="s">
        <v>64</v>
      </c>
      <c r="B773" t="s">
        <v>19</v>
      </c>
      <c r="C773" t="s">
        <v>59</v>
      </c>
      <c r="D773" t="s">
        <v>21</v>
      </c>
      <c r="E773">
        <v>30</v>
      </c>
      <c r="F773">
        <v>643</v>
      </c>
      <c r="G773" s="1">
        <v>42567</v>
      </c>
      <c r="H773" s="2">
        <v>45237</v>
      </c>
      <c r="I773" t="s">
        <v>16</v>
      </c>
      <c r="J773" t="s">
        <v>810</v>
      </c>
      <c r="K773" t="s">
        <v>29</v>
      </c>
    </row>
    <row r="774" spans="1:11">
      <c r="A774" t="s">
        <v>45</v>
      </c>
      <c r="B774" t="s">
        <v>19</v>
      </c>
      <c r="C774" t="s">
        <v>25</v>
      </c>
      <c r="D774" t="s">
        <v>14</v>
      </c>
      <c r="E774" t="s">
        <v>38</v>
      </c>
      <c r="F774">
        <v>1618</v>
      </c>
      <c r="G774" s="1">
        <v>11577</v>
      </c>
      <c r="H774" s="2">
        <v>45478</v>
      </c>
      <c r="I774" t="s">
        <v>41</v>
      </c>
      <c r="J774" t="s">
        <v>811</v>
      </c>
      <c r="K774" t="s">
        <v>44</v>
      </c>
    </row>
    <row r="775" spans="1:11">
      <c r="A775" t="s">
        <v>11</v>
      </c>
      <c r="B775" t="s">
        <v>12</v>
      </c>
      <c r="C775" t="s">
        <v>20</v>
      </c>
      <c r="D775" t="s">
        <v>21</v>
      </c>
      <c r="E775">
        <v>60</v>
      </c>
      <c r="F775">
        <v>1616</v>
      </c>
      <c r="G775" s="1">
        <v>21763</v>
      </c>
      <c r="H775" s="2">
        <v>45488</v>
      </c>
      <c r="I775" t="s">
        <v>39</v>
      </c>
      <c r="J775" t="s">
        <v>812</v>
      </c>
      <c r="K775" t="s">
        <v>18</v>
      </c>
    </row>
    <row r="776" spans="1:11">
      <c r="A776" t="s">
        <v>11</v>
      </c>
      <c r="B776" t="s">
        <v>19</v>
      </c>
      <c r="C776" t="s">
        <v>30</v>
      </c>
      <c r="D776" t="s">
        <v>26</v>
      </c>
      <c r="E776">
        <v>60</v>
      </c>
      <c r="F776">
        <v>1817</v>
      </c>
      <c r="G776" s="1">
        <v>36872</v>
      </c>
      <c r="H776" s="2">
        <v>45454</v>
      </c>
      <c r="I776" t="s">
        <v>41</v>
      </c>
      <c r="J776" t="s">
        <v>813</v>
      </c>
      <c r="K776" t="s">
        <v>29</v>
      </c>
    </row>
    <row r="777" spans="1:11">
      <c r="A777" t="s">
        <v>64</v>
      </c>
      <c r="B777" t="s">
        <v>51</v>
      </c>
      <c r="C777" t="s">
        <v>59</v>
      </c>
      <c r="D777" t="s">
        <v>31</v>
      </c>
      <c r="E777" t="s">
        <v>22</v>
      </c>
      <c r="F777">
        <v>280</v>
      </c>
      <c r="G777" s="1">
        <v>29505</v>
      </c>
      <c r="H777" s="2">
        <v>45136</v>
      </c>
      <c r="I777" t="s">
        <v>41</v>
      </c>
      <c r="J777" t="s">
        <v>814</v>
      </c>
      <c r="K777" t="s">
        <v>47</v>
      </c>
    </row>
    <row r="778" spans="1:11">
      <c r="A778" t="s">
        <v>35</v>
      </c>
      <c r="B778" t="s">
        <v>12</v>
      </c>
      <c r="C778" t="s">
        <v>20</v>
      </c>
      <c r="D778" t="s">
        <v>14</v>
      </c>
      <c r="E778" t="s">
        <v>38</v>
      </c>
      <c r="F778">
        <v>519</v>
      </c>
      <c r="G778" s="1">
        <v>3961</v>
      </c>
      <c r="H778" s="2">
        <v>45200</v>
      </c>
      <c r="I778" t="s">
        <v>41</v>
      </c>
      <c r="J778" t="s">
        <v>815</v>
      </c>
      <c r="K778" t="s">
        <v>44</v>
      </c>
    </row>
    <row r="779" spans="1:11">
      <c r="A779" t="s">
        <v>35</v>
      </c>
      <c r="B779" t="s">
        <v>12</v>
      </c>
      <c r="C779" t="s">
        <v>25</v>
      </c>
      <c r="D779" t="s">
        <v>66</v>
      </c>
      <c r="E779" t="s">
        <v>38</v>
      </c>
      <c r="F779">
        <v>1355</v>
      </c>
      <c r="G779" s="1">
        <v>9822</v>
      </c>
      <c r="H779" s="2">
        <v>45204</v>
      </c>
      <c r="I779" t="s">
        <v>27</v>
      </c>
      <c r="J779" t="s">
        <v>816</v>
      </c>
      <c r="K779" t="s">
        <v>18</v>
      </c>
    </row>
    <row r="780" spans="1:11">
      <c r="A780" t="s">
        <v>64</v>
      </c>
      <c r="B780" t="s">
        <v>36</v>
      </c>
      <c r="C780" t="s">
        <v>20</v>
      </c>
      <c r="D780" t="s">
        <v>21</v>
      </c>
      <c r="E780" t="s">
        <v>22</v>
      </c>
      <c r="F780">
        <v>1289</v>
      </c>
      <c r="G780" s="1">
        <v>40553</v>
      </c>
      <c r="H780" s="2">
        <v>45501</v>
      </c>
      <c r="I780" t="s">
        <v>39</v>
      </c>
      <c r="J780" t="s">
        <v>817</v>
      </c>
      <c r="K780" t="s">
        <v>29</v>
      </c>
    </row>
    <row r="781" spans="1:11">
      <c r="A781" t="s">
        <v>64</v>
      </c>
      <c r="B781" t="s">
        <v>49</v>
      </c>
      <c r="C781" t="s">
        <v>30</v>
      </c>
      <c r="D781" t="s">
        <v>31</v>
      </c>
      <c r="E781">
        <v>60</v>
      </c>
      <c r="F781">
        <v>1578</v>
      </c>
      <c r="G781" s="1">
        <v>18160</v>
      </c>
      <c r="H781" s="2">
        <v>45263</v>
      </c>
      <c r="I781" t="s">
        <v>32</v>
      </c>
      <c r="J781" t="s">
        <v>818</v>
      </c>
      <c r="K781" t="s">
        <v>34</v>
      </c>
    </row>
    <row r="782" spans="1:11">
      <c r="A782" t="s">
        <v>64</v>
      </c>
      <c r="B782" t="s">
        <v>51</v>
      </c>
      <c r="C782" t="s">
        <v>20</v>
      </c>
      <c r="D782" t="s">
        <v>31</v>
      </c>
      <c r="E782" t="s">
        <v>22</v>
      </c>
      <c r="F782">
        <v>854</v>
      </c>
      <c r="G782" s="1">
        <v>45168</v>
      </c>
      <c r="H782" s="2">
        <v>45428</v>
      </c>
      <c r="I782" t="s">
        <v>41</v>
      </c>
      <c r="J782" t="s">
        <v>819</v>
      </c>
      <c r="K782" t="s">
        <v>34</v>
      </c>
    </row>
    <row r="783" spans="1:11">
      <c r="A783" t="s">
        <v>35</v>
      </c>
      <c r="B783" t="s">
        <v>19</v>
      </c>
      <c r="C783" t="s">
        <v>30</v>
      </c>
      <c r="D783" t="s">
        <v>66</v>
      </c>
      <c r="E783">
        <v>30</v>
      </c>
      <c r="F783">
        <v>1875</v>
      </c>
      <c r="G783" s="1">
        <v>19837</v>
      </c>
      <c r="H783" s="2">
        <v>45210</v>
      </c>
      <c r="I783" t="s">
        <v>16</v>
      </c>
      <c r="J783" t="s">
        <v>820</v>
      </c>
      <c r="K783" t="s">
        <v>18</v>
      </c>
    </row>
    <row r="784" spans="1:11">
      <c r="A784" t="s">
        <v>35</v>
      </c>
      <c r="B784" t="s">
        <v>51</v>
      </c>
      <c r="C784" t="s">
        <v>20</v>
      </c>
      <c r="D784" t="s">
        <v>66</v>
      </c>
      <c r="E784" t="s">
        <v>15</v>
      </c>
      <c r="F784">
        <v>1105</v>
      </c>
      <c r="G784" s="1">
        <v>16306</v>
      </c>
      <c r="H784" s="2">
        <v>45385</v>
      </c>
      <c r="I784" t="s">
        <v>16</v>
      </c>
      <c r="J784" t="s">
        <v>821</v>
      </c>
      <c r="K784" t="s">
        <v>34</v>
      </c>
    </row>
    <row r="785" spans="1:11">
      <c r="A785" t="s">
        <v>11</v>
      </c>
      <c r="B785" t="s">
        <v>51</v>
      </c>
      <c r="C785" t="s">
        <v>20</v>
      </c>
      <c r="D785" t="s">
        <v>26</v>
      </c>
      <c r="E785" t="s">
        <v>22</v>
      </c>
      <c r="F785">
        <v>503</v>
      </c>
      <c r="G785" s="1">
        <v>28974</v>
      </c>
      <c r="H785" s="2">
        <v>45383</v>
      </c>
      <c r="I785" t="s">
        <v>16</v>
      </c>
      <c r="J785" t="s">
        <v>822</v>
      </c>
      <c r="K785" t="s">
        <v>34</v>
      </c>
    </row>
    <row r="786" spans="1:11">
      <c r="A786" t="s">
        <v>24</v>
      </c>
      <c r="B786" t="s">
        <v>36</v>
      </c>
      <c r="C786" t="s">
        <v>59</v>
      </c>
      <c r="D786" t="s">
        <v>26</v>
      </c>
      <c r="E786">
        <v>60</v>
      </c>
      <c r="F786">
        <v>1354</v>
      </c>
      <c r="G786" s="1">
        <v>28539</v>
      </c>
      <c r="H786" s="2">
        <v>45464</v>
      </c>
      <c r="I786" t="s">
        <v>41</v>
      </c>
      <c r="J786" t="s">
        <v>823</v>
      </c>
      <c r="K786" t="s">
        <v>18</v>
      </c>
    </row>
    <row r="787" spans="1:11">
      <c r="A787" t="s">
        <v>35</v>
      </c>
      <c r="B787" t="s">
        <v>36</v>
      </c>
      <c r="C787" t="s">
        <v>13</v>
      </c>
      <c r="D787" t="s">
        <v>31</v>
      </c>
      <c r="E787" t="s">
        <v>22</v>
      </c>
      <c r="F787">
        <v>1716</v>
      </c>
      <c r="G787" s="1">
        <v>40609</v>
      </c>
      <c r="H787" s="2">
        <v>45383</v>
      </c>
      <c r="I787" t="s">
        <v>32</v>
      </c>
      <c r="J787" t="s">
        <v>824</v>
      </c>
      <c r="K787" t="s">
        <v>47</v>
      </c>
    </row>
    <row r="788" spans="1:11">
      <c r="A788" t="s">
        <v>11</v>
      </c>
      <c r="B788" t="s">
        <v>36</v>
      </c>
      <c r="C788" t="s">
        <v>13</v>
      </c>
      <c r="D788" t="s">
        <v>66</v>
      </c>
      <c r="E788" t="s">
        <v>15</v>
      </c>
      <c r="F788">
        <v>1268</v>
      </c>
      <c r="G788" s="1">
        <v>38392</v>
      </c>
      <c r="H788" s="2">
        <v>45472</v>
      </c>
      <c r="I788" t="s">
        <v>41</v>
      </c>
      <c r="J788" t="s">
        <v>825</v>
      </c>
      <c r="K788" t="s">
        <v>34</v>
      </c>
    </row>
    <row r="789" spans="1:11">
      <c r="A789" t="s">
        <v>11</v>
      </c>
      <c r="B789" t="s">
        <v>51</v>
      </c>
      <c r="C789" t="s">
        <v>13</v>
      </c>
      <c r="D789" t="s">
        <v>21</v>
      </c>
      <c r="E789">
        <v>60</v>
      </c>
      <c r="F789">
        <v>716</v>
      </c>
      <c r="G789" s="1">
        <v>38994</v>
      </c>
      <c r="H789" s="2">
        <v>45326</v>
      </c>
      <c r="I789" t="s">
        <v>16</v>
      </c>
      <c r="J789" t="s">
        <v>826</v>
      </c>
      <c r="K789" t="s">
        <v>34</v>
      </c>
    </row>
    <row r="790" spans="1:11">
      <c r="A790" t="s">
        <v>24</v>
      </c>
      <c r="B790" t="s">
        <v>12</v>
      </c>
      <c r="C790" t="s">
        <v>13</v>
      </c>
      <c r="D790" t="s">
        <v>66</v>
      </c>
      <c r="E790" t="s">
        <v>15</v>
      </c>
      <c r="F790">
        <v>1467</v>
      </c>
      <c r="G790" s="1">
        <v>18147</v>
      </c>
      <c r="H790" s="2">
        <v>45468</v>
      </c>
      <c r="I790" t="s">
        <v>32</v>
      </c>
      <c r="J790" t="s">
        <v>827</v>
      </c>
      <c r="K790" t="s">
        <v>44</v>
      </c>
    </row>
    <row r="791" spans="1:11">
      <c r="A791" t="s">
        <v>11</v>
      </c>
      <c r="B791" t="s">
        <v>19</v>
      </c>
      <c r="C791" t="s">
        <v>20</v>
      </c>
      <c r="D791" t="s">
        <v>66</v>
      </c>
      <c r="E791">
        <v>30</v>
      </c>
      <c r="F791">
        <v>501</v>
      </c>
      <c r="G791" s="1">
        <v>8312</v>
      </c>
      <c r="H791" s="2">
        <v>45231</v>
      </c>
      <c r="I791" t="s">
        <v>32</v>
      </c>
      <c r="J791" t="s">
        <v>828</v>
      </c>
      <c r="K791" t="s">
        <v>47</v>
      </c>
    </row>
    <row r="792" spans="1:11">
      <c r="A792" t="s">
        <v>11</v>
      </c>
      <c r="B792" t="s">
        <v>36</v>
      </c>
      <c r="C792" t="s">
        <v>20</v>
      </c>
      <c r="D792" t="s">
        <v>66</v>
      </c>
      <c r="E792">
        <v>30</v>
      </c>
      <c r="F792">
        <v>1127</v>
      </c>
      <c r="G792" s="1">
        <v>29324</v>
      </c>
      <c r="H792" s="2">
        <v>45475</v>
      </c>
      <c r="I792" t="s">
        <v>41</v>
      </c>
      <c r="J792" t="s">
        <v>829</v>
      </c>
      <c r="K792" t="s">
        <v>29</v>
      </c>
    </row>
    <row r="793" spans="1:11">
      <c r="A793" t="s">
        <v>24</v>
      </c>
      <c r="B793" t="s">
        <v>49</v>
      </c>
      <c r="C793" t="s">
        <v>59</v>
      </c>
      <c r="D793" t="s">
        <v>31</v>
      </c>
      <c r="E793" t="s">
        <v>38</v>
      </c>
      <c r="F793">
        <v>814</v>
      </c>
      <c r="G793" s="1">
        <v>22816</v>
      </c>
      <c r="H793" s="2">
        <v>45276</v>
      </c>
      <c r="I793" t="s">
        <v>32</v>
      </c>
      <c r="J793" t="s">
        <v>830</v>
      </c>
      <c r="K793" t="s">
        <v>18</v>
      </c>
    </row>
    <row r="794" spans="1:11">
      <c r="A794" t="s">
        <v>64</v>
      </c>
      <c r="B794" t="s">
        <v>12</v>
      </c>
      <c r="C794" t="s">
        <v>20</v>
      </c>
      <c r="D794" t="s">
        <v>31</v>
      </c>
      <c r="E794" t="s">
        <v>38</v>
      </c>
      <c r="F794">
        <v>1056</v>
      </c>
      <c r="G794" s="1">
        <v>4782</v>
      </c>
      <c r="H794" s="2">
        <v>45206</v>
      </c>
      <c r="I794" t="s">
        <v>27</v>
      </c>
      <c r="J794" t="s">
        <v>831</v>
      </c>
      <c r="K794" t="s">
        <v>29</v>
      </c>
    </row>
    <row r="795" spans="1:11">
      <c r="A795" t="s">
        <v>64</v>
      </c>
      <c r="B795" t="s">
        <v>19</v>
      </c>
      <c r="C795" t="s">
        <v>30</v>
      </c>
      <c r="D795" t="s">
        <v>31</v>
      </c>
      <c r="E795" t="s">
        <v>15</v>
      </c>
      <c r="F795">
        <v>130</v>
      </c>
      <c r="G795" s="1">
        <v>3639</v>
      </c>
      <c r="H795" s="2">
        <v>45287</v>
      </c>
      <c r="I795" t="s">
        <v>27</v>
      </c>
      <c r="J795" t="s">
        <v>832</v>
      </c>
      <c r="K795" t="s">
        <v>29</v>
      </c>
    </row>
    <row r="796" spans="1:11">
      <c r="A796" t="s">
        <v>64</v>
      </c>
      <c r="B796" t="s">
        <v>12</v>
      </c>
      <c r="C796" t="s">
        <v>13</v>
      </c>
      <c r="D796" t="s">
        <v>21</v>
      </c>
      <c r="E796" t="s">
        <v>15</v>
      </c>
      <c r="F796">
        <v>760</v>
      </c>
      <c r="G796" s="1">
        <v>16495</v>
      </c>
      <c r="H796" s="2">
        <v>45381</v>
      </c>
      <c r="I796" t="s">
        <v>32</v>
      </c>
      <c r="J796" t="s">
        <v>833</v>
      </c>
      <c r="K796" t="s">
        <v>47</v>
      </c>
    </row>
    <row r="797" spans="1:11">
      <c r="A797" t="s">
        <v>24</v>
      </c>
      <c r="B797" t="s">
        <v>19</v>
      </c>
      <c r="C797" t="s">
        <v>13</v>
      </c>
      <c r="D797" t="s">
        <v>66</v>
      </c>
      <c r="E797" t="s">
        <v>38</v>
      </c>
      <c r="F797">
        <v>961</v>
      </c>
      <c r="G797" s="1">
        <v>47213</v>
      </c>
      <c r="H797" s="2">
        <v>45450</v>
      </c>
      <c r="I797" t="s">
        <v>27</v>
      </c>
      <c r="J797" t="s">
        <v>834</v>
      </c>
      <c r="K797" t="s">
        <v>44</v>
      </c>
    </row>
    <row r="798" spans="1:11">
      <c r="A798" t="s">
        <v>64</v>
      </c>
      <c r="B798" t="s">
        <v>19</v>
      </c>
      <c r="C798" t="s">
        <v>20</v>
      </c>
      <c r="D798" t="s">
        <v>14</v>
      </c>
      <c r="E798" t="s">
        <v>38</v>
      </c>
      <c r="F798">
        <v>1410</v>
      </c>
      <c r="G798" s="1">
        <v>27514</v>
      </c>
      <c r="H798" s="2">
        <v>45230</v>
      </c>
      <c r="I798" t="s">
        <v>16</v>
      </c>
      <c r="J798" t="s">
        <v>835</v>
      </c>
      <c r="K798" t="s">
        <v>34</v>
      </c>
    </row>
    <row r="799" spans="1:11">
      <c r="A799" t="s">
        <v>35</v>
      </c>
      <c r="B799" t="s">
        <v>19</v>
      </c>
      <c r="C799" t="s">
        <v>13</v>
      </c>
      <c r="D799" t="s">
        <v>26</v>
      </c>
      <c r="E799">
        <v>60</v>
      </c>
      <c r="F799">
        <v>1446</v>
      </c>
      <c r="G799" s="1">
        <v>22233</v>
      </c>
      <c r="H799" s="2">
        <v>45260</v>
      </c>
      <c r="I799" t="s">
        <v>39</v>
      </c>
      <c r="J799" t="s">
        <v>836</v>
      </c>
      <c r="K799" t="s">
        <v>47</v>
      </c>
    </row>
    <row r="800" spans="1:11">
      <c r="A800" t="s">
        <v>11</v>
      </c>
      <c r="B800" t="s">
        <v>12</v>
      </c>
      <c r="C800" t="s">
        <v>59</v>
      </c>
      <c r="D800" t="s">
        <v>21</v>
      </c>
      <c r="E800">
        <v>30</v>
      </c>
      <c r="F800">
        <v>1694</v>
      </c>
      <c r="G800" s="1">
        <v>17518</v>
      </c>
      <c r="H800" s="2">
        <v>45303</v>
      </c>
      <c r="I800" t="s">
        <v>27</v>
      </c>
      <c r="J800" t="s">
        <v>837</v>
      </c>
      <c r="K800" t="s">
        <v>29</v>
      </c>
    </row>
    <row r="801" spans="1:11">
      <c r="A801" t="s">
        <v>35</v>
      </c>
      <c r="B801" t="s">
        <v>49</v>
      </c>
      <c r="C801" t="s">
        <v>25</v>
      </c>
      <c r="D801" t="s">
        <v>31</v>
      </c>
      <c r="E801" t="s">
        <v>38</v>
      </c>
      <c r="F801">
        <v>1834</v>
      </c>
      <c r="G801" s="1">
        <v>5964</v>
      </c>
      <c r="H801" s="2">
        <v>45353</v>
      </c>
      <c r="I801" t="s">
        <v>16</v>
      </c>
      <c r="J801" t="s">
        <v>838</v>
      </c>
      <c r="K801" t="s">
        <v>34</v>
      </c>
    </row>
    <row r="802" spans="1:11">
      <c r="A802" t="s">
        <v>24</v>
      </c>
      <c r="B802" t="s">
        <v>36</v>
      </c>
      <c r="C802" t="s">
        <v>25</v>
      </c>
      <c r="D802" t="s">
        <v>66</v>
      </c>
      <c r="E802" t="s">
        <v>22</v>
      </c>
      <c r="F802">
        <v>737</v>
      </c>
      <c r="G802" s="1">
        <v>33901</v>
      </c>
      <c r="H802" s="2">
        <v>45477</v>
      </c>
      <c r="I802" t="s">
        <v>41</v>
      </c>
      <c r="J802" t="s">
        <v>839</v>
      </c>
      <c r="K802" t="s">
        <v>29</v>
      </c>
    </row>
    <row r="803" spans="1:11">
      <c r="A803" t="s">
        <v>45</v>
      </c>
      <c r="B803" t="s">
        <v>36</v>
      </c>
      <c r="C803" t="s">
        <v>13</v>
      </c>
      <c r="D803" t="s">
        <v>21</v>
      </c>
      <c r="E803" t="s">
        <v>22</v>
      </c>
      <c r="F803">
        <v>1027</v>
      </c>
      <c r="G803" s="1">
        <v>9819</v>
      </c>
      <c r="H803" s="2">
        <v>45434</v>
      </c>
      <c r="I803" t="s">
        <v>39</v>
      </c>
      <c r="J803" t="s">
        <v>840</v>
      </c>
      <c r="K803" t="s">
        <v>29</v>
      </c>
    </row>
    <row r="804" spans="1:11">
      <c r="A804" t="s">
        <v>35</v>
      </c>
      <c r="B804" t="s">
        <v>12</v>
      </c>
      <c r="C804" t="s">
        <v>13</v>
      </c>
      <c r="D804" t="s">
        <v>21</v>
      </c>
      <c r="E804" t="s">
        <v>15</v>
      </c>
      <c r="F804">
        <v>1000</v>
      </c>
      <c r="G804" s="1">
        <v>34947</v>
      </c>
      <c r="H804" s="2">
        <v>45217</v>
      </c>
      <c r="I804" t="s">
        <v>16</v>
      </c>
      <c r="J804" t="s">
        <v>841</v>
      </c>
      <c r="K804" t="s">
        <v>44</v>
      </c>
    </row>
    <row r="805" spans="1:11">
      <c r="A805" t="s">
        <v>11</v>
      </c>
      <c r="B805" t="s">
        <v>36</v>
      </c>
      <c r="C805" t="s">
        <v>25</v>
      </c>
      <c r="D805" t="s">
        <v>66</v>
      </c>
      <c r="E805">
        <v>60</v>
      </c>
      <c r="F805">
        <v>1732</v>
      </c>
      <c r="G805" s="1">
        <v>43643</v>
      </c>
      <c r="H805" s="2">
        <v>45458</v>
      </c>
      <c r="I805" t="s">
        <v>27</v>
      </c>
      <c r="J805" t="s">
        <v>842</v>
      </c>
      <c r="K805" t="s">
        <v>18</v>
      </c>
    </row>
    <row r="806" spans="1:11">
      <c r="A806" t="s">
        <v>24</v>
      </c>
      <c r="B806" t="s">
        <v>51</v>
      </c>
      <c r="C806" t="s">
        <v>20</v>
      </c>
      <c r="D806" t="s">
        <v>66</v>
      </c>
      <c r="E806">
        <v>30</v>
      </c>
      <c r="F806">
        <v>1686</v>
      </c>
      <c r="G806" s="1">
        <v>38320</v>
      </c>
      <c r="H806" s="2">
        <v>45302</v>
      </c>
      <c r="I806" t="s">
        <v>39</v>
      </c>
      <c r="J806" t="s">
        <v>843</v>
      </c>
      <c r="K806" t="s">
        <v>18</v>
      </c>
    </row>
    <row r="807" spans="1:11">
      <c r="A807" t="s">
        <v>35</v>
      </c>
      <c r="B807" t="s">
        <v>51</v>
      </c>
      <c r="C807" t="s">
        <v>13</v>
      </c>
      <c r="D807" t="s">
        <v>26</v>
      </c>
      <c r="E807" t="s">
        <v>38</v>
      </c>
      <c r="F807">
        <v>1880</v>
      </c>
      <c r="G807" s="1">
        <v>13397</v>
      </c>
      <c r="H807" s="2">
        <v>45299</v>
      </c>
      <c r="I807" t="s">
        <v>16</v>
      </c>
      <c r="J807" t="s">
        <v>844</v>
      </c>
      <c r="K807" t="s">
        <v>47</v>
      </c>
    </row>
    <row r="808" spans="1:11">
      <c r="A808" t="s">
        <v>35</v>
      </c>
      <c r="B808" t="s">
        <v>36</v>
      </c>
      <c r="C808" t="s">
        <v>20</v>
      </c>
      <c r="D808" t="s">
        <v>31</v>
      </c>
      <c r="E808" t="s">
        <v>22</v>
      </c>
      <c r="F808">
        <v>363</v>
      </c>
      <c r="G808" s="1">
        <v>3071</v>
      </c>
      <c r="H808" s="2">
        <v>45366</v>
      </c>
      <c r="I808" t="s">
        <v>32</v>
      </c>
      <c r="J808" t="s">
        <v>845</v>
      </c>
      <c r="K808" t="s">
        <v>44</v>
      </c>
    </row>
    <row r="809" spans="1:11">
      <c r="A809" t="s">
        <v>24</v>
      </c>
      <c r="B809" t="s">
        <v>12</v>
      </c>
      <c r="C809" t="s">
        <v>25</v>
      </c>
      <c r="D809" t="s">
        <v>31</v>
      </c>
      <c r="E809" t="s">
        <v>38</v>
      </c>
      <c r="F809">
        <v>152</v>
      </c>
      <c r="G809" s="1">
        <v>27219</v>
      </c>
      <c r="H809" s="2">
        <v>45350</v>
      </c>
      <c r="I809" t="s">
        <v>41</v>
      </c>
      <c r="J809" t="s">
        <v>846</v>
      </c>
      <c r="K809" t="s">
        <v>29</v>
      </c>
    </row>
    <row r="810" spans="1:11">
      <c r="A810" t="s">
        <v>64</v>
      </c>
      <c r="B810" t="s">
        <v>19</v>
      </c>
      <c r="C810" t="s">
        <v>25</v>
      </c>
      <c r="D810" t="s">
        <v>26</v>
      </c>
      <c r="E810" t="s">
        <v>15</v>
      </c>
      <c r="F810">
        <v>1989</v>
      </c>
      <c r="G810" s="1">
        <v>39898</v>
      </c>
      <c r="H810" s="2">
        <v>45143</v>
      </c>
      <c r="I810" t="s">
        <v>39</v>
      </c>
      <c r="J810" t="s">
        <v>847</v>
      </c>
      <c r="K810" t="s">
        <v>44</v>
      </c>
    </row>
    <row r="811" spans="1:11">
      <c r="A811" t="s">
        <v>35</v>
      </c>
      <c r="B811" t="s">
        <v>51</v>
      </c>
      <c r="C811" t="s">
        <v>20</v>
      </c>
      <c r="D811" t="s">
        <v>14</v>
      </c>
      <c r="E811">
        <v>30</v>
      </c>
      <c r="F811">
        <v>729</v>
      </c>
      <c r="G811" s="1">
        <v>17817</v>
      </c>
      <c r="H811" s="2">
        <v>45367</v>
      </c>
      <c r="I811" t="s">
        <v>41</v>
      </c>
      <c r="J811" t="s">
        <v>848</v>
      </c>
      <c r="K811" t="s">
        <v>34</v>
      </c>
    </row>
    <row r="812" spans="1:11">
      <c r="A812" t="s">
        <v>24</v>
      </c>
      <c r="B812" t="s">
        <v>19</v>
      </c>
      <c r="C812" t="s">
        <v>30</v>
      </c>
      <c r="D812" t="s">
        <v>14</v>
      </c>
      <c r="E812" t="s">
        <v>15</v>
      </c>
      <c r="F812">
        <v>828</v>
      </c>
      <c r="G812" s="1">
        <v>3572</v>
      </c>
      <c r="H812" s="2">
        <v>45299</v>
      </c>
      <c r="I812" t="s">
        <v>41</v>
      </c>
      <c r="J812" t="s">
        <v>849</v>
      </c>
      <c r="K812" t="s">
        <v>47</v>
      </c>
    </row>
    <row r="813" spans="1:11">
      <c r="A813" t="s">
        <v>24</v>
      </c>
      <c r="B813" t="s">
        <v>51</v>
      </c>
      <c r="C813" t="s">
        <v>20</v>
      </c>
      <c r="D813" t="s">
        <v>31</v>
      </c>
      <c r="E813">
        <v>60</v>
      </c>
      <c r="F813">
        <v>984</v>
      </c>
      <c r="G813" s="1">
        <v>43213</v>
      </c>
      <c r="H813" s="2">
        <v>45138</v>
      </c>
      <c r="I813" t="s">
        <v>41</v>
      </c>
      <c r="J813" t="s">
        <v>850</v>
      </c>
      <c r="K813" t="s">
        <v>44</v>
      </c>
    </row>
    <row r="814" spans="1:11">
      <c r="A814" t="s">
        <v>24</v>
      </c>
      <c r="B814" t="s">
        <v>51</v>
      </c>
      <c r="C814" t="s">
        <v>59</v>
      </c>
      <c r="D814" t="s">
        <v>31</v>
      </c>
      <c r="E814" t="s">
        <v>38</v>
      </c>
      <c r="F814">
        <v>1911</v>
      </c>
      <c r="G814" s="1">
        <v>40843</v>
      </c>
      <c r="H814" s="2">
        <v>45310</v>
      </c>
      <c r="I814" t="s">
        <v>32</v>
      </c>
      <c r="J814" t="s">
        <v>851</v>
      </c>
      <c r="K814" t="s">
        <v>47</v>
      </c>
    </row>
    <row r="815" spans="1:11">
      <c r="A815" t="s">
        <v>24</v>
      </c>
      <c r="B815" t="s">
        <v>12</v>
      </c>
      <c r="C815" t="s">
        <v>20</v>
      </c>
      <c r="D815" t="s">
        <v>31</v>
      </c>
      <c r="E815">
        <v>30</v>
      </c>
      <c r="F815">
        <v>846</v>
      </c>
      <c r="G815" s="1">
        <v>18094</v>
      </c>
      <c r="H815" s="2">
        <v>45414</v>
      </c>
      <c r="I815" t="s">
        <v>32</v>
      </c>
      <c r="J815" t="s">
        <v>852</v>
      </c>
      <c r="K815" t="s">
        <v>44</v>
      </c>
    </row>
    <row r="816" spans="1:11">
      <c r="A816" t="s">
        <v>64</v>
      </c>
      <c r="B816" t="s">
        <v>19</v>
      </c>
      <c r="C816" t="s">
        <v>30</v>
      </c>
      <c r="D816" t="s">
        <v>31</v>
      </c>
      <c r="E816" t="s">
        <v>22</v>
      </c>
      <c r="F816">
        <v>415</v>
      </c>
      <c r="G816" s="1">
        <v>30785</v>
      </c>
      <c r="H816" s="2">
        <v>45436</v>
      </c>
      <c r="I816" t="s">
        <v>27</v>
      </c>
      <c r="J816" t="s">
        <v>853</v>
      </c>
      <c r="K816" t="s">
        <v>29</v>
      </c>
    </row>
    <row r="817" spans="1:11">
      <c r="A817" t="s">
        <v>64</v>
      </c>
      <c r="B817" t="s">
        <v>36</v>
      </c>
      <c r="C817" t="s">
        <v>20</v>
      </c>
      <c r="D817" t="s">
        <v>31</v>
      </c>
      <c r="E817" t="s">
        <v>22</v>
      </c>
      <c r="F817">
        <v>1507</v>
      </c>
      <c r="G817" s="1">
        <v>32408</v>
      </c>
      <c r="H817" s="2">
        <v>45324</v>
      </c>
      <c r="I817" t="s">
        <v>32</v>
      </c>
      <c r="J817" t="s">
        <v>854</v>
      </c>
      <c r="K817" t="s">
        <v>18</v>
      </c>
    </row>
    <row r="818" spans="1:11">
      <c r="A818" t="s">
        <v>11</v>
      </c>
      <c r="B818" t="s">
        <v>36</v>
      </c>
      <c r="C818" t="s">
        <v>30</v>
      </c>
      <c r="D818" t="s">
        <v>21</v>
      </c>
      <c r="E818" t="s">
        <v>15</v>
      </c>
      <c r="F818">
        <v>889</v>
      </c>
      <c r="G818" s="1">
        <v>4285</v>
      </c>
      <c r="H818" s="2">
        <v>45418</v>
      </c>
      <c r="I818" t="s">
        <v>16</v>
      </c>
      <c r="J818" t="s">
        <v>855</v>
      </c>
      <c r="K818" t="s">
        <v>18</v>
      </c>
    </row>
    <row r="819" spans="1:11">
      <c r="A819" t="s">
        <v>45</v>
      </c>
      <c r="B819" t="s">
        <v>36</v>
      </c>
      <c r="C819" t="s">
        <v>13</v>
      </c>
      <c r="D819" t="s">
        <v>26</v>
      </c>
      <c r="E819">
        <v>30</v>
      </c>
      <c r="F819">
        <v>983</v>
      </c>
      <c r="G819" s="1">
        <v>39307</v>
      </c>
      <c r="H819" s="2">
        <v>45317</v>
      </c>
      <c r="I819" t="s">
        <v>16</v>
      </c>
      <c r="J819" t="s">
        <v>856</v>
      </c>
      <c r="K819" t="s">
        <v>44</v>
      </c>
    </row>
    <row r="820" spans="1:11">
      <c r="A820" t="s">
        <v>24</v>
      </c>
      <c r="B820" t="s">
        <v>49</v>
      </c>
      <c r="C820" t="s">
        <v>59</v>
      </c>
      <c r="D820" t="s">
        <v>14</v>
      </c>
      <c r="E820">
        <v>60</v>
      </c>
      <c r="F820">
        <v>743</v>
      </c>
      <c r="G820" s="1">
        <v>38388</v>
      </c>
      <c r="H820" s="2">
        <v>45477</v>
      </c>
      <c r="I820" t="s">
        <v>41</v>
      </c>
      <c r="J820" t="s">
        <v>857</v>
      </c>
      <c r="K820" t="s">
        <v>29</v>
      </c>
    </row>
    <row r="821" spans="1:11">
      <c r="A821" t="s">
        <v>64</v>
      </c>
      <c r="B821" t="s">
        <v>36</v>
      </c>
      <c r="C821" t="s">
        <v>25</v>
      </c>
      <c r="D821" t="s">
        <v>66</v>
      </c>
      <c r="E821">
        <v>30</v>
      </c>
      <c r="F821">
        <v>255</v>
      </c>
      <c r="G821" s="1">
        <v>27581</v>
      </c>
      <c r="H821" s="2">
        <v>45448</v>
      </c>
      <c r="I821" t="s">
        <v>16</v>
      </c>
      <c r="J821" t="s">
        <v>553</v>
      </c>
      <c r="K821" t="s">
        <v>44</v>
      </c>
    </row>
    <row r="822" spans="1:11">
      <c r="A822" t="s">
        <v>64</v>
      </c>
      <c r="B822" t="s">
        <v>49</v>
      </c>
      <c r="C822" t="s">
        <v>59</v>
      </c>
      <c r="D822" t="s">
        <v>26</v>
      </c>
      <c r="E822">
        <v>30</v>
      </c>
      <c r="F822">
        <v>965</v>
      </c>
      <c r="G822" s="1">
        <v>12117</v>
      </c>
      <c r="H822" s="2">
        <v>45168</v>
      </c>
      <c r="I822" t="s">
        <v>32</v>
      </c>
      <c r="J822" t="s">
        <v>858</v>
      </c>
      <c r="K822" t="s">
        <v>34</v>
      </c>
    </row>
    <row r="823" spans="1:11">
      <c r="A823" t="s">
        <v>24</v>
      </c>
      <c r="B823" t="s">
        <v>19</v>
      </c>
      <c r="C823" t="s">
        <v>25</v>
      </c>
      <c r="D823" t="s">
        <v>26</v>
      </c>
      <c r="E823" t="s">
        <v>38</v>
      </c>
      <c r="F823">
        <v>254</v>
      </c>
      <c r="G823" s="1">
        <v>2928</v>
      </c>
      <c r="H823" s="2">
        <v>45157</v>
      </c>
      <c r="I823" t="s">
        <v>41</v>
      </c>
      <c r="J823" t="s">
        <v>859</v>
      </c>
      <c r="K823" t="s">
        <v>34</v>
      </c>
    </row>
    <row r="824" spans="1:11">
      <c r="A824" t="s">
        <v>24</v>
      </c>
      <c r="B824" t="s">
        <v>36</v>
      </c>
      <c r="C824" t="s">
        <v>30</v>
      </c>
      <c r="D824" t="s">
        <v>14</v>
      </c>
      <c r="E824">
        <v>60</v>
      </c>
      <c r="F824">
        <v>1006</v>
      </c>
      <c r="G824" s="1">
        <v>35619</v>
      </c>
      <c r="H824" s="2">
        <v>45266</v>
      </c>
      <c r="I824" t="s">
        <v>16</v>
      </c>
      <c r="J824" t="s">
        <v>860</v>
      </c>
      <c r="K824" t="s">
        <v>34</v>
      </c>
    </row>
    <row r="825" spans="1:11">
      <c r="A825" t="s">
        <v>24</v>
      </c>
      <c r="B825" t="s">
        <v>19</v>
      </c>
      <c r="C825" t="s">
        <v>13</v>
      </c>
      <c r="D825" t="s">
        <v>66</v>
      </c>
      <c r="E825" t="s">
        <v>38</v>
      </c>
      <c r="F825">
        <v>578</v>
      </c>
      <c r="G825" s="1">
        <v>21030</v>
      </c>
      <c r="H825" s="2">
        <v>45335</v>
      </c>
      <c r="I825" t="s">
        <v>41</v>
      </c>
      <c r="J825" t="s">
        <v>861</v>
      </c>
      <c r="K825" t="s">
        <v>18</v>
      </c>
    </row>
    <row r="826" spans="1:11">
      <c r="A826" t="s">
        <v>24</v>
      </c>
      <c r="B826" t="s">
        <v>12</v>
      </c>
      <c r="C826" t="s">
        <v>25</v>
      </c>
      <c r="D826" t="s">
        <v>14</v>
      </c>
      <c r="E826" t="s">
        <v>22</v>
      </c>
      <c r="F826">
        <v>1284</v>
      </c>
      <c r="G826" s="1">
        <v>40997</v>
      </c>
      <c r="H826" s="2">
        <v>45136</v>
      </c>
      <c r="I826" t="s">
        <v>41</v>
      </c>
      <c r="J826" t="s">
        <v>862</v>
      </c>
      <c r="K826" t="s">
        <v>44</v>
      </c>
    </row>
    <row r="827" spans="1:11">
      <c r="A827" t="s">
        <v>35</v>
      </c>
      <c r="B827" t="s">
        <v>36</v>
      </c>
      <c r="C827" t="s">
        <v>25</v>
      </c>
      <c r="D827" t="s">
        <v>31</v>
      </c>
      <c r="E827" t="s">
        <v>22</v>
      </c>
      <c r="F827">
        <v>1832</v>
      </c>
      <c r="G827" s="1">
        <v>22662</v>
      </c>
      <c r="H827" s="2">
        <v>45484</v>
      </c>
      <c r="I827" t="s">
        <v>27</v>
      </c>
      <c r="J827" t="s">
        <v>863</v>
      </c>
      <c r="K827" t="s">
        <v>47</v>
      </c>
    </row>
    <row r="828" spans="1:11">
      <c r="A828" t="s">
        <v>35</v>
      </c>
      <c r="B828" t="s">
        <v>51</v>
      </c>
      <c r="C828" t="s">
        <v>25</v>
      </c>
      <c r="D828" t="s">
        <v>66</v>
      </c>
      <c r="E828">
        <v>60</v>
      </c>
      <c r="F828">
        <v>698</v>
      </c>
      <c r="G828" s="1">
        <v>42700</v>
      </c>
      <c r="H828" s="2">
        <v>45168</v>
      </c>
      <c r="I828" t="s">
        <v>39</v>
      </c>
      <c r="J828" t="s">
        <v>864</v>
      </c>
      <c r="K828" t="s">
        <v>34</v>
      </c>
    </row>
    <row r="829" spans="1:11">
      <c r="A829" t="s">
        <v>64</v>
      </c>
      <c r="B829" t="s">
        <v>12</v>
      </c>
      <c r="C829" t="s">
        <v>30</v>
      </c>
      <c r="D829" t="s">
        <v>26</v>
      </c>
      <c r="E829" t="s">
        <v>22</v>
      </c>
      <c r="F829">
        <v>174</v>
      </c>
      <c r="G829" s="1">
        <v>28115</v>
      </c>
      <c r="H829" s="2">
        <v>45177</v>
      </c>
      <c r="I829" t="s">
        <v>27</v>
      </c>
      <c r="J829" t="s">
        <v>865</v>
      </c>
      <c r="K829" t="s">
        <v>29</v>
      </c>
    </row>
    <row r="830" spans="1:11">
      <c r="A830" t="s">
        <v>64</v>
      </c>
      <c r="B830" t="s">
        <v>51</v>
      </c>
      <c r="C830" t="s">
        <v>20</v>
      </c>
      <c r="D830" t="s">
        <v>66</v>
      </c>
      <c r="E830" t="s">
        <v>22</v>
      </c>
      <c r="F830">
        <v>247</v>
      </c>
      <c r="G830" s="1">
        <v>2564</v>
      </c>
      <c r="H830" s="2">
        <v>45412</v>
      </c>
      <c r="I830" t="s">
        <v>41</v>
      </c>
      <c r="J830" t="s">
        <v>866</v>
      </c>
      <c r="K830" t="s">
        <v>34</v>
      </c>
    </row>
    <row r="831" spans="1:11">
      <c r="A831" t="s">
        <v>11</v>
      </c>
      <c r="B831" t="s">
        <v>36</v>
      </c>
      <c r="C831" t="s">
        <v>25</v>
      </c>
      <c r="D831" t="s">
        <v>21</v>
      </c>
      <c r="E831" t="s">
        <v>38</v>
      </c>
      <c r="F831">
        <v>1585</v>
      </c>
      <c r="G831" s="1">
        <v>22796</v>
      </c>
      <c r="H831" s="2">
        <v>45404</v>
      </c>
      <c r="I831" t="s">
        <v>39</v>
      </c>
      <c r="J831" t="s">
        <v>867</v>
      </c>
      <c r="K831" t="s">
        <v>34</v>
      </c>
    </row>
    <row r="832" spans="1:11">
      <c r="A832" t="s">
        <v>24</v>
      </c>
      <c r="B832" t="s">
        <v>49</v>
      </c>
      <c r="C832" t="s">
        <v>13</v>
      </c>
      <c r="D832" t="s">
        <v>26</v>
      </c>
      <c r="E832" t="s">
        <v>15</v>
      </c>
      <c r="F832">
        <v>1212</v>
      </c>
      <c r="G832" s="1">
        <v>30821</v>
      </c>
      <c r="H832" s="2">
        <v>45327</v>
      </c>
      <c r="I832" t="s">
        <v>16</v>
      </c>
      <c r="J832" t="s">
        <v>868</v>
      </c>
      <c r="K832" t="s">
        <v>47</v>
      </c>
    </row>
    <row r="833" spans="1:11">
      <c r="A833" t="s">
        <v>24</v>
      </c>
      <c r="B833" t="s">
        <v>49</v>
      </c>
      <c r="C833" t="s">
        <v>59</v>
      </c>
      <c r="D833" t="s">
        <v>14</v>
      </c>
      <c r="E833" t="s">
        <v>22</v>
      </c>
      <c r="F833">
        <v>1322</v>
      </c>
      <c r="G833" s="1">
        <v>41761</v>
      </c>
      <c r="H833" s="2">
        <v>45427</v>
      </c>
      <c r="I833" t="s">
        <v>16</v>
      </c>
      <c r="J833" t="s">
        <v>869</v>
      </c>
      <c r="K833" t="s">
        <v>34</v>
      </c>
    </row>
    <row r="834" spans="1:11">
      <c r="A834" t="s">
        <v>64</v>
      </c>
      <c r="B834" t="s">
        <v>19</v>
      </c>
      <c r="C834" t="s">
        <v>20</v>
      </c>
      <c r="D834" t="s">
        <v>26</v>
      </c>
      <c r="E834">
        <v>60</v>
      </c>
      <c r="F834">
        <v>1258</v>
      </c>
      <c r="G834" s="1">
        <v>22547</v>
      </c>
      <c r="H834" s="2">
        <v>45168</v>
      </c>
      <c r="I834" t="s">
        <v>39</v>
      </c>
      <c r="J834" t="s">
        <v>870</v>
      </c>
      <c r="K834" t="s">
        <v>29</v>
      </c>
    </row>
    <row r="835" spans="1:11">
      <c r="A835" t="s">
        <v>24</v>
      </c>
      <c r="B835" t="s">
        <v>36</v>
      </c>
      <c r="C835" t="s">
        <v>20</v>
      </c>
      <c r="D835" t="s">
        <v>26</v>
      </c>
      <c r="E835" t="s">
        <v>38</v>
      </c>
      <c r="F835">
        <v>1589</v>
      </c>
      <c r="G835" s="1">
        <v>28938</v>
      </c>
      <c r="H835" s="2">
        <v>45254</v>
      </c>
      <c r="I835" t="s">
        <v>16</v>
      </c>
      <c r="J835" t="s">
        <v>871</v>
      </c>
      <c r="K835" t="s">
        <v>29</v>
      </c>
    </row>
    <row r="836" spans="1:11">
      <c r="A836" t="s">
        <v>11</v>
      </c>
      <c r="B836" t="s">
        <v>36</v>
      </c>
      <c r="C836" t="s">
        <v>13</v>
      </c>
      <c r="D836" t="s">
        <v>21</v>
      </c>
      <c r="E836" t="s">
        <v>38</v>
      </c>
      <c r="F836">
        <v>908</v>
      </c>
      <c r="G836" s="1">
        <v>44347</v>
      </c>
      <c r="H836" s="2">
        <v>45254</v>
      </c>
      <c r="I836" t="s">
        <v>32</v>
      </c>
      <c r="J836" t="s">
        <v>872</v>
      </c>
      <c r="K836" t="s">
        <v>29</v>
      </c>
    </row>
    <row r="837" spans="1:11">
      <c r="A837" t="s">
        <v>24</v>
      </c>
      <c r="B837" t="s">
        <v>49</v>
      </c>
      <c r="C837" t="s">
        <v>30</v>
      </c>
      <c r="D837" t="s">
        <v>14</v>
      </c>
      <c r="E837">
        <v>60</v>
      </c>
      <c r="F837">
        <v>888</v>
      </c>
      <c r="G837" s="1">
        <v>22714</v>
      </c>
      <c r="H837" s="2">
        <v>45295</v>
      </c>
      <c r="I837" t="s">
        <v>32</v>
      </c>
      <c r="J837" t="s">
        <v>873</v>
      </c>
      <c r="K837" t="s">
        <v>34</v>
      </c>
    </row>
    <row r="838" spans="1:11">
      <c r="A838" t="s">
        <v>11</v>
      </c>
      <c r="B838" t="s">
        <v>49</v>
      </c>
      <c r="C838" t="s">
        <v>20</v>
      </c>
      <c r="D838" t="s">
        <v>66</v>
      </c>
      <c r="E838">
        <v>60</v>
      </c>
      <c r="F838">
        <v>1591</v>
      </c>
      <c r="G838" s="1">
        <v>6484</v>
      </c>
      <c r="H838" s="2">
        <v>45180</v>
      </c>
      <c r="I838" t="s">
        <v>32</v>
      </c>
      <c r="J838" t="s">
        <v>874</v>
      </c>
      <c r="K838" t="s">
        <v>18</v>
      </c>
    </row>
    <row r="839" spans="1:11">
      <c r="A839" t="s">
        <v>11</v>
      </c>
      <c r="B839" t="s">
        <v>49</v>
      </c>
      <c r="C839" t="s">
        <v>59</v>
      </c>
      <c r="D839" t="s">
        <v>26</v>
      </c>
      <c r="E839" t="s">
        <v>15</v>
      </c>
      <c r="F839">
        <v>1266</v>
      </c>
      <c r="G839" s="1">
        <v>27371</v>
      </c>
      <c r="H839" s="2">
        <v>45265</v>
      </c>
      <c r="I839" t="s">
        <v>41</v>
      </c>
      <c r="J839" t="s">
        <v>875</v>
      </c>
      <c r="K839" t="s">
        <v>18</v>
      </c>
    </row>
    <row r="840" spans="1:11">
      <c r="A840" t="s">
        <v>35</v>
      </c>
      <c r="B840" t="s">
        <v>36</v>
      </c>
      <c r="C840" t="s">
        <v>25</v>
      </c>
      <c r="D840" t="s">
        <v>31</v>
      </c>
      <c r="E840">
        <v>30</v>
      </c>
      <c r="F840">
        <v>1335</v>
      </c>
      <c r="G840" s="1">
        <v>1534</v>
      </c>
      <c r="H840" s="2">
        <v>45480</v>
      </c>
      <c r="I840" t="s">
        <v>39</v>
      </c>
      <c r="J840" t="s">
        <v>876</v>
      </c>
      <c r="K840" t="s">
        <v>34</v>
      </c>
    </row>
    <row r="841" spans="1:11">
      <c r="A841" t="s">
        <v>64</v>
      </c>
      <c r="B841" t="s">
        <v>49</v>
      </c>
      <c r="C841" t="s">
        <v>13</v>
      </c>
      <c r="D841" t="s">
        <v>31</v>
      </c>
      <c r="E841">
        <v>30</v>
      </c>
      <c r="F841">
        <v>790</v>
      </c>
      <c r="G841" s="1">
        <v>9353</v>
      </c>
      <c r="H841" s="2">
        <v>45314</v>
      </c>
      <c r="I841" t="s">
        <v>39</v>
      </c>
      <c r="J841" t="s">
        <v>877</v>
      </c>
      <c r="K841" t="s">
        <v>18</v>
      </c>
    </row>
    <row r="842" spans="1:11">
      <c r="A842" t="s">
        <v>35</v>
      </c>
      <c r="B842" t="s">
        <v>12</v>
      </c>
      <c r="C842" t="s">
        <v>13</v>
      </c>
      <c r="D842" t="s">
        <v>14</v>
      </c>
      <c r="E842" t="s">
        <v>38</v>
      </c>
      <c r="F842">
        <v>408</v>
      </c>
      <c r="G842" s="1">
        <v>31302</v>
      </c>
      <c r="H842" s="2">
        <v>45346</v>
      </c>
      <c r="I842" t="s">
        <v>16</v>
      </c>
      <c r="J842" t="s">
        <v>878</v>
      </c>
      <c r="K842" t="s">
        <v>18</v>
      </c>
    </row>
    <row r="843" spans="1:11">
      <c r="A843" t="s">
        <v>45</v>
      </c>
      <c r="B843" t="s">
        <v>12</v>
      </c>
      <c r="C843" t="s">
        <v>30</v>
      </c>
      <c r="D843" t="s">
        <v>66</v>
      </c>
      <c r="E843" t="s">
        <v>15</v>
      </c>
      <c r="F843">
        <v>1613</v>
      </c>
      <c r="G843" s="1">
        <v>49778</v>
      </c>
      <c r="H843" s="2">
        <v>45254</v>
      </c>
      <c r="I843" t="s">
        <v>16</v>
      </c>
      <c r="J843" t="s">
        <v>879</v>
      </c>
      <c r="K843" t="s">
        <v>18</v>
      </c>
    </row>
    <row r="844" spans="1:11">
      <c r="A844" t="s">
        <v>11</v>
      </c>
      <c r="B844" t="s">
        <v>36</v>
      </c>
      <c r="C844" t="s">
        <v>25</v>
      </c>
      <c r="D844" t="s">
        <v>21</v>
      </c>
      <c r="E844" t="s">
        <v>15</v>
      </c>
      <c r="F844">
        <v>1046</v>
      </c>
      <c r="G844" s="1">
        <v>41599</v>
      </c>
      <c r="H844" s="2">
        <v>45161</v>
      </c>
      <c r="I844" t="s">
        <v>16</v>
      </c>
      <c r="J844" t="s">
        <v>880</v>
      </c>
      <c r="K844" t="s">
        <v>44</v>
      </c>
    </row>
    <row r="845" spans="1:11">
      <c r="A845" t="s">
        <v>45</v>
      </c>
      <c r="B845" t="s">
        <v>12</v>
      </c>
      <c r="C845" t="s">
        <v>59</v>
      </c>
      <c r="D845" t="s">
        <v>66</v>
      </c>
      <c r="E845">
        <v>60</v>
      </c>
      <c r="F845">
        <v>769</v>
      </c>
      <c r="G845" s="1">
        <v>38634</v>
      </c>
      <c r="H845" s="2">
        <v>45420</v>
      </c>
      <c r="I845" t="s">
        <v>32</v>
      </c>
      <c r="J845" t="s">
        <v>881</v>
      </c>
      <c r="K845" t="s">
        <v>18</v>
      </c>
    </row>
    <row r="846" spans="1:11">
      <c r="A846" t="s">
        <v>64</v>
      </c>
      <c r="B846" t="s">
        <v>49</v>
      </c>
      <c r="C846" t="s">
        <v>13</v>
      </c>
      <c r="D846" t="s">
        <v>66</v>
      </c>
      <c r="E846">
        <v>30</v>
      </c>
      <c r="F846">
        <v>1661</v>
      </c>
      <c r="G846" s="1">
        <v>40534</v>
      </c>
      <c r="H846" s="2">
        <v>45292</v>
      </c>
      <c r="I846" t="s">
        <v>39</v>
      </c>
      <c r="J846" t="s">
        <v>882</v>
      </c>
      <c r="K846" t="s">
        <v>29</v>
      </c>
    </row>
    <row r="847" spans="1:11">
      <c r="A847" t="s">
        <v>64</v>
      </c>
      <c r="B847" t="s">
        <v>51</v>
      </c>
      <c r="C847" t="s">
        <v>30</v>
      </c>
      <c r="D847" t="s">
        <v>26</v>
      </c>
      <c r="E847" t="s">
        <v>22</v>
      </c>
      <c r="F847">
        <v>1541</v>
      </c>
      <c r="G847" s="1">
        <v>36377</v>
      </c>
      <c r="H847" s="2">
        <v>45152</v>
      </c>
      <c r="I847" t="s">
        <v>16</v>
      </c>
      <c r="J847" t="s">
        <v>883</v>
      </c>
      <c r="K847" t="s">
        <v>44</v>
      </c>
    </row>
    <row r="848" spans="1:11">
      <c r="A848" t="s">
        <v>35</v>
      </c>
      <c r="B848" t="s">
        <v>51</v>
      </c>
      <c r="C848" t="s">
        <v>30</v>
      </c>
      <c r="D848" t="s">
        <v>66</v>
      </c>
      <c r="E848" t="s">
        <v>15</v>
      </c>
      <c r="F848">
        <v>286</v>
      </c>
      <c r="G848" s="1">
        <v>30863</v>
      </c>
      <c r="H848" s="2">
        <v>45178</v>
      </c>
      <c r="I848" t="s">
        <v>39</v>
      </c>
      <c r="J848" t="s">
        <v>884</v>
      </c>
      <c r="K848" t="s">
        <v>44</v>
      </c>
    </row>
    <row r="849" spans="1:11">
      <c r="A849" t="s">
        <v>35</v>
      </c>
      <c r="B849" t="s">
        <v>19</v>
      </c>
      <c r="C849" t="s">
        <v>20</v>
      </c>
      <c r="D849" t="s">
        <v>14</v>
      </c>
      <c r="E849" t="s">
        <v>22</v>
      </c>
      <c r="F849">
        <v>1432</v>
      </c>
      <c r="G849" s="1">
        <v>43247</v>
      </c>
      <c r="H849" s="2">
        <v>45464</v>
      </c>
      <c r="I849" t="s">
        <v>27</v>
      </c>
      <c r="J849" t="s">
        <v>885</v>
      </c>
      <c r="K849" t="s">
        <v>47</v>
      </c>
    </row>
    <row r="850" spans="1:11">
      <c r="A850" t="s">
        <v>24</v>
      </c>
      <c r="B850" t="s">
        <v>36</v>
      </c>
      <c r="C850" t="s">
        <v>13</v>
      </c>
      <c r="D850" t="s">
        <v>21</v>
      </c>
      <c r="E850" t="s">
        <v>15</v>
      </c>
      <c r="F850">
        <v>249</v>
      </c>
      <c r="G850" s="1">
        <v>21795</v>
      </c>
      <c r="H850" s="2">
        <v>45189</v>
      </c>
      <c r="I850" t="s">
        <v>32</v>
      </c>
      <c r="J850" t="s">
        <v>886</v>
      </c>
      <c r="K850" t="s">
        <v>29</v>
      </c>
    </row>
    <row r="851" spans="1:11">
      <c r="A851" t="s">
        <v>11</v>
      </c>
      <c r="B851" t="s">
        <v>12</v>
      </c>
      <c r="C851" t="s">
        <v>20</v>
      </c>
      <c r="D851" t="s">
        <v>31</v>
      </c>
      <c r="E851">
        <v>30</v>
      </c>
      <c r="F851">
        <v>1441</v>
      </c>
      <c r="G851" s="1">
        <v>15841</v>
      </c>
      <c r="H851" s="2">
        <v>45149</v>
      </c>
      <c r="I851" t="s">
        <v>27</v>
      </c>
      <c r="J851" t="s">
        <v>887</v>
      </c>
      <c r="K851" t="s">
        <v>47</v>
      </c>
    </row>
    <row r="852" spans="1:11">
      <c r="A852" t="s">
        <v>11</v>
      </c>
      <c r="B852" t="s">
        <v>19</v>
      </c>
      <c r="C852" t="s">
        <v>59</v>
      </c>
      <c r="D852" t="s">
        <v>21</v>
      </c>
      <c r="E852">
        <v>30</v>
      </c>
      <c r="F852">
        <v>1951</v>
      </c>
      <c r="G852" s="1">
        <v>18265</v>
      </c>
      <c r="H852" s="2">
        <v>45445</v>
      </c>
      <c r="I852" t="s">
        <v>27</v>
      </c>
      <c r="J852" t="s">
        <v>888</v>
      </c>
      <c r="K852" t="s">
        <v>29</v>
      </c>
    </row>
    <row r="853" spans="1:11">
      <c r="A853" t="s">
        <v>11</v>
      </c>
      <c r="B853" t="s">
        <v>49</v>
      </c>
      <c r="C853" t="s">
        <v>20</v>
      </c>
      <c r="D853" t="s">
        <v>21</v>
      </c>
      <c r="E853" t="s">
        <v>22</v>
      </c>
      <c r="F853">
        <v>1017</v>
      </c>
      <c r="G853" s="1">
        <v>10342</v>
      </c>
      <c r="H853" s="2">
        <v>45475</v>
      </c>
      <c r="I853" t="s">
        <v>41</v>
      </c>
      <c r="J853" t="s">
        <v>889</v>
      </c>
      <c r="K853" t="s">
        <v>29</v>
      </c>
    </row>
    <row r="854" spans="1:11">
      <c r="A854" t="s">
        <v>45</v>
      </c>
      <c r="B854" t="s">
        <v>12</v>
      </c>
      <c r="C854" t="s">
        <v>59</v>
      </c>
      <c r="D854" t="s">
        <v>66</v>
      </c>
      <c r="E854">
        <v>60</v>
      </c>
      <c r="F854">
        <v>1287</v>
      </c>
      <c r="G854" s="1">
        <v>45058</v>
      </c>
      <c r="H854" s="2">
        <v>45330</v>
      </c>
      <c r="I854" t="s">
        <v>41</v>
      </c>
      <c r="J854" t="s">
        <v>890</v>
      </c>
      <c r="K854" t="s">
        <v>47</v>
      </c>
    </row>
    <row r="855" spans="1:11">
      <c r="A855" t="s">
        <v>11</v>
      </c>
      <c r="B855" t="s">
        <v>51</v>
      </c>
      <c r="C855" t="s">
        <v>13</v>
      </c>
      <c r="D855" t="s">
        <v>31</v>
      </c>
      <c r="E855" t="s">
        <v>22</v>
      </c>
      <c r="F855">
        <v>1236</v>
      </c>
      <c r="G855" s="1">
        <v>48538</v>
      </c>
      <c r="H855" s="2">
        <v>45475</v>
      </c>
      <c r="I855" t="s">
        <v>16</v>
      </c>
      <c r="J855" t="s">
        <v>891</v>
      </c>
      <c r="K855" t="s">
        <v>47</v>
      </c>
    </row>
    <row r="856" spans="1:11">
      <c r="A856" t="s">
        <v>24</v>
      </c>
      <c r="B856" t="s">
        <v>49</v>
      </c>
      <c r="C856" t="s">
        <v>25</v>
      </c>
      <c r="D856" t="s">
        <v>31</v>
      </c>
      <c r="E856" t="s">
        <v>38</v>
      </c>
      <c r="F856">
        <v>1368</v>
      </c>
      <c r="G856" s="1">
        <v>6205</v>
      </c>
      <c r="H856" s="2">
        <v>45369</v>
      </c>
      <c r="I856" t="s">
        <v>41</v>
      </c>
      <c r="J856" t="s">
        <v>892</v>
      </c>
      <c r="K856" t="s">
        <v>44</v>
      </c>
    </row>
    <row r="857" spans="1:11">
      <c r="A857" t="s">
        <v>45</v>
      </c>
      <c r="B857" t="s">
        <v>36</v>
      </c>
      <c r="C857" t="s">
        <v>25</v>
      </c>
      <c r="D857" t="s">
        <v>14</v>
      </c>
      <c r="E857" t="s">
        <v>22</v>
      </c>
      <c r="F857">
        <v>936</v>
      </c>
      <c r="G857" s="1">
        <v>10109</v>
      </c>
      <c r="H857" s="2">
        <v>45375</v>
      </c>
      <c r="I857" t="s">
        <v>32</v>
      </c>
      <c r="J857" t="s">
        <v>893</v>
      </c>
      <c r="K857" t="s">
        <v>34</v>
      </c>
    </row>
    <row r="858" spans="1:11">
      <c r="A858" t="s">
        <v>35</v>
      </c>
      <c r="B858" t="s">
        <v>36</v>
      </c>
      <c r="C858" t="s">
        <v>30</v>
      </c>
      <c r="D858" t="s">
        <v>21</v>
      </c>
      <c r="E858">
        <v>60</v>
      </c>
      <c r="F858">
        <v>676</v>
      </c>
      <c r="G858" s="1">
        <v>37726</v>
      </c>
      <c r="H858" s="2">
        <v>45284</v>
      </c>
      <c r="I858" t="s">
        <v>32</v>
      </c>
      <c r="J858" t="s">
        <v>894</v>
      </c>
      <c r="K858" t="s">
        <v>18</v>
      </c>
    </row>
    <row r="859" spans="1:11">
      <c r="A859" t="s">
        <v>24</v>
      </c>
      <c r="B859" t="s">
        <v>49</v>
      </c>
      <c r="C859" t="s">
        <v>30</v>
      </c>
      <c r="D859" t="s">
        <v>14</v>
      </c>
      <c r="E859">
        <v>30</v>
      </c>
      <c r="F859">
        <v>338</v>
      </c>
      <c r="G859" s="1">
        <v>11276</v>
      </c>
      <c r="H859" s="2">
        <v>45177</v>
      </c>
      <c r="I859" t="s">
        <v>27</v>
      </c>
      <c r="J859" t="s">
        <v>895</v>
      </c>
      <c r="K859" t="s">
        <v>47</v>
      </c>
    </row>
    <row r="860" spans="1:11">
      <c r="A860" t="s">
        <v>45</v>
      </c>
      <c r="B860" t="s">
        <v>12</v>
      </c>
      <c r="C860" t="s">
        <v>25</v>
      </c>
      <c r="D860" t="s">
        <v>21</v>
      </c>
      <c r="E860" t="s">
        <v>15</v>
      </c>
      <c r="F860">
        <v>1131</v>
      </c>
      <c r="G860" s="1">
        <v>33794</v>
      </c>
      <c r="H860" s="2">
        <v>45321</v>
      </c>
      <c r="I860" t="s">
        <v>32</v>
      </c>
      <c r="J860" t="s">
        <v>896</v>
      </c>
      <c r="K860" t="s">
        <v>47</v>
      </c>
    </row>
    <row r="861" spans="1:11">
      <c r="A861" t="s">
        <v>11</v>
      </c>
      <c r="B861" t="s">
        <v>36</v>
      </c>
      <c r="C861" t="s">
        <v>20</v>
      </c>
      <c r="D861" t="s">
        <v>31</v>
      </c>
      <c r="E861" t="s">
        <v>22</v>
      </c>
      <c r="F861">
        <v>1415</v>
      </c>
      <c r="G861" s="1">
        <v>40903</v>
      </c>
      <c r="H861" s="2">
        <v>45136</v>
      </c>
      <c r="I861" t="s">
        <v>16</v>
      </c>
      <c r="J861" t="s">
        <v>897</v>
      </c>
      <c r="K861" t="s">
        <v>34</v>
      </c>
    </row>
    <row r="862" spans="1:11">
      <c r="A862" t="s">
        <v>35</v>
      </c>
      <c r="B862" t="s">
        <v>49</v>
      </c>
      <c r="C862" t="s">
        <v>25</v>
      </c>
      <c r="D862" t="s">
        <v>66</v>
      </c>
      <c r="E862" t="s">
        <v>15</v>
      </c>
      <c r="F862">
        <v>1737</v>
      </c>
      <c r="G862" s="1">
        <v>27260</v>
      </c>
      <c r="H862" s="2">
        <v>45310</v>
      </c>
      <c r="I862" t="s">
        <v>41</v>
      </c>
      <c r="J862" t="s">
        <v>898</v>
      </c>
      <c r="K862" t="s">
        <v>29</v>
      </c>
    </row>
    <row r="863" spans="1:11">
      <c r="A863" t="s">
        <v>24</v>
      </c>
      <c r="B863" t="s">
        <v>19</v>
      </c>
      <c r="C863" t="s">
        <v>59</v>
      </c>
      <c r="D863" t="s">
        <v>26</v>
      </c>
      <c r="E863" t="s">
        <v>22</v>
      </c>
      <c r="F863">
        <v>689</v>
      </c>
      <c r="G863" s="1">
        <v>19199</v>
      </c>
      <c r="H863" s="2">
        <v>45328</v>
      </c>
      <c r="I863" t="s">
        <v>27</v>
      </c>
      <c r="J863" t="s">
        <v>899</v>
      </c>
      <c r="K863" t="s">
        <v>47</v>
      </c>
    </row>
    <row r="864" spans="1:11">
      <c r="A864" t="s">
        <v>64</v>
      </c>
      <c r="B864" t="s">
        <v>12</v>
      </c>
      <c r="C864" t="s">
        <v>13</v>
      </c>
      <c r="D864" t="s">
        <v>66</v>
      </c>
      <c r="E864">
        <v>30</v>
      </c>
      <c r="F864">
        <v>961</v>
      </c>
      <c r="G864" s="1">
        <v>17111</v>
      </c>
      <c r="H864" s="2">
        <v>45293</v>
      </c>
      <c r="I864" t="s">
        <v>39</v>
      </c>
      <c r="J864" t="s">
        <v>900</v>
      </c>
      <c r="K864" t="s">
        <v>18</v>
      </c>
    </row>
    <row r="865" spans="1:11">
      <c r="A865" t="s">
        <v>24</v>
      </c>
      <c r="B865" t="s">
        <v>12</v>
      </c>
      <c r="C865" t="s">
        <v>13</v>
      </c>
      <c r="D865" t="s">
        <v>66</v>
      </c>
      <c r="E865" t="s">
        <v>22</v>
      </c>
      <c r="F865">
        <v>523</v>
      </c>
      <c r="G865" s="1">
        <v>39012</v>
      </c>
      <c r="H865" s="2">
        <v>45351</v>
      </c>
      <c r="I865" t="s">
        <v>27</v>
      </c>
      <c r="J865" t="s">
        <v>901</v>
      </c>
      <c r="K865" t="s">
        <v>44</v>
      </c>
    </row>
    <row r="866" spans="1:11">
      <c r="A866" t="s">
        <v>35</v>
      </c>
      <c r="B866" t="s">
        <v>12</v>
      </c>
      <c r="C866" t="s">
        <v>20</v>
      </c>
      <c r="D866" t="s">
        <v>14</v>
      </c>
      <c r="E866" t="s">
        <v>22</v>
      </c>
      <c r="F866">
        <v>124</v>
      </c>
      <c r="G866" s="1">
        <v>17741</v>
      </c>
      <c r="H866" s="2">
        <v>45231</v>
      </c>
      <c r="I866" t="s">
        <v>41</v>
      </c>
      <c r="J866" t="s">
        <v>902</v>
      </c>
      <c r="K866" t="s">
        <v>29</v>
      </c>
    </row>
    <row r="867" spans="1:11">
      <c r="A867" t="s">
        <v>11</v>
      </c>
      <c r="B867" t="s">
        <v>51</v>
      </c>
      <c r="C867" t="s">
        <v>30</v>
      </c>
      <c r="D867" t="s">
        <v>26</v>
      </c>
      <c r="E867" t="s">
        <v>22</v>
      </c>
      <c r="F867">
        <v>1579</v>
      </c>
      <c r="G867" s="1">
        <v>29112</v>
      </c>
      <c r="H867" s="2">
        <v>45209</v>
      </c>
      <c r="I867" t="s">
        <v>32</v>
      </c>
      <c r="J867" t="s">
        <v>903</v>
      </c>
      <c r="K867" t="s">
        <v>44</v>
      </c>
    </row>
    <row r="868" spans="1:11">
      <c r="A868" t="s">
        <v>64</v>
      </c>
      <c r="B868" t="s">
        <v>36</v>
      </c>
      <c r="C868" t="s">
        <v>30</v>
      </c>
      <c r="D868" t="s">
        <v>31</v>
      </c>
      <c r="E868">
        <v>30</v>
      </c>
      <c r="F868">
        <v>465</v>
      </c>
      <c r="G868" s="1">
        <v>47839</v>
      </c>
      <c r="H868" s="2">
        <v>45361</v>
      </c>
      <c r="I868" t="s">
        <v>39</v>
      </c>
      <c r="J868" t="s">
        <v>904</v>
      </c>
      <c r="K868" t="s">
        <v>34</v>
      </c>
    </row>
    <row r="869" spans="1:11">
      <c r="A869" t="s">
        <v>11</v>
      </c>
      <c r="B869" t="s">
        <v>36</v>
      </c>
      <c r="C869" t="s">
        <v>13</v>
      </c>
      <c r="D869" t="s">
        <v>21</v>
      </c>
      <c r="E869" t="s">
        <v>15</v>
      </c>
      <c r="F869">
        <v>106</v>
      </c>
      <c r="G869" s="1">
        <v>16139</v>
      </c>
      <c r="H869" s="2">
        <v>45412</v>
      </c>
      <c r="I869" t="s">
        <v>39</v>
      </c>
      <c r="J869" t="s">
        <v>905</v>
      </c>
      <c r="K869" t="s">
        <v>18</v>
      </c>
    </row>
    <row r="870" spans="1:11">
      <c r="A870" t="s">
        <v>64</v>
      </c>
      <c r="B870" t="s">
        <v>12</v>
      </c>
      <c r="C870" t="s">
        <v>20</v>
      </c>
      <c r="D870" t="s">
        <v>31</v>
      </c>
      <c r="E870" t="s">
        <v>22</v>
      </c>
      <c r="F870">
        <v>129</v>
      </c>
      <c r="G870" s="1">
        <v>33103</v>
      </c>
      <c r="H870" s="2">
        <v>45272</v>
      </c>
      <c r="I870" t="s">
        <v>32</v>
      </c>
      <c r="J870" t="s">
        <v>906</v>
      </c>
      <c r="K870" t="s">
        <v>34</v>
      </c>
    </row>
    <row r="871" spans="1:11">
      <c r="A871" t="s">
        <v>35</v>
      </c>
      <c r="B871" t="s">
        <v>36</v>
      </c>
      <c r="C871" t="s">
        <v>30</v>
      </c>
      <c r="D871" t="s">
        <v>14</v>
      </c>
      <c r="E871">
        <v>30</v>
      </c>
      <c r="F871">
        <v>179</v>
      </c>
      <c r="G871" s="1">
        <v>44121</v>
      </c>
      <c r="H871" s="2">
        <v>45176</v>
      </c>
      <c r="I871" t="s">
        <v>32</v>
      </c>
      <c r="J871" t="s">
        <v>907</v>
      </c>
      <c r="K871" t="s">
        <v>29</v>
      </c>
    </row>
    <row r="872" spans="1:11">
      <c r="A872" t="s">
        <v>45</v>
      </c>
      <c r="B872" t="s">
        <v>19</v>
      </c>
      <c r="C872" t="s">
        <v>25</v>
      </c>
      <c r="D872" t="s">
        <v>21</v>
      </c>
      <c r="E872">
        <v>30</v>
      </c>
      <c r="F872">
        <v>509</v>
      </c>
      <c r="G872" s="1">
        <v>10346</v>
      </c>
      <c r="H872" s="2">
        <v>45369</v>
      </c>
      <c r="I872" t="s">
        <v>27</v>
      </c>
      <c r="J872" t="s">
        <v>908</v>
      </c>
      <c r="K872" t="s">
        <v>34</v>
      </c>
    </row>
    <row r="873" spans="1:11">
      <c r="A873" t="s">
        <v>45</v>
      </c>
      <c r="B873" t="s">
        <v>49</v>
      </c>
      <c r="C873" t="s">
        <v>30</v>
      </c>
      <c r="D873" t="s">
        <v>31</v>
      </c>
      <c r="E873">
        <v>60</v>
      </c>
      <c r="F873">
        <v>1543</v>
      </c>
      <c r="G873" s="1">
        <v>28043</v>
      </c>
      <c r="H873" s="2">
        <v>45367</v>
      </c>
      <c r="I873" t="s">
        <v>16</v>
      </c>
      <c r="J873" t="s">
        <v>909</v>
      </c>
      <c r="K873" t="s">
        <v>47</v>
      </c>
    </row>
    <row r="874" spans="1:11">
      <c r="A874" t="s">
        <v>35</v>
      </c>
      <c r="B874" t="s">
        <v>36</v>
      </c>
      <c r="C874" t="s">
        <v>20</v>
      </c>
      <c r="D874" t="s">
        <v>66</v>
      </c>
      <c r="E874" t="s">
        <v>22</v>
      </c>
      <c r="F874">
        <v>517</v>
      </c>
      <c r="G874" s="1">
        <v>39197</v>
      </c>
      <c r="H874" s="2">
        <v>45294</v>
      </c>
      <c r="I874" t="s">
        <v>16</v>
      </c>
      <c r="J874" t="s">
        <v>910</v>
      </c>
      <c r="K874" t="s">
        <v>29</v>
      </c>
    </row>
    <row r="875" spans="1:11">
      <c r="A875" t="s">
        <v>24</v>
      </c>
      <c r="B875" t="s">
        <v>19</v>
      </c>
      <c r="C875" t="s">
        <v>59</v>
      </c>
      <c r="D875" t="s">
        <v>26</v>
      </c>
      <c r="E875">
        <v>60</v>
      </c>
      <c r="F875">
        <v>938</v>
      </c>
      <c r="G875" s="1">
        <v>27950</v>
      </c>
      <c r="H875" s="2">
        <v>45304</v>
      </c>
      <c r="I875" t="s">
        <v>32</v>
      </c>
      <c r="J875" t="s">
        <v>911</v>
      </c>
      <c r="K875" t="s">
        <v>18</v>
      </c>
    </row>
    <row r="876" spans="1:11">
      <c r="A876" t="s">
        <v>11</v>
      </c>
      <c r="B876" t="s">
        <v>51</v>
      </c>
      <c r="C876" t="s">
        <v>13</v>
      </c>
      <c r="D876" t="s">
        <v>26</v>
      </c>
      <c r="E876">
        <v>60</v>
      </c>
      <c r="F876">
        <v>1468</v>
      </c>
      <c r="G876" s="1">
        <v>33405</v>
      </c>
      <c r="H876" s="2">
        <v>45419</v>
      </c>
      <c r="I876" t="s">
        <v>39</v>
      </c>
      <c r="J876" t="s">
        <v>912</v>
      </c>
      <c r="K876" t="s">
        <v>34</v>
      </c>
    </row>
    <row r="877" spans="1:11">
      <c r="A877" t="s">
        <v>24</v>
      </c>
      <c r="B877" t="s">
        <v>51</v>
      </c>
      <c r="C877" t="s">
        <v>13</v>
      </c>
      <c r="D877" t="s">
        <v>14</v>
      </c>
      <c r="E877" t="s">
        <v>22</v>
      </c>
      <c r="F877">
        <v>1397</v>
      </c>
      <c r="G877" s="1">
        <v>14728</v>
      </c>
      <c r="H877" s="2">
        <v>45350</v>
      </c>
      <c r="I877" t="s">
        <v>27</v>
      </c>
      <c r="J877" t="s">
        <v>913</v>
      </c>
      <c r="K877" t="s">
        <v>44</v>
      </c>
    </row>
    <row r="878" spans="1:11">
      <c r="A878" t="s">
        <v>64</v>
      </c>
      <c r="B878" t="s">
        <v>12</v>
      </c>
      <c r="C878" t="s">
        <v>20</v>
      </c>
      <c r="D878" t="s">
        <v>66</v>
      </c>
      <c r="E878" t="s">
        <v>38</v>
      </c>
      <c r="F878">
        <v>230</v>
      </c>
      <c r="G878" s="1">
        <v>44042</v>
      </c>
      <c r="H878" s="2">
        <v>45293</v>
      </c>
      <c r="I878" t="s">
        <v>41</v>
      </c>
      <c r="J878" t="s">
        <v>914</v>
      </c>
      <c r="K878" t="s">
        <v>44</v>
      </c>
    </row>
    <row r="879" spans="1:11">
      <c r="A879" t="s">
        <v>64</v>
      </c>
      <c r="B879" t="s">
        <v>12</v>
      </c>
      <c r="C879" t="s">
        <v>13</v>
      </c>
      <c r="D879" t="s">
        <v>14</v>
      </c>
      <c r="E879">
        <v>60</v>
      </c>
      <c r="F879">
        <v>498</v>
      </c>
      <c r="G879" s="1">
        <v>26954</v>
      </c>
      <c r="H879" s="2">
        <v>45165</v>
      </c>
      <c r="I879" t="s">
        <v>41</v>
      </c>
      <c r="J879" t="s">
        <v>915</v>
      </c>
      <c r="K879" t="s">
        <v>44</v>
      </c>
    </row>
    <row r="880" spans="1:11">
      <c r="A880" t="s">
        <v>35</v>
      </c>
      <c r="B880" t="s">
        <v>51</v>
      </c>
      <c r="C880" t="s">
        <v>20</v>
      </c>
      <c r="D880" t="s">
        <v>26</v>
      </c>
      <c r="E880" t="s">
        <v>22</v>
      </c>
      <c r="F880">
        <v>1501</v>
      </c>
      <c r="G880" s="1">
        <v>49128</v>
      </c>
      <c r="H880" s="2">
        <v>45230</v>
      </c>
      <c r="I880" t="s">
        <v>16</v>
      </c>
      <c r="J880" t="s">
        <v>916</v>
      </c>
      <c r="K880" t="s">
        <v>47</v>
      </c>
    </row>
    <row r="881" spans="1:11">
      <c r="A881" t="s">
        <v>11</v>
      </c>
      <c r="B881" t="s">
        <v>19</v>
      </c>
      <c r="C881" t="s">
        <v>59</v>
      </c>
      <c r="D881" t="s">
        <v>26</v>
      </c>
      <c r="E881">
        <v>30</v>
      </c>
      <c r="F881">
        <v>190</v>
      </c>
      <c r="G881" s="1">
        <v>40850</v>
      </c>
      <c r="H881" s="2">
        <v>45300</v>
      </c>
      <c r="I881" t="s">
        <v>32</v>
      </c>
      <c r="J881" t="s">
        <v>917</v>
      </c>
      <c r="K881" t="s">
        <v>47</v>
      </c>
    </row>
    <row r="882" spans="1:11">
      <c r="A882" t="s">
        <v>24</v>
      </c>
      <c r="B882" t="s">
        <v>49</v>
      </c>
      <c r="C882" t="s">
        <v>30</v>
      </c>
      <c r="D882" t="s">
        <v>31</v>
      </c>
      <c r="E882">
        <v>30</v>
      </c>
      <c r="F882">
        <v>1984</v>
      </c>
      <c r="G882" s="1">
        <v>49839</v>
      </c>
      <c r="H882" s="2">
        <v>45263</v>
      </c>
      <c r="I882" t="s">
        <v>39</v>
      </c>
      <c r="J882" t="s">
        <v>918</v>
      </c>
      <c r="K882" t="s">
        <v>18</v>
      </c>
    </row>
    <row r="883" spans="1:11">
      <c r="A883" t="s">
        <v>64</v>
      </c>
      <c r="B883" t="s">
        <v>49</v>
      </c>
      <c r="C883" t="s">
        <v>25</v>
      </c>
      <c r="D883" t="s">
        <v>21</v>
      </c>
      <c r="E883" t="s">
        <v>15</v>
      </c>
      <c r="F883">
        <v>1919</v>
      </c>
      <c r="G883" s="1">
        <v>29695</v>
      </c>
      <c r="H883" s="2">
        <v>45305</v>
      </c>
      <c r="I883" t="s">
        <v>16</v>
      </c>
      <c r="J883" t="s">
        <v>919</v>
      </c>
      <c r="K883" t="s">
        <v>44</v>
      </c>
    </row>
    <row r="884" spans="1:11">
      <c r="A884" t="s">
        <v>11</v>
      </c>
      <c r="B884" t="s">
        <v>51</v>
      </c>
      <c r="C884" t="s">
        <v>25</v>
      </c>
      <c r="D884" t="s">
        <v>21</v>
      </c>
      <c r="E884" t="s">
        <v>38</v>
      </c>
      <c r="F884">
        <v>655</v>
      </c>
      <c r="G884" s="1">
        <v>8141</v>
      </c>
      <c r="H884" s="2">
        <v>45458</v>
      </c>
      <c r="I884" t="s">
        <v>32</v>
      </c>
      <c r="J884" t="s">
        <v>920</v>
      </c>
      <c r="K884" t="s">
        <v>34</v>
      </c>
    </row>
    <row r="885" spans="1:11">
      <c r="A885" t="s">
        <v>64</v>
      </c>
      <c r="B885" t="s">
        <v>12</v>
      </c>
      <c r="C885" t="s">
        <v>20</v>
      </c>
      <c r="D885" t="s">
        <v>14</v>
      </c>
      <c r="E885">
        <v>30</v>
      </c>
      <c r="F885">
        <v>935</v>
      </c>
      <c r="G885" s="1">
        <v>46285</v>
      </c>
      <c r="H885" s="2">
        <v>45190</v>
      </c>
      <c r="I885" t="s">
        <v>32</v>
      </c>
      <c r="J885" t="s">
        <v>921</v>
      </c>
      <c r="K885" t="s">
        <v>47</v>
      </c>
    </row>
    <row r="886" spans="1:11">
      <c r="A886" t="s">
        <v>24</v>
      </c>
      <c r="B886" t="s">
        <v>12</v>
      </c>
      <c r="C886" t="s">
        <v>20</v>
      </c>
      <c r="D886" t="s">
        <v>26</v>
      </c>
      <c r="E886">
        <v>30</v>
      </c>
      <c r="F886">
        <v>1565</v>
      </c>
      <c r="G886" s="1">
        <v>13345</v>
      </c>
      <c r="H886" s="2">
        <v>45301</v>
      </c>
      <c r="I886" t="s">
        <v>27</v>
      </c>
      <c r="J886" t="s">
        <v>922</v>
      </c>
      <c r="K886" t="s">
        <v>44</v>
      </c>
    </row>
    <row r="887" spans="1:11">
      <c r="A887" t="s">
        <v>11</v>
      </c>
      <c r="B887" t="s">
        <v>49</v>
      </c>
      <c r="C887" t="s">
        <v>13</v>
      </c>
      <c r="D887" t="s">
        <v>14</v>
      </c>
      <c r="E887" t="s">
        <v>15</v>
      </c>
      <c r="F887">
        <v>769</v>
      </c>
      <c r="G887" s="1">
        <v>24713</v>
      </c>
      <c r="H887" s="2">
        <v>45165</v>
      </c>
      <c r="I887" t="s">
        <v>39</v>
      </c>
      <c r="J887" t="s">
        <v>923</v>
      </c>
      <c r="K887" t="s">
        <v>47</v>
      </c>
    </row>
    <row r="888" spans="1:11">
      <c r="A888" t="s">
        <v>24</v>
      </c>
      <c r="B888" t="s">
        <v>36</v>
      </c>
      <c r="C888" t="s">
        <v>25</v>
      </c>
      <c r="D888" t="s">
        <v>66</v>
      </c>
      <c r="E888" t="s">
        <v>38</v>
      </c>
      <c r="F888">
        <v>1624</v>
      </c>
      <c r="G888" s="1">
        <v>13764</v>
      </c>
      <c r="H888" s="2">
        <v>45180</v>
      </c>
      <c r="I888" t="s">
        <v>27</v>
      </c>
      <c r="J888" t="s">
        <v>924</v>
      </c>
      <c r="K888" t="s">
        <v>47</v>
      </c>
    </row>
    <row r="889" spans="1:11">
      <c r="A889" t="s">
        <v>45</v>
      </c>
      <c r="B889" t="s">
        <v>12</v>
      </c>
      <c r="C889" t="s">
        <v>59</v>
      </c>
      <c r="D889" t="s">
        <v>26</v>
      </c>
      <c r="E889">
        <v>60</v>
      </c>
      <c r="F889">
        <v>676</v>
      </c>
      <c r="G889" s="1">
        <v>35872</v>
      </c>
      <c r="H889" s="2">
        <v>45441</v>
      </c>
      <c r="I889" t="s">
        <v>39</v>
      </c>
      <c r="J889" t="s">
        <v>925</v>
      </c>
      <c r="K889" t="s">
        <v>44</v>
      </c>
    </row>
    <row r="890" spans="1:11">
      <c r="A890" t="s">
        <v>45</v>
      </c>
      <c r="B890" t="s">
        <v>49</v>
      </c>
      <c r="C890" t="s">
        <v>59</v>
      </c>
      <c r="D890" t="s">
        <v>26</v>
      </c>
      <c r="E890" t="s">
        <v>15</v>
      </c>
      <c r="F890">
        <v>906</v>
      </c>
      <c r="G890" s="1">
        <v>12431</v>
      </c>
      <c r="H890" s="2">
        <v>45352</v>
      </c>
      <c r="I890" t="s">
        <v>41</v>
      </c>
      <c r="J890" t="s">
        <v>926</v>
      </c>
      <c r="K890" t="s">
        <v>18</v>
      </c>
    </row>
    <row r="891" spans="1:11">
      <c r="A891" t="s">
        <v>45</v>
      </c>
      <c r="B891" t="s">
        <v>49</v>
      </c>
      <c r="C891" t="s">
        <v>20</v>
      </c>
      <c r="D891" t="s">
        <v>26</v>
      </c>
      <c r="E891" t="s">
        <v>38</v>
      </c>
      <c r="F891">
        <v>1870</v>
      </c>
      <c r="G891" s="1">
        <v>4688</v>
      </c>
      <c r="H891" s="2">
        <v>45366</v>
      </c>
      <c r="I891" t="s">
        <v>16</v>
      </c>
      <c r="J891" t="s">
        <v>927</v>
      </c>
      <c r="K891" t="s">
        <v>34</v>
      </c>
    </row>
    <row r="892" spans="1:11">
      <c r="A892" t="s">
        <v>45</v>
      </c>
      <c r="B892" t="s">
        <v>12</v>
      </c>
      <c r="C892" t="s">
        <v>25</v>
      </c>
      <c r="D892" t="s">
        <v>14</v>
      </c>
      <c r="E892" t="s">
        <v>15</v>
      </c>
      <c r="F892">
        <v>1810</v>
      </c>
      <c r="G892" s="1">
        <v>27443</v>
      </c>
      <c r="H892" s="2">
        <v>45151</v>
      </c>
      <c r="I892" t="s">
        <v>39</v>
      </c>
      <c r="J892" t="s">
        <v>928</v>
      </c>
      <c r="K892" t="s">
        <v>34</v>
      </c>
    </row>
    <row r="893" spans="1:11">
      <c r="A893" t="s">
        <v>11</v>
      </c>
      <c r="B893" t="s">
        <v>19</v>
      </c>
      <c r="C893" t="s">
        <v>25</v>
      </c>
      <c r="D893" t="s">
        <v>31</v>
      </c>
      <c r="E893">
        <v>60</v>
      </c>
      <c r="F893">
        <v>427</v>
      </c>
      <c r="G893" s="1">
        <v>8379</v>
      </c>
      <c r="H893" s="2">
        <v>45396</v>
      </c>
      <c r="I893" t="s">
        <v>41</v>
      </c>
      <c r="J893" t="s">
        <v>929</v>
      </c>
      <c r="K893" t="s">
        <v>18</v>
      </c>
    </row>
    <row r="894" spans="1:11">
      <c r="A894" t="s">
        <v>64</v>
      </c>
      <c r="B894" t="s">
        <v>19</v>
      </c>
      <c r="C894" t="s">
        <v>30</v>
      </c>
      <c r="D894" t="s">
        <v>26</v>
      </c>
      <c r="E894" t="s">
        <v>22</v>
      </c>
      <c r="F894">
        <v>1340</v>
      </c>
      <c r="G894" s="1">
        <v>32355</v>
      </c>
      <c r="H894" s="2">
        <v>45343</v>
      </c>
      <c r="I894" t="s">
        <v>41</v>
      </c>
      <c r="J894" t="s">
        <v>930</v>
      </c>
      <c r="K894" t="s">
        <v>34</v>
      </c>
    </row>
    <row r="895" spans="1:11">
      <c r="A895" t="s">
        <v>35</v>
      </c>
      <c r="B895" t="s">
        <v>36</v>
      </c>
      <c r="C895" t="s">
        <v>20</v>
      </c>
      <c r="D895" t="s">
        <v>26</v>
      </c>
      <c r="E895">
        <v>60</v>
      </c>
      <c r="F895">
        <v>1084</v>
      </c>
      <c r="G895" s="1">
        <v>40033</v>
      </c>
      <c r="H895" s="2">
        <v>45279</v>
      </c>
      <c r="I895" t="s">
        <v>41</v>
      </c>
      <c r="J895" t="s">
        <v>931</v>
      </c>
      <c r="K895" t="s">
        <v>18</v>
      </c>
    </row>
    <row r="896" spans="1:11">
      <c r="A896" t="s">
        <v>35</v>
      </c>
      <c r="B896" t="s">
        <v>12</v>
      </c>
      <c r="C896" t="s">
        <v>25</v>
      </c>
      <c r="D896" t="s">
        <v>21</v>
      </c>
      <c r="E896">
        <v>60</v>
      </c>
      <c r="F896">
        <v>1441</v>
      </c>
      <c r="G896" s="1">
        <v>5001</v>
      </c>
      <c r="H896" s="2">
        <v>45338</v>
      </c>
      <c r="I896" t="s">
        <v>27</v>
      </c>
      <c r="J896" t="s">
        <v>932</v>
      </c>
      <c r="K896" t="s">
        <v>44</v>
      </c>
    </row>
    <row r="897" spans="1:11">
      <c r="A897" t="s">
        <v>24</v>
      </c>
      <c r="B897" t="s">
        <v>19</v>
      </c>
      <c r="C897" t="s">
        <v>20</v>
      </c>
      <c r="D897" t="s">
        <v>21</v>
      </c>
      <c r="E897" t="s">
        <v>22</v>
      </c>
      <c r="F897">
        <v>1440</v>
      </c>
      <c r="G897" s="1">
        <v>35398</v>
      </c>
      <c r="H897" s="2">
        <v>45501</v>
      </c>
      <c r="I897" t="s">
        <v>16</v>
      </c>
      <c r="J897" t="s">
        <v>933</v>
      </c>
      <c r="K897" t="s">
        <v>34</v>
      </c>
    </row>
    <row r="898" spans="1:11">
      <c r="A898" t="s">
        <v>45</v>
      </c>
      <c r="B898" t="s">
        <v>51</v>
      </c>
      <c r="C898" t="s">
        <v>59</v>
      </c>
      <c r="D898" t="s">
        <v>14</v>
      </c>
      <c r="E898" t="s">
        <v>22</v>
      </c>
      <c r="F898">
        <v>891</v>
      </c>
      <c r="G898" s="1">
        <v>27927</v>
      </c>
      <c r="H898" s="2">
        <v>45211</v>
      </c>
      <c r="I898" t="s">
        <v>41</v>
      </c>
      <c r="J898" t="s">
        <v>934</v>
      </c>
      <c r="K898" t="s">
        <v>18</v>
      </c>
    </row>
    <row r="899" spans="1:11">
      <c r="A899" t="s">
        <v>45</v>
      </c>
      <c r="B899" t="s">
        <v>19</v>
      </c>
      <c r="C899" t="s">
        <v>20</v>
      </c>
      <c r="D899" t="s">
        <v>14</v>
      </c>
      <c r="E899">
        <v>30</v>
      </c>
      <c r="F899">
        <v>1718</v>
      </c>
      <c r="G899" s="1">
        <v>27940</v>
      </c>
      <c r="H899" s="2">
        <v>45175</v>
      </c>
      <c r="I899" t="s">
        <v>27</v>
      </c>
      <c r="J899" t="s">
        <v>935</v>
      </c>
      <c r="K899" t="s">
        <v>18</v>
      </c>
    </row>
    <row r="900" spans="1:11">
      <c r="A900" t="s">
        <v>64</v>
      </c>
      <c r="B900" t="s">
        <v>19</v>
      </c>
      <c r="C900" t="s">
        <v>20</v>
      </c>
      <c r="D900" t="s">
        <v>26</v>
      </c>
      <c r="E900" t="s">
        <v>15</v>
      </c>
      <c r="F900">
        <v>1367</v>
      </c>
      <c r="G900" s="1">
        <v>45734</v>
      </c>
      <c r="H900" s="2">
        <v>45307</v>
      </c>
      <c r="I900" t="s">
        <v>16</v>
      </c>
      <c r="J900" t="s">
        <v>936</v>
      </c>
      <c r="K900" t="s">
        <v>34</v>
      </c>
    </row>
    <row r="901" spans="1:11">
      <c r="A901" t="s">
        <v>45</v>
      </c>
      <c r="B901" t="s">
        <v>49</v>
      </c>
      <c r="C901" t="s">
        <v>30</v>
      </c>
      <c r="D901" t="s">
        <v>14</v>
      </c>
      <c r="E901" t="s">
        <v>22</v>
      </c>
      <c r="F901">
        <v>1899</v>
      </c>
      <c r="G901" s="1">
        <v>19924</v>
      </c>
      <c r="H901" s="2">
        <v>45186</v>
      </c>
      <c r="I901" t="s">
        <v>32</v>
      </c>
      <c r="J901" t="s">
        <v>937</v>
      </c>
      <c r="K901" t="s">
        <v>18</v>
      </c>
    </row>
    <row r="902" spans="1:11">
      <c r="A902" t="s">
        <v>24</v>
      </c>
      <c r="B902" t="s">
        <v>49</v>
      </c>
      <c r="C902" t="s">
        <v>13</v>
      </c>
      <c r="D902" t="s">
        <v>21</v>
      </c>
      <c r="E902" t="s">
        <v>22</v>
      </c>
      <c r="F902">
        <v>824</v>
      </c>
      <c r="G902" s="1">
        <v>49294</v>
      </c>
      <c r="H902" s="2">
        <v>45283</v>
      </c>
      <c r="I902" t="s">
        <v>41</v>
      </c>
      <c r="J902" t="s">
        <v>938</v>
      </c>
      <c r="K902" t="s">
        <v>18</v>
      </c>
    </row>
    <row r="903" spans="1:11">
      <c r="A903" t="s">
        <v>45</v>
      </c>
      <c r="B903" t="s">
        <v>12</v>
      </c>
      <c r="C903" t="s">
        <v>20</v>
      </c>
      <c r="D903" t="s">
        <v>66</v>
      </c>
      <c r="E903" t="s">
        <v>22</v>
      </c>
      <c r="F903">
        <v>1964</v>
      </c>
      <c r="G903" s="1">
        <v>33741</v>
      </c>
      <c r="H903" s="2">
        <v>45494</v>
      </c>
      <c r="I903" t="s">
        <v>41</v>
      </c>
      <c r="J903" t="s">
        <v>939</v>
      </c>
      <c r="K903" t="s">
        <v>44</v>
      </c>
    </row>
    <row r="904" spans="1:11">
      <c r="A904" t="s">
        <v>11</v>
      </c>
      <c r="B904" t="s">
        <v>12</v>
      </c>
      <c r="C904" t="s">
        <v>13</v>
      </c>
      <c r="D904" t="s">
        <v>26</v>
      </c>
      <c r="E904" t="s">
        <v>15</v>
      </c>
      <c r="F904">
        <v>1091</v>
      </c>
      <c r="G904" s="1">
        <v>46316</v>
      </c>
      <c r="H904" s="2">
        <v>45403</v>
      </c>
      <c r="I904" t="s">
        <v>32</v>
      </c>
      <c r="J904" t="s">
        <v>940</v>
      </c>
      <c r="K904" t="s">
        <v>18</v>
      </c>
    </row>
    <row r="905" spans="1:11">
      <c r="A905" t="s">
        <v>45</v>
      </c>
      <c r="B905" t="s">
        <v>51</v>
      </c>
      <c r="C905" t="s">
        <v>13</v>
      </c>
      <c r="D905" t="s">
        <v>14</v>
      </c>
      <c r="E905" t="s">
        <v>38</v>
      </c>
      <c r="F905">
        <v>247</v>
      </c>
      <c r="G905" s="1">
        <v>35441</v>
      </c>
      <c r="H905" s="2">
        <v>45206</v>
      </c>
      <c r="I905" t="s">
        <v>16</v>
      </c>
      <c r="J905" t="s">
        <v>941</v>
      </c>
      <c r="K905" t="s">
        <v>44</v>
      </c>
    </row>
    <row r="906" spans="1:11">
      <c r="A906" t="s">
        <v>64</v>
      </c>
      <c r="B906" t="s">
        <v>36</v>
      </c>
      <c r="C906" t="s">
        <v>25</v>
      </c>
      <c r="D906" t="s">
        <v>14</v>
      </c>
      <c r="E906">
        <v>60</v>
      </c>
      <c r="F906">
        <v>1598</v>
      </c>
      <c r="G906" s="1">
        <v>4074</v>
      </c>
      <c r="H906" s="2">
        <v>45156</v>
      </c>
      <c r="I906" t="s">
        <v>39</v>
      </c>
      <c r="J906" t="s">
        <v>942</v>
      </c>
      <c r="K906" t="s">
        <v>29</v>
      </c>
    </row>
    <row r="907" spans="1:11">
      <c r="A907" t="s">
        <v>45</v>
      </c>
      <c r="B907" t="s">
        <v>19</v>
      </c>
      <c r="C907" t="s">
        <v>25</v>
      </c>
      <c r="D907" t="s">
        <v>26</v>
      </c>
      <c r="E907" t="s">
        <v>15</v>
      </c>
      <c r="F907">
        <v>679</v>
      </c>
      <c r="G907" s="1">
        <v>22164</v>
      </c>
      <c r="H907" s="2">
        <v>45242</v>
      </c>
      <c r="I907" t="s">
        <v>27</v>
      </c>
      <c r="J907" t="s">
        <v>943</v>
      </c>
      <c r="K907" t="s">
        <v>34</v>
      </c>
    </row>
    <row r="908" spans="1:11">
      <c r="A908" t="s">
        <v>24</v>
      </c>
      <c r="B908" t="s">
        <v>36</v>
      </c>
      <c r="C908" t="s">
        <v>30</v>
      </c>
      <c r="D908" t="s">
        <v>66</v>
      </c>
      <c r="E908">
        <v>30</v>
      </c>
      <c r="F908">
        <v>1521</v>
      </c>
      <c r="G908" s="1">
        <v>35865</v>
      </c>
      <c r="H908" s="2">
        <v>45344</v>
      </c>
      <c r="I908" t="s">
        <v>39</v>
      </c>
      <c r="J908" t="s">
        <v>944</v>
      </c>
      <c r="K908" t="s">
        <v>18</v>
      </c>
    </row>
    <row r="909" spans="1:11">
      <c r="A909" t="s">
        <v>35</v>
      </c>
      <c r="B909" t="s">
        <v>12</v>
      </c>
      <c r="C909" t="s">
        <v>13</v>
      </c>
      <c r="D909" t="s">
        <v>66</v>
      </c>
      <c r="E909">
        <v>60</v>
      </c>
      <c r="F909">
        <v>347</v>
      </c>
      <c r="G909" s="1">
        <v>25965</v>
      </c>
      <c r="H909" s="2">
        <v>45422</v>
      </c>
      <c r="I909" t="s">
        <v>27</v>
      </c>
      <c r="J909" t="s">
        <v>945</v>
      </c>
      <c r="K909" t="s">
        <v>18</v>
      </c>
    </row>
    <row r="910" spans="1:11">
      <c r="A910" t="s">
        <v>45</v>
      </c>
      <c r="B910" t="s">
        <v>49</v>
      </c>
      <c r="C910" t="s">
        <v>30</v>
      </c>
      <c r="D910" t="s">
        <v>31</v>
      </c>
      <c r="E910" t="s">
        <v>22</v>
      </c>
      <c r="F910">
        <v>740</v>
      </c>
      <c r="G910" s="1">
        <v>37678</v>
      </c>
      <c r="H910" s="2">
        <v>45473</v>
      </c>
      <c r="I910" t="s">
        <v>32</v>
      </c>
      <c r="J910" t="s">
        <v>946</v>
      </c>
      <c r="K910" t="s">
        <v>18</v>
      </c>
    </row>
    <row r="911" spans="1:11">
      <c r="A911" t="s">
        <v>11</v>
      </c>
      <c r="B911" t="s">
        <v>36</v>
      </c>
      <c r="C911" t="s">
        <v>13</v>
      </c>
      <c r="D911" t="s">
        <v>14</v>
      </c>
      <c r="E911">
        <v>60</v>
      </c>
      <c r="F911">
        <v>872</v>
      </c>
      <c r="G911" s="1">
        <v>10189</v>
      </c>
      <c r="H911" s="2">
        <v>45362</v>
      </c>
      <c r="I911" t="s">
        <v>32</v>
      </c>
      <c r="J911" t="s">
        <v>947</v>
      </c>
      <c r="K911" t="s">
        <v>44</v>
      </c>
    </row>
    <row r="912" spans="1:11">
      <c r="A912" t="s">
        <v>24</v>
      </c>
      <c r="B912" t="s">
        <v>49</v>
      </c>
      <c r="C912" t="s">
        <v>20</v>
      </c>
      <c r="D912" t="s">
        <v>31</v>
      </c>
      <c r="E912" t="s">
        <v>38</v>
      </c>
      <c r="F912">
        <v>449</v>
      </c>
      <c r="G912" s="1">
        <v>18843</v>
      </c>
      <c r="H912" s="2">
        <v>45406</v>
      </c>
      <c r="I912" t="s">
        <v>16</v>
      </c>
      <c r="J912" t="s">
        <v>948</v>
      </c>
      <c r="K912" t="s">
        <v>34</v>
      </c>
    </row>
    <row r="913" spans="1:11">
      <c r="A913" t="s">
        <v>11</v>
      </c>
      <c r="B913" t="s">
        <v>51</v>
      </c>
      <c r="C913" t="s">
        <v>59</v>
      </c>
      <c r="D913" t="s">
        <v>21</v>
      </c>
      <c r="E913" t="s">
        <v>22</v>
      </c>
      <c r="F913">
        <v>1835</v>
      </c>
      <c r="G913" s="1">
        <v>37032</v>
      </c>
      <c r="H913" s="2">
        <v>45468</v>
      </c>
      <c r="I913" t="s">
        <v>16</v>
      </c>
      <c r="J913" t="s">
        <v>949</v>
      </c>
      <c r="K913" t="s">
        <v>18</v>
      </c>
    </row>
    <row r="914" spans="1:11">
      <c r="A914" t="s">
        <v>11</v>
      </c>
      <c r="B914" t="s">
        <v>49</v>
      </c>
      <c r="C914" t="s">
        <v>20</v>
      </c>
      <c r="D914" t="s">
        <v>31</v>
      </c>
      <c r="E914">
        <v>30</v>
      </c>
      <c r="F914">
        <v>413</v>
      </c>
      <c r="G914" s="1">
        <v>38333</v>
      </c>
      <c r="H914" s="2">
        <v>45456</v>
      </c>
      <c r="I914" t="s">
        <v>39</v>
      </c>
      <c r="J914" t="s">
        <v>950</v>
      </c>
      <c r="K914" t="s">
        <v>18</v>
      </c>
    </row>
    <row r="915" spans="1:11">
      <c r="A915" t="s">
        <v>64</v>
      </c>
      <c r="B915" t="s">
        <v>36</v>
      </c>
      <c r="C915" t="s">
        <v>59</v>
      </c>
      <c r="D915" t="s">
        <v>21</v>
      </c>
      <c r="E915">
        <v>30</v>
      </c>
      <c r="F915">
        <v>913</v>
      </c>
      <c r="G915" s="1">
        <v>42870</v>
      </c>
      <c r="H915" s="2">
        <v>45186</v>
      </c>
      <c r="I915" t="s">
        <v>41</v>
      </c>
      <c r="J915" t="s">
        <v>951</v>
      </c>
      <c r="K915" t="s">
        <v>18</v>
      </c>
    </row>
    <row r="916" spans="1:11">
      <c r="A916" t="s">
        <v>35</v>
      </c>
      <c r="B916" t="s">
        <v>51</v>
      </c>
      <c r="C916" t="s">
        <v>20</v>
      </c>
      <c r="D916" t="s">
        <v>66</v>
      </c>
      <c r="E916" t="s">
        <v>22</v>
      </c>
      <c r="F916">
        <v>1075</v>
      </c>
      <c r="G916" s="1">
        <v>45857</v>
      </c>
      <c r="H916" s="2">
        <v>45355</v>
      </c>
      <c r="I916" t="s">
        <v>32</v>
      </c>
      <c r="J916" t="s">
        <v>952</v>
      </c>
      <c r="K916" t="s">
        <v>47</v>
      </c>
    </row>
    <row r="917" spans="1:11">
      <c r="A917" t="s">
        <v>64</v>
      </c>
      <c r="B917" t="s">
        <v>19</v>
      </c>
      <c r="C917" t="s">
        <v>59</v>
      </c>
      <c r="D917" t="s">
        <v>31</v>
      </c>
      <c r="E917">
        <v>30</v>
      </c>
      <c r="F917">
        <v>1600</v>
      </c>
      <c r="G917" s="1">
        <v>21517</v>
      </c>
      <c r="H917" s="2">
        <v>45465</v>
      </c>
      <c r="I917" t="s">
        <v>16</v>
      </c>
      <c r="J917" t="s">
        <v>953</v>
      </c>
      <c r="K917" t="s">
        <v>29</v>
      </c>
    </row>
    <row r="918" spans="1:11">
      <c r="A918" t="s">
        <v>11</v>
      </c>
      <c r="B918" t="s">
        <v>12</v>
      </c>
      <c r="C918" t="s">
        <v>30</v>
      </c>
      <c r="D918" t="s">
        <v>66</v>
      </c>
      <c r="E918" t="s">
        <v>38</v>
      </c>
      <c r="F918">
        <v>576</v>
      </c>
      <c r="G918" s="1">
        <v>40961</v>
      </c>
      <c r="H918" s="2">
        <v>45279</v>
      </c>
      <c r="I918" t="s">
        <v>32</v>
      </c>
      <c r="J918" t="s">
        <v>954</v>
      </c>
      <c r="K918" t="s">
        <v>47</v>
      </c>
    </row>
    <row r="919" spans="1:11">
      <c r="A919" t="s">
        <v>45</v>
      </c>
      <c r="B919" t="s">
        <v>36</v>
      </c>
      <c r="C919" t="s">
        <v>59</v>
      </c>
      <c r="D919" t="s">
        <v>14</v>
      </c>
      <c r="E919">
        <v>30</v>
      </c>
      <c r="F919">
        <v>1265</v>
      </c>
      <c r="G919" s="1">
        <v>32484</v>
      </c>
      <c r="H919" s="2">
        <v>45273</v>
      </c>
      <c r="I919" t="s">
        <v>27</v>
      </c>
      <c r="J919" t="s">
        <v>955</v>
      </c>
      <c r="K919" t="s">
        <v>34</v>
      </c>
    </row>
    <row r="920" spans="1:11">
      <c r="A920" t="s">
        <v>45</v>
      </c>
      <c r="B920" t="s">
        <v>36</v>
      </c>
      <c r="C920" t="s">
        <v>20</v>
      </c>
      <c r="D920" t="s">
        <v>14</v>
      </c>
      <c r="E920" t="s">
        <v>38</v>
      </c>
      <c r="F920">
        <v>529</v>
      </c>
      <c r="G920" s="1">
        <v>6114</v>
      </c>
      <c r="H920" s="2">
        <v>45473</v>
      </c>
      <c r="I920" t="s">
        <v>27</v>
      </c>
      <c r="J920" t="s">
        <v>956</v>
      </c>
      <c r="K920" t="s">
        <v>34</v>
      </c>
    </row>
    <row r="921" spans="1:11">
      <c r="A921" t="s">
        <v>45</v>
      </c>
      <c r="B921" t="s">
        <v>36</v>
      </c>
      <c r="C921" t="s">
        <v>59</v>
      </c>
      <c r="D921" t="s">
        <v>21</v>
      </c>
      <c r="E921" t="s">
        <v>22</v>
      </c>
      <c r="F921">
        <v>424</v>
      </c>
      <c r="G921" s="1">
        <v>36660</v>
      </c>
      <c r="H921" s="2">
        <v>45245</v>
      </c>
      <c r="I921" t="s">
        <v>41</v>
      </c>
      <c r="J921" t="s">
        <v>957</v>
      </c>
      <c r="K921" t="s">
        <v>34</v>
      </c>
    </row>
    <row r="922" spans="1:11">
      <c r="A922" t="s">
        <v>45</v>
      </c>
      <c r="B922" t="s">
        <v>51</v>
      </c>
      <c r="C922" t="s">
        <v>30</v>
      </c>
      <c r="D922" t="s">
        <v>26</v>
      </c>
      <c r="E922">
        <v>60</v>
      </c>
      <c r="F922">
        <v>1902</v>
      </c>
      <c r="G922" s="1">
        <v>4193</v>
      </c>
      <c r="H922" s="2">
        <v>45340</v>
      </c>
      <c r="I922" t="s">
        <v>32</v>
      </c>
      <c r="J922" t="s">
        <v>958</v>
      </c>
      <c r="K922" t="s">
        <v>44</v>
      </c>
    </row>
    <row r="923" spans="1:11">
      <c r="A923" t="s">
        <v>45</v>
      </c>
      <c r="B923" t="s">
        <v>12</v>
      </c>
      <c r="C923" t="s">
        <v>30</v>
      </c>
      <c r="D923" t="s">
        <v>14</v>
      </c>
      <c r="E923">
        <v>60</v>
      </c>
      <c r="F923">
        <v>1560</v>
      </c>
      <c r="G923" s="1">
        <v>33167</v>
      </c>
      <c r="H923" s="2">
        <v>45296</v>
      </c>
      <c r="I923" t="s">
        <v>32</v>
      </c>
      <c r="J923" t="s">
        <v>959</v>
      </c>
      <c r="K923" t="s">
        <v>34</v>
      </c>
    </row>
    <row r="924" spans="1:11">
      <c r="A924" t="s">
        <v>24</v>
      </c>
      <c r="B924" t="s">
        <v>51</v>
      </c>
      <c r="C924" t="s">
        <v>25</v>
      </c>
      <c r="D924" t="s">
        <v>31</v>
      </c>
      <c r="E924">
        <v>60</v>
      </c>
      <c r="F924">
        <v>375</v>
      </c>
      <c r="G924" s="1">
        <v>13847</v>
      </c>
      <c r="H924" s="2">
        <v>45180</v>
      </c>
      <c r="I924" t="s">
        <v>16</v>
      </c>
      <c r="J924" t="s">
        <v>960</v>
      </c>
      <c r="K924" t="s">
        <v>18</v>
      </c>
    </row>
    <row r="925" spans="1:11">
      <c r="A925" t="s">
        <v>35</v>
      </c>
      <c r="B925" t="s">
        <v>19</v>
      </c>
      <c r="C925" t="s">
        <v>20</v>
      </c>
      <c r="D925" t="s">
        <v>31</v>
      </c>
      <c r="E925" t="s">
        <v>38</v>
      </c>
      <c r="F925">
        <v>1663</v>
      </c>
      <c r="G925" s="1">
        <v>47873</v>
      </c>
      <c r="H925" s="2">
        <v>45394</v>
      </c>
      <c r="I925" t="s">
        <v>41</v>
      </c>
      <c r="J925" t="s">
        <v>961</v>
      </c>
      <c r="K925" t="s">
        <v>18</v>
      </c>
    </row>
    <row r="926" spans="1:11">
      <c r="A926" t="s">
        <v>64</v>
      </c>
      <c r="B926" t="s">
        <v>12</v>
      </c>
      <c r="C926" t="s">
        <v>20</v>
      </c>
      <c r="D926" t="s">
        <v>14</v>
      </c>
      <c r="E926" t="s">
        <v>22</v>
      </c>
      <c r="F926">
        <v>997</v>
      </c>
      <c r="G926" s="1">
        <v>34888</v>
      </c>
      <c r="H926" s="2">
        <v>45406</v>
      </c>
      <c r="I926" t="s">
        <v>39</v>
      </c>
      <c r="J926" t="s">
        <v>962</v>
      </c>
      <c r="K926" t="s">
        <v>44</v>
      </c>
    </row>
    <row r="927" spans="1:11">
      <c r="A927" t="s">
        <v>45</v>
      </c>
      <c r="B927" t="s">
        <v>12</v>
      </c>
      <c r="C927" t="s">
        <v>13</v>
      </c>
      <c r="D927" t="s">
        <v>31</v>
      </c>
      <c r="E927">
        <v>60</v>
      </c>
      <c r="F927">
        <v>1718</v>
      </c>
      <c r="G927" s="1">
        <v>35098</v>
      </c>
      <c r="H927" s="2">
        <v>45239</v>
      </c>
      <c r="I927" t="s">
        <v>16</v>
      </c>
      <c r="J927" t="s">
        <v>963</v>
      </c>
      <c r="K927" t="s">
        <v>34</v>
      </c>
    </row>
    <row r="928" spans="1:11">
      <c r="A928" t="s">
        <v>24</v>
      </c>
      <c r="B928" t="s">
        <v>49</v>
      </c>
      <c r="C928" t="s">
        <v>30</v>
      </c>
      <c r="D928" t="s">
        <v>66</v>
      </c>
      <c r="E928" t="s">
        <v>38</v>
      </c>
      <c r="F928">
        <v>324</v>
      </c>
      <c r="G928" s="1">
        <v>15547</v>
      </c>
      <c r="H928" s="2">
        <v>45336</v>
      </c>
      <c r="I928" t="s">
        <v>16</v>
      </c>
      <c r="J928" t="s">
        <v>964</v>
      </c>
      <c r="K928" t="s">
        <v>47</v>
      </c>
    </row>
    <row r="929" spans="1:11">
      <c r="A929" t="s">
        <v>45</v>
      </c>
      <c r="B929" t="s">
        <v>12</v>
      </c>
      <c r="C929" t="s">
        <v>13</v>
      </c>
      <c r="D929" t="s">
        <v>21</v>
      </c>
      <c r="E929">
        <v>60</v>
      </c>
      <c r="F929">
        <v>1929</v>
      </c>
      <c r="G929" s="1">
        <v>15465</v>
      </c>
      <c r="H929" s="2">
        <v>45491</v>
      </c>
      <c r="I929" t="s">
        <v>32</v>
      </c>
      <c r="J929" t="s">
        <v>965</v>
      </c>
      <c r="K929" t="s">
        <v>18</v>
      </c>
    </row>
    <row r="930" spans="1:11">
      <c r="A930" t="s">
        <v>64</v>
      </c>
      <c r="B930" t="s">
        <v>51</v>
      </c>
      <c r="C930" t="s">
        <v>30</v>
      </c>
      <c r="D930" t="s">
        <v>14</v>
      </c>
      <c r="E930" t="s">
        <v>38</v>
      </c>
      <c r="F930">
        <v>1206</v>
      </c>
      <c r="G930" s="1">
        <v>44930</v>
      </c>
      <c r="H930" s="2">
        <v>45326</v>
      </c>
      <c r="I930" t="s">
        <v>27</v>
      </c>
      <c r="J930" t="s">
        <v>966</v>
      </c>
      <c r="K930" t="s">
        <v>44</v>
      </c>
    </row>
    <row r="931" spans="1:11">
      <c r="A931" t="s">
        <v>64</v>
      </c>
      <c r="B931" t="s">
        <v>19</v>
      </c>
      <c r="C931" t="s">
        <v>25</v>
      </c>
      <c r="D931" t="s">
        <v>31</v>
      </c>
      <c r="E931">
        <v>60</v>
      </c>
      <c r="F931">
        <v>1937</v>
      </c>
      <c r="G931" s="1">
        <v>16796</v>
      </c>
      <c r="H931" s="2">
        <v>45309</v>
      </c>
      <c r="I931" t="s">
        <v>39</v>
      </c>
      <c r="J931" t="s">
        <v>967</v>
      </c>
      <c r="K931" t="s">
        <v>29</v>
      </c>
    </row>
    <row r="932" spans="1:11">
      <c r="A932" t="s">
        <v>64</v>
      </c>
      <c r="B932" t="s">
        <v>51</v>
      </c>
      <c r="C932" t="s">
        <v>20</v>
      </c>
      <c r="D932" t="s">
        <v>26</v>
      </c>
      <c r="E932" t="s">
        <v>22</v>
      </c>
      <c r="F932">
        <v>1705</v>
      </c>
      <c r="G932" s="1">
        <v>9606</v>
      </c>
      <c r="H932" s="2">
        <v>45260</v>
      </c>
      <c r="I932" t="s">
        <v>32</v>
      </c>
      <c r="J932" t="s">
        <v>968</v>
      </c>
      <c r="K932" t="s">
        <v>47</v>
      </c>
    </row>
    <row r="933" spans="1:11">
      <c r="A933" t="s">
        <v>35</v>
      </c>
      <c r="B933" t="s">
        <v>19</v>
      </c>
      <c r="C933" t="s">
        <v>20</v>
      </c>
      <c r="D933" t="s">
        <v>66</v>
      </c>
      <c r="E933" t="s">
        <v>22</v>
      </c>
      <c r="F933">
        <v>938</v>
      </c>
      <c r="G933" s="1">
        <v>21278</v>
      </c>
      <c r="H933" s="2">
        <v>45136</v>
      </c>
      <c r="I933" t="s">
        <v>16</v>
      </c>
      <c r="J933" t="s">
        <v>969</v>
      </c>
      <c r="K933" t="s">
        <v>34</v>
      </c>
    </row>
    <row r="934" spans="1:11">
      <c r="A934" t="s">
        <v>11</v>
      </c>
      <c r="B934" t="s">
        <v>36</v>
      </c>
      <c r="C934" t="s">
        <v>13</v>
      </c>
      <c r="D934" t="s">
        <v>26</v>
      </c>
      <c r="E934" t="s">
        <v>22</v>
      </c>
      <c r="F934">
        <v>1566</v>
      </c>
      <c r="G934" s="1">
        <v>25494</v>
      </c>
      <c r="H934" s="2">
        <v>45167</v>
      </c>
      <c r="I934" t="s">
        <v>16</v>
      </c>
      <c r="J934" t="s">
        <v>970</v>
      </c>
      <c r="K934" t="s">
        <v>44</v>
      </c>
    </row>
    <row r="935" spans="1:11">
      <c r="A935" t="s">
        <v>64</v>
      </c>
      <c r="B935" t="s">
        <v>19</v>
      </c>
      <c r="C935" t="s">
        <v>30</v>
      </c>
      <c r="D935" t="s">
        <v>26</v>
      </c>
      <c r="E935">
        <v>30</v>
      </c>
      <c r="F935">
        <v>1644</v>
      </c>
      <c r="G935" s="1">
        <v>23908</v>
      </c>
      <c r="H935" s="2">
        <v>45286</v>
      </c>
      <c r="I935" t="s">
        <v>16</v>
      </c>
      <c r="J935" t="s">
        <v>971</v>
      </c>
      <c r="K935" t="s">
        <v>47</v>
      </c>
    </row>
    <row r="936" spans="1:11">
      <c r="A936" t="s">
        <v>11</v>
      </c>
      <c r="B936" t="s">
        <v>36</v>
      </c>
      <c r="C936" t="s">
        <v>30</v>
      </c>
      <c r="D936" t="s">
        <v>31</v>
      </c>
      <c r="E936">
        <v>30</v>
      </c>
      <c r="F936">
        <v>765</v>
      </c>
      <c r="G936" s="1">
        <v>37749</v>
      </c>
      <c r="H936" s="2">
        <v>45243</v>
      </c>
      <c r="I936" t="s">
        <v>16</v>
      </c>
      <c r="J936" t="s">
        <v>972</v>
      </c>
      <c r="K936" t="s">
        <v>34</v>
      </c>
    </row>
    <row r="937" spans="1:11">
      <c r="A937" t="s">
        <v>64</v>
      </c>
      <c r="B937" t="s">
        <v>51</v>
      </c>
      <c r="C937" t="s">
        <v>59</v>
      </c>
      <c r="D937" t="s">
        <v>14</v>
      </c>
      <c r="E937" t="s">
        <v>15</v>
      </c>
      <c r="F937">
        <v>946</v>
      </c>
      <c r="G937" s="1">
        <v>40826</v>
      </c>
      <c r="H937" s="2">
        <v>45296</v>
      </c>
      <c r="I937" t="s">
        <v>16</v>
      </c>
      <c r="J937" t="s">
        <v>973</v>
      </c>
      <c r="K937" t="s">
        <v>18</v>
      </c>
    </row>
    <row r="938" spans="1:11">
      <c r="A938" t="s">
        <v>64</v>
      </c>
      <c r="B938" t="s">
        <v>36</v>
      </c>
      <c r="C938" t="s">
        <v>59</v>
      </c>
      <c r="D938" t="s">
        <v>66</v>
      </c>
      <c r="E938">
        <v>60</v>
      </c>
      <c r="F938">
        <v>399</v>
      </c>
      <c r="G938" s="1">
        <v>2187</v>
      </c>
      <c r="H938" s="2">
        <v>45366</v>
      </c>
      <c r="I938" t="s">
        <v>32</v>
      </c>
      <c r="J938" t="s">
        <v>974</v>
      </c>
      <c r="K938" t="s">
        <v>18</v>
      </c>
    </row>
    <row r="939" spans="1:11">
      <c r="A939" t="s">
        <v>45</v>
      </c>
      <c r="B939" t="s">
        <v>12</v>
      </c>
      <c r="C939" t="s">
        <v>20</v>
      </c>
      <c r="D939" t="s">
        <v>66</v>
      </c>
      <c r="E939">
        <v>60</v>
      </c>
      <c r="F939">
        <v>1193</v>
      </c>
      <c r="G939" s="1">
        <v>37828</v>
      </c>
      <c r="H939" s="2">
        <v>45289</v>
      </c>
      <c r="I939" t="s">
        <v>27</v>
      </c>
      <c r="J939" t="s">
        <v>975</v>
      </c>
      <c r="K939" t="s">
        <v>34</v>
      </c>
    </row>
    <row r="940" spans="1:11">
      <c r="A940" t="s">
        <v>64</v>
      </c>
      <c r="B940" t="s">
        <v>49</v>
      </c>
      <c r="C940" t="s">
        <v>25</v>
      </c>
      <c r="D940" t="s">
        <v>31</v>
      </c>
      <c r="E940" t="s">
        <v>22</v>
      </c>
      <c r="F940">
        <v>187</v>
      </c>
      <c r="G940" s="1">
        <v>42709</v>
      </c>
      <c r="H940" s="2">
        <v>45387</v>
      </c>
      <c r="I940" t="s">
        <v>41</v>
      </c>
      <c r="J940" t="s">
        <v>976</v>
      </c>
      <c r="K940" t="s">
        <v>29</v>
      </c>
    </row>
    <row r="941" spans="1:11">
      <c r="A941" t="s">
        <v>11</v>
      </c>
      <c r="B941" t="s">
        <v>49</v>
      </c>
      <c r="C941" t="s">
        <v>59</v>
      </c>
      <c r="D941" t="s">
        <v>31</v>
      </c>
      <c r="E941" t="s">
        <v>38</v>
      </c>
      <c r="F941">
        <v>1360</v>
      </c>
      <c r="G941" s="1">
        <v>35945</v>
      </c>
      <c r="H941" s="2">
        <v>45177</v>
      </c>
      <c r="I941" t="s">
        <v>27</v>
      </c>
      <c r="J941" t="s">
        <v>977</v>
      </c>
      <c r="K941" t="s">
        <v>34</v>
      </c>
    </row>
    <row r="942" spans="1:11">
      <c r="A942" t="s">
        <v>11</v>
      </c>
      <c r="B942" t="s">
        <v>12</v>
      </c>
      <c r="C942" t="s">
        <v>30</v>
      </c>
      <c r="D942" t="s">
        <v>66</v>
      </c>
      <c r="E942">
        <v>60</v>
      </c>
      <c r="F942">
        <v>872</v>
      </c>
      <c r="G942" s="1">
        <v>22950</v>
      </c>
      <c r="H942" s="2">
        <v>45333</v>
      </c>
      <c r="I942" t="s">
        <v>39</v>
      </c>
      <c r="J942" t="s">
        <v>978</v>
      </c>
      <c r="K942" t="s">
        <v>47</v>
      </c>
    </row>
    <row r="943" spans="1:11">
      <c r="A943" t="s">
        <v>11</v>
      </c>
      <c r="B943" t="s">
        <v>19</v>
      </c>
      <c r="C943" t="s">
        <v>13</v>
      </c>
      <c r="D943" t="s">
        <v>26</v>
      </c>
      <c r="E943" t="s">
        <v>22</v>
      </c>
      <c r="F943">
        <v>537</v>
      </c>
      <c r="G943" s="1">
        <v>44378</v>
      </c>
      <c r="H943" s="2">
        <v>45190</v>
      </c>
      <c r="I943" t="s">
        <v>27</v>
      </c>
      <c r="J943" t="s">
        <v>979</v>
      </c>
      <c r="K943" t="s">
        <v>44</v>
      </c>
    </row>
    <row r="944" spans="1:11">
      <c r="A944" t="s">
        <v>24</v>
      </c>
      <c r="B944" t="s">
        <v>49</v>
      </c>
      <c r="C944" t="s">
        <v>20</v>
      </c>
      <c r="D944" t="s">
        <v>14</v>
      </c>
      <c r="E944" t="s">
        <v>15</v>
      </c>
      <c r="F944">
        <v>696</v>
      </c>
      <c r="G944" s="1">
        <v>49562</v>
      </c>
      <c r="H944" s="2">
        <v>45342</v>
      </c>
      <c r="I944" t="s">
        <v>16</v>
      </c>
      <c r="J944" t="s">
        <v>980</v>
      </c>
      <c r="K944" t="s">
        <v>44</v>
      </c>
    </row>
    <row r="945" spans="1:11">
      <c r="A945" t="s">
        <v>45</v>
      </c>
      <c r="B945" t="s">
        <v>49</v>
      </c>
      <c r="C945" t="s">
        <v>20</v>
      </c>
      <c r="D945" t="s">
        <v>26</v>
      </c>
      <c r="E945">
        <v>60</v>
      </c>
      <c r="F945">
        <v>357</v>
      </c>
      <c r="G945" s="1">
        <v>35849</v>
      </c>
      <c r="H945" s="2">
        <v>45418</v>
      </c>
      <c r="I945" t="s">
        <v>41</v>
      </c>
      <c r="J945" t="s">
        <v>981</v>
      </c>
      <c r="K945" t="s">
        <v>44</v>
      </c>
    </row>
    <row r="946" spans="1:11">
      <c r="A946" t="s">
        <v>11</v>
      </c>
      <c r="B946" t="s">
        <v>36</v>
      </c>
      <c r="C946" t="s">
        <v>59</v>
      </c>
      <c r="D946" t="s">
        <v>66</v>
      </c>
      <c r="E946" t="s">
        <v>22</v>
      </c>
      <c r="F946">
        <v>1179</v>
      </c>
      <c r="G946" s="1">
        <v>43406</v>
      </c>
      <c r="H946" s="2">
        <v>45285</v>
      </c>
      <c r="I946" t="s">
        <v>27</v>
      </c>
      <c r="J946" t="s">
        <v>982</v>
      </c>
      <c r="K946" t="s">
        <v>29</v>
      </c>
    </row>
    <row r="947" spans="1:11">
      <c r="A947" t="s">
        <v>11</v>
      </c>
      <c r="B947" t="s">
        <v>12</v>
      </c>
      <c r="C947" t="s">
        <v>25</v>
      </c>
      <c r="D947" t="s">
        <v>14</v>
      </c>
      <c r="E947" t="s">
        <v>38</v>
      </c>
      <c r="F947">
        <v>1352</v>
      </c>
      <c r="G947" s="1">
        <v>41492</v>
      </c>
      <c r="H947" s="2">
        <v>45373</v>
      </c>
      <c r="I947" t="s">
        <v>16</v>
      </c>
      <c r="J947" t="s">
        <v>983</v>
      </c>
      <c r="K947" t="s">
        <v>29</v>
      </c>
    </row>
    <row r="948" spans="1:11">
      <c r="A948" t="s">
        <v>11</v>
      </c>
      <c r="B948" t="s">
        <v>51</v>
      </c>
      <c r="C948" t="s">
        <v>13</v>
      </c>
      <c r="D948" t="s">
        <v>66</v>
      </c>
      <c r="E948" t="s">
        <v>22</v>
      </c>
      <c r="F948">
        <v>1691</v>
      </c>
      <c r="G948" s="1">
        <v>17378</v>
      </c>
      <c r="H948" s="2">
        <v>45439</v>
      </c>
      <c r="I948" t="s">
        <v>16</v>
      </c>
      <c r="J948" t="s">
        <v>984</v>
      </c>
      <c r="K948" t="s">
        <v>18</v>
      </c>
    </row>
    <row r="949" spans="1:11">
      <c r="A949" t="s">
        <v>24</v>
      </c>
      <c r="B949" t="s">
        <v>12</v>
      </c>
      <c r="C949" t="s">
        <v>25</v>
      </c>
      <c r="D949" t="s">
        <v>26</v>
      </c>
      <c r="E949" t="s">
        <v>38</v>
      </c>
      <c r="F949">
        <v>680</v>
      </c>
      <c r="G949" s="1">
        <v>37383</v>
      </c>
      <c r="H949" s="2">
        <v>45191</v>
      </c>
      <c r="I949" t="s">
        <v>41</v>
      </c>
      <c r="J949" t="s">
        <v>985</v>
      </c>
      <c r="K949" t="s">
        <v>47</v>
      </c>
    </row>
    <row r="950" spans="1:11">
      <c r="A950" t="s">
        <v>24</v>
      </c>
      <c r="B950" t="s">
        <v>49</v>
      </c>
      <c r="C950" t="s">
        <v>59</v>
      </c>
      <c r="D950" t="s">
        <v>26</v>
      </c>
      <c r="E950" t="s">
        <v>15</v>
      </c>
      <c r="F950">
        <v>971</v>
      </c>
      <c r="G950" s="1">
        <v>22075</v>
      </c>
      <c r="H950" s="2">
        <v>45248</v>
      </c>
      <c r="I950" t="s">
        <v>39</v>
      </c>
      <c r="J950" t="s">
        <v>986</v>
      </c>
      <c r="K950" t="s">
        <v>34</v>
      </c>
    </row>
    <row r="951" spans="1:11">
      <c r="A951" t="s">
        <v>24</v>
      </c>
      <c r="B951" t="s">
        <v>49</v>
      </c>
      <c r="C951" t="s">
        <v>13</v>
      </c>
      <c r="D951" t="s">
        <v>26</v>
      </c>
      <c r="E951" t="s">
        <v>15</v>
      </c>
      <c r="F951">
        <v>1321</v>
      </c>
      <c r="G951" s="1">
        <v>26875</v>
      </c>
      <c r="H951" s="2">
        <v>45410</v>
      </c>
      <c r="I951" t="s">
        <v>16</v>
      </c>
      <c r="J951" t="s">
        <v>987</v>
      </c>
      <c r="K951" t="s">
        <v>18</v>
      </c>
    </row>
    <row r="952" spans="1:11">
      <c r="A952" t="s">
        <v>64</v>
      </c>
      <c r="B952" t="s">
        <v>51</v>
      </c>
      <c r="C952" t="s">
        <v>25</v>
      </c>
      <c r="D952" t="s">
        <v>21</v>
      </c>
      <c r="E952" t="s">
        <v>22</v>
      </c>
      <c r="F952">
        <v>1134</v>
      </c>
      <c r="G952" s="1">
        <v>12807</v>
      </c>
      <c r="H952" s="2">
        <v>45196</v>
      </c>
      <c r="I952" t="s">
        <v>41</v>
      </c>
      <c r="J952" t="s">
        <v>988</v>
      </c>
      <c r="K952" t="s">
        <v>34</v>
      </c>
    </row>
    <row r="953" spans="1:11">
      <c r="A953" t="s">
        <v>11</v>
      </c>
      <c r="B953" t="s">
        <v>12</v>
      </c>
      <c r="C953" t="s">
        <v>30</v>
      </c>
      <c r="D953" t="s">
        <v>21</v>
      </c>
      <c r="E953" t="s">
        <v>22</v>
      </c>
      <c r="F953">
        <v>163</v>
      </c>
      <c r="G953" s="1">
        <v>36531</v>
      </c>
      <c r="H953" s="2">
        <v>45395</v>
      </c>
      <c r="I953" t="s">
        <v>41</v>
      </c>
      <c r="J953" t="s">
        <v>989</v>
      </c>
      <c r="K953" t="s">
        <v>44</v>
      </c>
    </row>
    <row r="954" spans="1:11">
      <c r="A954" t="s">
        <v>35</v>
      </c>
      <c r="B954" t="s">
        <v>36</v>
      </c>
      <c r="C954" t="s">
        <v>30</v>
      </c>
      <c r="D954" t="s">
        <v>66</v>
      </c>
      <c r="E954" t="s">
        <v>38</v>
      </c>
      <c r="F954">
        <v>641</v>
      </c>
      <c r="G954" s="1">
        <v>19362</v>
      </c>
      <c r="H954" s="2">
        <v>45162</v>
      </c>
      <c r="I954" t="s">
        <v>32</v>
      </c>
      <c r="J954" t="s">
        <v>990</v>
      </c>
      <c r="K954" t="s">
        <v>34</v>
      </c>
    </row>
    <row r="955" spans="1:11">
      <c r="A955" t="s">
        <v>35</v>
      </c>
      <c r="B955" t="s">
        <v>19</v>
      </c>
      <c r="C955" t="s">
        <v>30</v>
      </c>
      <c r="D955" t="s">
        <v>14</v>
      </c>
      <c r="E955" t="s">
        <v>22</v>
      </c>
      <c r="F955">
        <v>1114</v>
      </c>
      <c r="G955" s="1">
        <v>46343</v>
      </c>
      <c r="H955" s="2">
        <v>45351</v>
      </c>
      <c r="I955" t="s">
        <v>41</v>
      </c>
      <c r="J955" t="s">
        <v>991</v>
      </c>
      <c r="K955" t="s">
        <v>29</v>
      </c>
    </row>
    <row r="956" spans="1:11">
      <c r="A956" t="s">
        <v>45</v>
      </c>
      <c r="B956" t="s">
        <v>19</v>
      </c>
      <c r="C956" t="s">
        <v>13</v>
      </c>
      <c r="D956" t="s">
        <v>21</v>
      </c>
      <c r="E956" t="s">
        <v>22</v>
      </c>
      <c r="F956">
        <v>1128</v>
      </c>
      <c r="G956" s="1">
        <v>25909</v>
      </c>
      <c r="H956" s="2">
        <v>45161</v>
      </c>
      <c r="I956" t="s">
        <v>41</v>
      </c>
      <c r="J956" t="s">
        <v>992</v>
      </c>
      <c r="K956" t="s">
        <v>18</v>
      </c>
    </row>
    <row r="957" spans="1:11">
      <c r="A957" t="s">
        <v>11</v>
      </c>
      <c r="B957" t="s">
        <v>19</v>
      </c>
      <c r="C957" t="s">
        <v>59</v>
      </c>
      <c r="D957" t="s">
        <v>14</v>
      </c>
      <c r="E957" t="s">
        <v>22</v>
      </c>
      <c r="F957">
        <v>455</v>
      </c>
      <c r="G957" s="1">
        <v>19258</v>
      </c>
      <c r="H957" s="2">
        <v>45284</v>
      </c>
      <c r="I957" t="s">
        <v>41</v>
      </c>
      <c r="J957" t="s">
        <v>993</v>
      </c>
      <c r="K957" t="s">
        <v>18</v>
      </c>
    </row>
    <row r="958" spans="1:11">
      <c r="A958" t="s">
        <v>35</v>
      </c>
      <c r="B958" t="s">
        <v>51</v>
      </c>
      <c r="C958" t="s">
        <v>25</v>
      </c>
      <c r="D958" t="s">
        <v>26</v>
      </c>
      <c r="E958" t="s">
        <v>38</v>
      </c>
      <c r="F958">
        <v>1660</v>
      </c>
      <c r="G958" s="1">
        <v>1292</v>
      </c>
      <c r="H958" s="2">
        <v>45285</v>
      </c>
      <c r="I958" t="s">
        <v>41</v>
      </c>
      <c r="J958" t="s">
        <v>994</v>
      </c>
      <c r="K958" t="s">
        <v>18</v>
      </c>
    </row>
    <row r="959" spans="1:11">
      <c r="A959" t="s">
        <v>35</v>
      </c>
      <c r="B959" t="s">
        <v>19</v>
      </c>
      <c r="C959" t="s">
        <v>13</v>
      </c>
      <c r="D959" t="s">
        <v>14</v>
      </c>
      <c r="E959" t="s">
        <v>15</v>
      </c>
      <c r="F959">
        <v>582</v>
      </c>
      <c r="G959" s="1">
        <v>6514</v>
      </c>
      <c r="H959" s="2">
        <v>45449</v>
      </c>
      <c r="I959" t="s">
        <v>16</v>
      </c>
      <c r="J959" t="s">
        <v>995</v>
      </c>
      <c r="K959" t="s">
        <v>47</v>
      </c>
    </row>
    <row r="960" spans="1:11">
      <c r="A960" t="s">
        <v>45</v>
      </c>
      <c r="B960" t="s">
        <v>12</v>
      </c>
      <c r="C960" t="s">
        <v>30</v>
      </c>
      <c r="D960" t="s">
        <v>14</v>
      </c>
      <c r="E960">
        <v>60</v>
      </c>
      <c r="F960">
        <v>716</v>
      </c>
      <c r="G960" s="1">
        <v>7865</v>
      </c>
      <c r="H960" s="2">
        <v>45212</v>
      </c>
      <c r="I960" t="s">
        <v>41</v>
      </c>
      <c r="J960" t="s">
        <v>996</v>
      </c>
      <c r="K960" t="s">
        <v>29</v>
      </c>
    </row>
    <row r="961" spans="1:11">
      <c r="A961" t="s">
        <v>24</v>
      </c>
      <c r="B961" t="s">
        <v>19</v>
      </c>
      <c r="C961" t="s">
        <v>59</v>
      </c>
      <c r="D961" t="s">
        <v>21</v>
      </c>
      <c r="E961" t="s">
        <v>15</v>
      </c>
      <c r="F961">
        <v>200</v>
      </c>
      <c r="G961" s="1">
        <v>15045</v>
      </c>
      <c r="H961" s="2">
        <v>45463</v>
      </c>
      <c r="I961" t="s">
        <v>39</v>
      </c>
      <c r="J961" t="s">
        <v>997</v>
      </c>
      <c r="K961" t="s">
        <v>47</v>
      </c>
    </row>
    <row r="962" spans="1:11">
      <c r="A962" t="s">
        <v>24</v>
      </c>
      <c r="B962" t="s">
        <v>49</v>
      </c>
      <c r="C962" t="s">
        <v>25</v>
      </c>
      <c r="D962" t="s">
        <v>21</v>
      </c>
      <c r="E962">
        <v>30</v>
      </c>
      <c r="F962">
        <v>151</v>
      </c>
      <c r="G962" s="1">
        <v>13928</v>
      </c>
      <c r="H962" s="2">
        <v>45306</v>
      </c>
      <c r="I962" t="s">
        <v>39</v>
      </c>
      <c r="J962" t="s">
        <v>998</v>
      </c>
      <c r="K962" t="s">
        <v>34</v>
      </c>
    </row>
    <row r="963" spans="1:11">
      <c r="A963" t="s">
        <v>64</v>
      </c>
      <c r="B963" t="s">
        <v>51</v>
      </c>
      <c r="C963" t="s">
        <v>30</v>
      </c>
      <c r="D963" t="s">
        <v>21</v>
      </c>
      <c r="E963">
        <v>60</v>
      </c>
      <c r="F963">
        <v>1084</v>
      </c>
      <c r="G963" s="1">
        <v>10084</v>
      </c>
      <c r="H963" s="2">
        <v>45225</v>
      </c>
      <c r="I963" t="s">
        <v>41</v>
      </c>
      <c r="J963" t="s">
        <v>999</v>
      </c>
      <c r="K963" t="s">
        <v>44</v>
      </c>
    </row>
    <row r="964" spans="1:11">
      <c r="A964" t="s">
        <v>35</v>
      </c>
      <c r="B964" t="s">
        <v>36</v>
      </c>
      <c r="C964" t="s">
        <v>30</v>
      </c>
      <c r="D964" t="s">
        <v>66</v>
      </c>
      <c r="E964">
        <v>60</v>
      </c>
      <c r="F964">
        <v>369</v>
      </c>
      <c r="G964" s="1">
        <v>27023</v>
      </c>
      <c r="H964" s="2">
        <v>45478</v>
      </c>
      <c r="I964" t="s">
        <v>16</v>
      </c>
      <c r="J964" t="s">
        <v>1000</v>
      </c>
      <c r="K964" t="s">
        <v>18</v>
      </c>
    </row>
    <row r="965" spans="1:11">
      <c r="A965" t="s">
        <v>35</v>
      </c>
      <c r="B965" t="s">
        <v>49</v>
      </c>
      <c r="C965" t="s">
        <v>13</v>
      </c>
      <c r="D965" t="s">
        <v>21</v>
      </c>
      <c r="E965">
        <v>30</v>
      </c>
      <c r="F965">
        <v>1689</v>
      </c>
      <c r="G965" s="1">
        <v>42571</v>
      </c>
      <c r="H965" s="2">
        <v>45171</v>
      </c>
      <c r="I965" t="s">
        <v>41</v>
      </c>
      <c r="J965" t="s">
        <v>1001</v>
      </c>
      <c r="K965" t="s">
        <v>44</v>
      </c>
    </row>
    <row r="966" spans="1:11">
      <c r="A966" t="s">
        <v>64</v>
      </c>
      <c r="B966" t="s">
        <v>51</v>
      </c>
      <c r="C966" t="s">
        <v>25</v>
      </c>
      <c r="D966" t="s">
        <v>66</v>
      </c>
      <c r="E966">
        <v>30</v>
      </c>
      <c r="F966">
        <v>1435</v>
      </c>
      <c r="G966" s="1">
        <v>33459</v>
      </c>
      <c r="H966" s="2">
        <v>45243</v>
      </c>
      <c r="I966" t="s">
        <v>41</v>
      </c>
      <c r="J966" t="s">
        <v>1002</v>
      </c>
      <c r="K966" t="s">
        <v>29</v>
      </c>
    </row>
    <row r="967" spans="1:11">
      <c r="A967" t="s">
        <v>24</v>
      </c>
      <c r="B967" t="s">
        <v>51</v>
      </c>
      <c r="C967" t="s">
        <v>30</v>
      </c>
      <c r="D967" t="s">
        <v>26</v>
      </c>
      <c r="E967" t="s">
        <v>15</v>
      </c>
      <c r="F967">
        <v>433</v>
      </c>
      <c r="G967" s="1">
        <v>5852</v>
      </c>
      <c r="H967" s="2">
        <v>45249</v>
      </c>
      <c r="I967" t="s">
        <v>32</v>
      </c>
      <c r="J967" t="s">
        <v>1003</v>
      </c>
      <c r="K967" t="s">
        <v>47</v>
      </c>
    </row>
    <row r="968" spans="1:11">
      <c r="A968" t="s">
        <v>45</v>
      </c>
      <c r="B968" t="s">
        <v>51</v>
      </c>
      <c r="C968" t="s">
        <v>20</v>
      </c>
      <c r="D968" t="s">
        <v>21</v>
      </c>
      <c r="E968" t="s">
        <v>15</v>
      </c>
      <c r="F968">
        <v>425</v>
      </c>
      <c r="G968" s="1">
        <v>30089</v>
      </c>
      <c r="H968" s="2">
        <v>45347</v>
      </c>
      <c r="I968" t="s">
        <v>16</v>
      </c>
      <c r="J968" t="s">
        <v>1004</v>
      </c>
      <c r="K968" t="s">
        <v>34</v>
      </c>
    </row>
    <row r="969" spans="1:11">
      <c r="A969" t="s">
        <v>35</v>
      </c>
      <c r="B969" t="s">
        <v>36</v>
      </c>
      <c r="C969" t="s">
        <v>13</v>
      </c>
      <c r="D969" t="s">
        <v>26</v>
      </c>
      <c r="E969">
        <v>60</v>
      </c>
      <c r="F969">
        <v>1331</v>
      </c>
      <c r="G969" s="1">
        <v>23249</v>
      </c>
      <c r="H969" s="2">
        <v>45491</v>
      </c>
      <c r="I969" t="s">
        <v>39</v>
      </c>
      <c r="J969" t="s">
        <v>1005</v>
      </c>
      <c r="K969" t="s">
        <v>18</v>
      </c>
    </row>
    <row r="970" spans="1:11">
      <c r="A970" t="s">
        <v>64</v>
      </c>
      <c r="B970" t="s">
        <v>49</v>
      </c>
      <c r="C970" t="s">
        <v>13</v>
      </c>
      <c r="D970" t="s">
        <v>21</v>
      </c>
      <c r="E970" t="s">
        <v>15</v>
      </c>
      <c r="F970">
        <v>700</v>
      </c>
      <c r="G970" s="1">
        <v>14747</v>
      </c>
      <c r="H970" s="2">
        <v>45190</v>
      </c>
      <c r="I970" t="s">
        <v>32</v>
      </c>
      <c r="J970" t="s">
        <v>1006</v>
      </c>
      <c r="K970" t="s">
        <v>44</v>
      </c>
    </row>
    <row r="971" spans="1:11">
      <c r="A971" t="s">
        <v>45</v>
      </c>
      <c r="B971" t="s">
        <v>51</v>
      </c>
      <c r="C971" t="s">
        <v>25</v>
      </c>
      <c r="D971" t="s">
        <v>66</v>
      </c>
      <c r="E971">
        <v>60</v>
      </c>
      <c r="F971">
        <v>1290</v>
      </c>
      <c r="G971" s="1">
        <v>26612</v>
      </c>
      <c r="H971" s="2">
        <v>45142</v>
      </c>
      <c r="I971" t="s">
        <v>27</v>
      </c>
      <c r="J971" t="s">
        <v>1007</v>
      </c>
      <c r="K971" t="s">
        <v>29</v>
      </c>
    </row>
    <row r="972" spans="1:11">
      <c r="A972" t="s">
        <v>35</v>
      </c>
      <c r="B972" t="s">
        <v>19</v>
      </c>
      <c r="C972" t="s">
        <v>13</v>
      </c>
      <c r="D972" t="s">
        <v>31</v>
      </c>
      <c r="E972">
        <v>30</v>
      </c>
      <c r="F972">
        <v>1697</v>
      </c>
      <c r="G972" s="1">
        <v>22505</v>
      </c>
      <c r="H972" s="2">
        <v>45275</v>
      </c>
      <c r="I972" t="s">
        <v>32</v>
      </c>
      <c r="J972" t="s">
        <v>1008</v>
      </c>
      <c r="K972" t="s">
        <v>18</v>
      </c>
    </row>
    <row r="973" spans="1:11">
      <c r="A973" t="s">
        <v>11</v>
      </c>
      <c r="B973" t="s">
        <v>49</v>
      </c>
      <c r="C973" t="s">
        <v>25</v>
      </c>
      <c r="D973" t="s">
        <v>26</v>
      </c>
      <c r="E973">
        <v>60</v>
      </c>
      <c r="F973">
        <v>1435</v>
      </c>
      <c r="G973" s="1">
        <v>12698</v>
      </c>
      <c r="H973" s="2">
        <v>45319</v>
      </c>
      <c r="I973" t="s">
        <v>32</v>
      </c>
      <c r="J973" t="s">
        <v>1009</v>
      </c>
      <c r="K973" t="s">
        <v>47</v>
      </c>
    </row>
    <row r="974" spans="1:11">
      <c r="A974" t="s">
        <v>35</v>
      </c>
      <c r="B974" t="s">
        <v>49</v>
      </c>
      <c r="C974" t="s">
        <v>13</v>
      </c>
      <c r="D974" t="s">
        <v>66</v>
      </c>
      <c r="E974" t="s">
        <v>15</v>
      </c>
      <c r="F974">
        <v>676</v>
      </c>
      <c r="G974" s="1">
        <v>37974</v>
      </c>
      <c r="H974" s="2">
        <v>45364</v>
      </c>
      <c r="I974" t="s">
        <v>32</v>
      </c>
      <c r="J974" t="s">
        <v>1010</v>
      </c>
      <c r="K974" t="s">
        <v>47</v>
      </c>
    </row>
    <row r="975" spans="1:11">
      <c r="A975" t="s">
        <v>24</v>
      </c>
      <c r="B975" t="s">
        <v>36</v>
      </c>
      <c r="C975" t="s">
        <v>13</v>
      </c>
      <c r="D975" t="s">
        <v>21</v>
      </c>
      <c r="E975" t="s">
        <v>38</v>
      </c>
      <c r="F975">
        <v>1529</v>
      </c>
      <c r="G975" s="1">
        <v>37893</v>
      </c>
      <c r="H975" s="2">
        <v>45438</v>
      </c>
      <c r="I975" t="s">
        <v>39</v>
      </c>
      <c r="J975" t="s">
        <v>1011</v>
      </c>
      <c r="K975" t="s">
        <v>18</v>
      </c>
    </row>
    <row r="976" spans="1:11">
      <c r="A976" t="s">
        <v>35</v>
      </c>
      <c r="B976" t="s">
        <v>36</v>
      </c>
      <c r="C976" t="s">
        <v>25</v>
      </c>
      <c r="D976" t="s">
        <v>31</v>
      </c>
      <c r="E976" t="s">
        <v>38</v>
      </c>
      <c r="F976">
        <v>1904</v>
      </c>
      <c r="G976" s="1">
        <v>47774</v>
      </c>
      <c r="H976" s="2">
        <v>45456</v>
      </c>
      <c r="I976" t="s">
        <v>27</v>
      </c>
      <c r="J976" t="s">
        <v>1012</v>
      </c>
      <c r="K976" t="s">
        <v>34</v>
      </c>
    </row>
    <row r="977" spans="1:11">
      <c r="A977" t="s">
        <v>64</v>
      </c>
      <c r="B977" t="s">
        <v>49</v>
      </c>
      <c r="C977" t="s">
        <v>30</v>
      </c>
      <c r="D977" t="s">
        <v>14</v>
      </c>
      <c r="E977">
        <v>60</v>
      </c>
      <c r="F977">
        <v>274</v>
      </c>
      <c r="G977" s="1">
        <v>36990</v>
      </c>
      <c r="H977" s="2">
        <v>45340</v>
      </c>
      <c r="I977" t="s">
        <v>39</v>
      </c>
      <c r="J977" t="s">
        <v>1013</v>
      </c>
      <c r="K977" t="s">
        <v>47</v>
      </c>
    </row>
    <row r="978" spans="1:11">
      <c r="A978" t="s">
        <v>11</v>
      </c>
      <c r="B978" t="s">
        <v>51</v>
      </c>
      <c r="C978" t="s">
        <v>20</v>
      </c>
      <c r="D978" t="s">
        <v>26</v>
      </c>
      <c r="E978" t="s">
        <v>38</v>
      </c>
      <c r="F978">
        <v>974</v>
      </c>
      <c r="G978" s="1">
        <v>13263</v>
      </c>
      <c r="H978" s="2">
        <v>45485</v>
      </c>
      <c r="I978" t="s">
        <v>32</v>
      </c>
      <c r="J978" t="s">
        <v>1014</v>
      </c>
      <c r="K978" t="s">
        <v>18</v>
      </c>
    </row>
    <row r="979" spans="1:11">
      <c r="A979" t="s">
        <v>35</v>
      </c>
      <c r="B979" t="s">
        <v>49</v>
      </c>
      <c r="C979" t="s">
        <v>59</v>
      </c>
      <c r="D979" t="s">
        <v>14</v>
      </c>
      <c r="E979">
        <v>30</v>
      </c>
      <c r="F979">
        <v>1169</v>
      </c>
      <c r="G979" s="1">
        <v>30037</v>
      </c>
      <c r="H979" s="2">
        <v>45399</v>
      </c>
      <c r="I979" t="s">
        <v>32</v>
      </c>
      <c r="J979" t="s">
        <v>1015</v>
      </c>
      <c r="K979" t="s">
        <v>44</v>
      </c>
    </row>
    <row r="980" spans="1:11">
      <c r="A980" t="s">
        <v>35</v>
      </c>
      <c r="B980" t="s">
        <v>49</v>
      </c>
      <c r="C980" t="s">
        <v>25</v>
      </c>
      <c r="D980" t="s">
        <v>21</v>
      </c>
      <c r="E980" t="s">
        <v>38</v>
      </c>
      <c r="F980">
        <v>1922</v>
      </c>
      <c r="G980" s="1">
        <v>30322</v>
      </c>
      <c r="H980" s="2">
        <v>45222</v>
      </c>
      <c r="I980" t="s">
        <v>32</v>
      </c>
      <c r="J980" t="s">
        <v>1016</v>
      </c>
      <c r="K980" t="s">
        <v>47</v>
      </c>
    </row>
    <row r="981" spans="1:11">
      <c r="A981" t="s">
        <v>11</v>
      </c>
      <c r="B981" t="s">
        <v>36</v>
      </c>
      <c r="C981" t="s">
        <v>59</v>
      </c>
      <c r="D981" t="s">
        <v>14</v>
      </c>
      <c r="E981">
        <v>60</v>
      </c>
      <c r="F981">
        <v>1656</v>
      </c>
      <c r="G981" s="1">
        <v>2052</v>
      </c>
      <c r="H981" s="2">
        <v>45492</v>
      </c>
      <c r="I981" t="s">
        <v>39</v>
      </c>
      <c r="J981" t="s">
        <v>1017</v>
      </c>
      <c r="K981" t="s">
        <v>29</v>
      </c>
    </row>
    <row r="982" spans="1:11">
      <c r="A982" t="s">
        <v>64</v>
      </c>
      <c r="B982" t="s">
        <v>36</v>
      </c>
      <c r="C982" t="s">
        <v>13</v>
      </c>
      <c r="D982" t="s">
        <v>21</v>
      </c>
      <c r="E982">
        <v>30</v>
      </c>
      <c r="F982">
        <v>999</v>
      </c>
      <c r="G982" s="1">
        <v>1790</v>
      </c>
      <c r="H982" s="2">
        <v>45454</v>
      </c>
      <c r="I982" t="s">
        <v>39</v>
      </c>
      <c r="J982" t="s">
        <v>1018</v>
      </c>
      <c r="K982" t="s">
        <v>34</v>
      </c>
    </row>
    <row r="983" spans="1:11">
      <c r="A983" t="s">
        <v>64</v>
      </c>
      <c r="B983" t="s">
        <v>49</v>
      </c>
      <c r="C983" t="s">
        <v>20</v>
      </c>
      <c r="D983" t="s">
        <v>21</v>
      </c>
      <c r="E983" t="s">
        <v>38</v>
      </c>
      <c r="F983">
        <v>1027</v>
      </c>
      <c r="G983" s="1">
        <v>5568</v>
      </c>
      <c r="H983" s="2">
        <v>45368</v>
      </c>
      <c r="I983" t="s">
        <v>39</v>
      </c>
      <c r="J983" t="s">
        <v>1019</v>
      </c>
      <c r="K983" t="s">
        <v>44</v>
      </c>
    </row>
    <row r="984" spans="1:11">
      <c r="A984" t="s">
        <v>35</v>
      </c>
      <c r="B984" t="s">
        <v>51</v>
      </c>
      <c r="C984" t="s">
        <v>13</v>
      </c>
      <c r="D984" t="s">
        <v>66</v>
      </c>
      <c r="E984" t="s">
        <v>22</v>
      </c>
      <c r="F984">
        <v>202</v>
      </c>
      <c r="G984" s="1">
        <v>35739</v>
      </c>
      <c r="H984" s="2">
        <v>45370</v>
      </c>
      <c r="I984" t="s">
        <v>32</v>
      </c>
      <c r="J984" t="s">
        <v>1020</v>
      </c>
      <c r="K984" t="s">
        <v>47</v>
      </c>
    </row>
    <row r="985" spans="1:11">
      <c r="A985" t="s">
        <v>35</v>
      </c>
      <c r="B985" t="s">
        <v>49</v>
      </c>
      <c r="C985" t="s">
        <v>25</v>
      </c>
      <c r="D985" t="s">
        <v>14</v>
      </c>
      <c r="E985" t="s">
        <v>22</v>
      </c>
      <c r="F985">
        <v>868</v>
      </c>
      <c r="G985" s="1">
        <v>39318</v>
      </c>
      <c r="H985" s="2">
        <v>45356</v>
      </c>
      <c r="I985" t="s">
        <v>41</v>
      </c>
      <c r="J985" t="s">
        <v>1021</v>
      </c>
      <c r="K985" t="s">
        <v>47</v>
      </c>
    </row>
    <row r="986" spans="1:11">
      <c r="A986" t="s">
        <v>35</v>
      </c>
      <c r="B986" t="s">
        <v>51</v>
      </c>
      <c r="C986" t="s">
        <v>20</v>
      </c>
      <c r="D986" t="s">
        <v>14</v>
      </c>
      <c r="E986">
        <v>30</v>
      </c>
      <c r="F986">
        <v>783</v>
      </c>
      <c r="G986" s="1">
        <v>7230</v>
      </c>
      <c r="H986" s="2">
        <v>45145</v>
      </c>
      <c r="I986" t="s">
        <v>41</v>
      </c>
      <c r="J986" t="s">
        <v>1022</v>
      </c>
      <c r="K986" t="s">
        <v>34</v>
      </c>
    </row>
    <row r="987" spans="1:11">
      <c r="A987" t="s">
        <v>45</v>
      </c>
      <c r="B987" t="s">
        <v>49</v>
      </c>
      <c r="C987" t="s">
        <v>13</v>
      </c>
      <c r="D987" t="s">
        <v>14</v>
      </c>
      <c r="E987">
        <v>60</v>
      </c>
      <c r="F987">
        <v>624</v>
      </c>
      <c r="G987" s="1">
        <v>39173</v>
      </c>
      <c r="H987" s="2">
        <v>45378</v>
      </c>
      <c r="I987" t="s">
        <v>39</v>
      </c>
      <c r="J987" t="s">
        <v>1023</v>
      </c>
      <c r="K987" t="s">
        <v>34</v>
      </c>
    </row>
    <row r="988" spans="1:11">
      <c r="A988" t="s">
        <v>45</v>
      </c>
      <c r="B988" t="s">
        <v>51</v>
      </c>
      <c r="C988" t="s">
        <v>13</v>
      </c>
      <c r="D988" t="s">
        <v>26</v>
      </c>
      <c r="E988">
        <v>30</v>
      </c>
      <c r="F988">
        <v>144</v>
      </c>
      <c r="G988" s="1">
        <v>31678</v>
      </c>
      <c r="H988" s="2">
        <v>45324</v>
      </c>
      <c r="I988" t="s">
        <v>16</v>
      </c>
      <c r="J988" t="s">
        <v>1024</v>
      </c>
      <c r="K988" t="s">
        <v>44</v>
      </c>
    </row>
    <row r="989" spans="1:11">
      <c r="A989" t="s">
        <v>11</v>
      </c>
      <c r="B989" t="s">
        <v>19</v>
      </c>
      <c r="C989" t="s">
        <v>30</v>
      </c>
      <c r="D989" t="s">
        <v>26</v>
      </c>
      <c r="E989" t="s">
        <v>38</v>
      </c>
      <c r="F989">
        <v>1705</v>
      </c>
      <c r="G989" s="1">
        <v>3950</v>
      </c>
      <c r="H989" s="2">
        <v>45324</v>
      </c>
      <c r="I989" t="s">
        <v>41</v>
      </c>
      <c r="J989" t="s">
        <v>1025</v>
      </c>
      <c r="K989" t="s">
        <v>34</v>
      </c>
    </row>
    <row r="990" spans="1:11">
      <c r="A990" t="s">
        <v>45</v>
      </c>
      <c r="B990" t="s">
        <v>49</v>
      </c>
      <c r="C990" t="s">
        <v>30</v>
      </c>
      <c r="D990" t="s">
        <v>26</v>
      </c>
      <c r="E990" t="s">
        <v>22</v>
      </c>
      <c r="F990">
        <v>1435</v>
      </c>
      <c r="G990" s="1">
        <v>11503</v>
      </c>
      <c r="H990" s="2">
        <v>45320</v>
      </c>
      <c r="I990" t="s">
        <v>41</v>
      </c>
      <c r="J990" t="s">
        <v>1026</v>
      </c>
      <c r="K990" t="s">
        <v>34</v>
      </c>
    </row>
    <row r="991" spans="1:11">
      <c r="A991" t="s">
        <v>64</v>
      </c>
      <c r="B991" t="s">
        <v>49</v>
      </c>
      <c r="C991" t="s">
        <v>13</v>
      </c>
      <c r="D991" t="s">
        <v>26</v>
      </c>
      <c r="E991" t="s">
        <v>15</v>
      </c>
      <c r="F991">
        <v>1882</v>
      </c>
      <c r="G991" s="1">
        <v>23935</v>
      </c>
      <c r="H991" s="2">
        <v>45215</v>
      </c>
      <c r="I991" t="s">
        <v>41</v>
      </c>
      <c r="J991" t="s">
        <v>1027</v>
      </c>
      <c r="K991" t="s">
        <v>18</v>
      </c>
    </row>
    <row r="992" spans="1:11">
      <c r="A992" t="s">
        <v>35</v>
      </c>
      <c r="B992" t="s">
        <v>12</v>
      </c>
      <c r="C992" t="s">
        <v>30</v>
      </c>
      <c r="D992" t="s">
        <v>14</v>
      </c>
      <c r="E992" t="s">
        <v>22</v>
      </c>
      <c r="F992">
        <v>1018</v>
      </c>
      <c r="G992" s="1">
        <v>42507</v>
      </c>
      <c r="H992" s="2">
        <v>45486</v>
      </c>
      <c r="I992" t="s">
        <v>39</v>
      </c>
      <c r="J992" t="s">
        <v>1028</v>
      </c>
      <c r="K992" t="s">
        <v>29</v>
      </c>
    </row>
    <row r="993" spans="1:11">
      <c r="A993" t="s">
        <v>24</v>
      </c>
      <c r="B993" t="s">
        <v>36</v>
      </c>
      <c r="C993" t="s">
        <v>25</v>
      </c>
      <c r="D993" t="s">
        <v>21</v>
      </c>
      <c r="E993" t="s">
        <v>22</v>
      </c>
      <c r="F993">
        <v>1895</v>
      </c>
      <c r="G993" s="1">
        <v>40085</v>
      </c>
      <c r="H993" s="2">
        <v>45218</v>
      </c>
      <c r="I993" t="s">
        <v>41</v>
      </c>
      <c r="J993" t="s">
        <v>1029</v>
      </c>
      <c r="K993" t="s">
        <v>29</v>
      </c>
    </row>
    <row r="994" spans="1:11">
      <c r="A994" t="s">
        <v>35</v>
      </c>
      <c r="B994" t="s">
        <v>19</v>
      </c>
      <c r="C994" t="s">
        <v>20</v>
      </c>
      <c r="D994" t="s">
        <v>66</v>
      </c>
      <c r="E994" t="s">
        <v>15</v>
      </c>
      <c r="F994">
        <v>634</v>
      </c>
      <c r="G994" s="1">
        <v>27518</v>
      </c>
      <c r="H994" s="2">
        <v>45169</v>
      </c>
      <c r="I994" t="s">
        <v>16</v>
      </c>
      <c r="J994" t="s">
        <v>1030</v>
      </c>
      <c r="K994" t="s">
        <v>34</v>
      </c>
    </row>
    <row r="995" spans="1:11">
      <c r="A995" t="s">
        <v>11</v>
      </c>
      <c r="B995" t="s">
        <v>51</v>
      </c>
      <c r="C995" t="s">
        <v>25</v>
      </c>
      <c r="D995" t="s">
        <v>14</v>
      </c>
      <c r="E995" t="s">
        <v>15</v>
      </c>
      <c r="F995">
        <v>598</v>
      </c>
      <c r="G995" s="1">
        <v>44610</v>
      </c>
      <c r="H995" s="2">
        <v>45139</v>
      </c>
      <c r="I995" t="s">
        <v>41</v>
      </c>
      <c r="J995" t="s">
        <v>1031</v>
      </c>
      <c r="K995" t="s">
        <v>47</v>
      </c>
    </row>
    <row r="996" spans="1:11">
      <c r="A996" t="s">
        <v>45</v>
      </c>
      <c r="B996" t="s">
        <v>49</v>
      </c>
      <c r="C996" t="s">
        <v>30</v>
      </c>
      <c r="D996" t="s">
        <v>26</v>
      </c>
      <c r="E996">
        <v>60</v>
      </c>
      <c r="F996">
        <v>1619</v>
      </c>
      <c r="G996" s="1">
        <v>35793</v>
      </c>
      <c r="H996" s="2">
        <v>45488</v>
      </c>
      <c r="I996" t="s">
        <v>41</v>
      </c>
      <c r="J996" t="s">
        <v>1032</v>
      </c>
      <c r="K996" t="s">
        <v>44</v>
      </c>
    </row>
    <row r="997" spans="1:11">
      <c r="A997" t="s">
        <v>11</v>
      </c>
      <c r="B997" t="s">
        <v>19</v>
      </c>
      <c r="C997" t="s">
        <v>59</v>
      </c>
      <c r="D997" t="s">
        <v>14</v>
      </c>
      <c r="E997" t="s">
        <v>22</v>
      </c>
      <c r="F997">
        <v>359</v>
      </c>
      <c r="G997" s="1">
        <v>36979</v>
      </c>
      <c r="H997" s="2">
        <v>45266</v>
      </c>
      <c r="I997" t="s">
        <v>41</v>
      </c>
      <c r="J997" t="s">
        <v>1033</v>
      </c>
      <c r="K997" t="s">
        <v>18</v>
      </c>
    </row>
    <row r="998" spans="1:11">
      <c r="A998" t="s">
        <v>24</v>
      </c>
      <c r="B998" t="s">
        <v>49</v>
      </c>
      <c r="C998" t="s">
        <v>20</v>
      </c>
      <c r="D998" t="s">
        <v>26</v>
      </c>
      <c r="E998" t="s">
        <v>22</v>
      </c>
      <c r="F998">
        <v>1502</v>
      </c>
      <c r="G998" s="1">
        <v>12221</v>
      </c>
      <c r="H998" s="2">
        <v>45254</v>
      </c>
      <c r="I998" t="s">
        <v>39</v>
      </c>
      <c r="J998" t="s">
        <v>1034</v>
      </c>
      <c r="K998" t="s">
        <v>18</v>
      </c>
    </row>
    <row r="999" spans="1:11">
      <c r="A999" t="s">
        <v>35</v>
      </c>
      <c r="B999" t="s">
        <v>12</v>
      </c>
      <c r="C999" t="s">
        <v>13</v>
      </c>
      <c r="D999" t="s">
        <v>66</v>
      </c>
      <c r="E999">
        <v>30</v>
      </c>
      <c r="F999">
        <v>1552</v>
      </c>
      <c r="G999" s="1">
        <v>11238</v>
      </c>
      <c r="H999" s="2">
        <v>45408</v>
      </c>
      <c r="I999" t="s">
        <v>32</v>
      </c>
      <c r="J999" t="s">
        <v>1035</v>
      </c>
      <c r="K999" t="s">
        <v>44</v>
      </c>
    </row>
    <row r="1000" spans="1:11">
      <c r="A1000" t="s">
        <v>35</v>
      </c>
      <c r="B1000" t="s">
        <v>12</v>
      </c>
      <c r="C1000" t="s">
        <v>25</v>
      </c>
      <c r="D1000" t="s">
        <v>26</v>
      </c>
      <c r="E1000" t="s">
        <v>38</v>
      </c>
      <c r="F1000">
        <v>1152</v>
      </c>
      <c r="G1000" s="1">
        <v>39119</v>
      </c>
      <c r="H1000" s="2">
        <v>45408</v>
      </c>
      <c r="I1000" t="s">
        <v>41</v>
      </c>
      <c r="J1000" t="s">
        <v>1036</v>
      </c>
      <c r="K1000" t="s">
        <v>18</v>
      </c>
    </row>
    <row r="1001" spans="1:11">
      <c r="A1001" t="s">
        <v>45</v>
      </c>
      <c r="B1001" t="s">
        <v>19</v>
      </c>
      <c r="C1001" t="s">
        <v>59</v>
      </c>
      <c r="D1001" t="s">
        <v>14</v>
      </c>
      <c r="E1001">
        <v>60</v>
      </c>
      <c r="F1001">
        <v>996</v>
      </c>
      <c r="G1001" s="1">
        <v>46219</v>
      </c>
      <c r="H1001" s="2">
        <v>45144</v>
      </c>
      <c r="I1001" t="s">
        <v>27</v>
      </c>
      <c r="J1001" t="s">
        <v>1037</v>
      </c>
      <c r="K1001"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A7A48-41DC-4812-8DAC-384AA429C735}">
  <dimension ref="A1:R1001"/>
  <sheetViews>
    <sheetView workbookViewId="0">
      <selection activeCell="E4" sqref="E4"/>
    </sheetView>
  </sheetViews>
  <sheetFormatPr defaultRowHeight="14.4"/>
  <cols>
    <col min="1" max="1" width="12.33203125" customWidth="1"/>
    <col min="2" max="2" width="14.5546875" customWidth="1"/>
    <col min="3" max="3" width="13.77734375" customWidth="1"/>
    <col min="4" max="4" width="10.109375" customWidth="1"/>
    <col min="5" max="5" width="13.5546875" customWidth="1"/>
    <col min="6" max="6" width="11.33203125" customWidth="1"/>
    <col min="7" max="7" width="10.5546875" bestFit="1" customWidth="1"/>
    <col min="8" max="8" width="11" bestFit="1" customWidth="1"/>
    <col min="9" max="9" width="12.88671875" bestFit="1" customWidth="1"/>
    <col min="10" max="10" width="21.33203125" bestFit="1" customWidth="1"/>
    <col min="11" max="11" width="15.5546875" customWidth="1"/>
    <col min="13" max="13" width="9.6640625" bestFit="1" customWidth="1"/>
    <col min="14" max="14" width="16.44140625" bestFit="1" customWidth="1"/>
    <col min="15" max="15" width="17.21875" bestFit="1" customWidth="1"/>
    <col min="16" max="16" width="20" bestFit="1" customWidth="1"/>
    <col min="17" max="17" width="15.33203125" bestFit="1" customWidth="1"/>
    <col min="18" max="18" width="20" bestFit="1" customWidth="1"/>
  </cols>
  <sheetData>
    <row r="1" spans="1:18">
      <c r="A1" t="s">
        <v>0</v>
      </c>
      <c r="B1" t="s">
        <v>1</v>
      </c>
      <c r="C1" t="s">
        <v>2</v>
      </c>
      <c r="D1" t="s">
        <v>3</v>
      </c>
      <c r="E1" t="s">
        <v>4</v>
      </c>
      <c r="F1" t="s">
        <v>5</v>
      </c>
      <c r="G1" t="s">
        <v>6</v>
      </c>
      <c r="H1" s="2" t="s">
        <v>7</v>
      </c>
      <c r="I1" t="s">
        <v>8</v>
      </c>
      <c r="J1" t="s">
        <v>9</v>
      </c>
      <c r="K1" t="s">
        <v>10</v>
      </c>
      <c r="L1" t="s">
        <v>1038</v>
      </c>
      <c r="M1" t="s">
        <v>1039</v>
      </c>
      <c r="N1" t="s">
        <v>1042</v>
      </c>
      <c r="O1" t="s">
        <v>1043</v>
      </c>
      <c r="P1" t="s">
        <v>1040</v>
      </c>
      <c r="Q1" s="4" t="s">
        <v>1044</v>
      </c>
      <c r="R1" t="s">
        <v>1041</v>
      </c>
    </row>
    <row r="2" spans="1:18">
      <c r="A2" t="s">
        <v>11</v>
      </c>
      <c r="B2" t="s">
        <v>12</v>
      </c>
      <c r="C2" t="s">
        <v>13</v>
      </c>
      <c r="D2" t="s">
        <v>14</v>
      </c>
      <c r="E2" t="s">
        <v>15</v>
      </c>
      <c r="F2">
        <v>1500</v>
      </c>
      <c r="G2" s="1">
        <v>43833</v>
      </c>
      <c r="H2" s="2">
        <v>45329</v>
      </c>
      <c r="I2" t="s">
        <v>16</v>
      </c>
      <c r="J2" t="s">
        <v>17</v>
      </c>
      <c r="K2" t="s">
        <v>18</v>
      </c>
      <c r="L2" t="str">
        <f t="shared" ref="L2:L65" si="0">TEXT(H2,"MMM")</f>
        <v>Feb</v>
      </c>
      <c r="M2" t="str">
        <f t="shared" ref="M2:M65" si="1">"Q"&amp;ROUNDUP(MONTH(H2)/3,0)</f>
        <v>Q1</v>
      </c>
      <c r="N2" t="str">
        <f t="shared" ref="N2:N65" si="2">IF(G2&gt;40000,"High",
IF(G2&gt;20000,"Medium","Low"))</f>
        <v>High</v>
      </c>
      <c r="O2" s="5">
        <f>_xlfn.XLOOKUP(I2,Helper_Table!A:A,Helper_Table!B:B)</f>
        <v>1.1000000000000001</v>
      </c>
      <c r="P2" s="3">
        <f t="shared" ref="P2:P65" si="3">G2*O2</f>
        <v>48216.3</v>
      </c>
      <c r="Q2" s="4">
        <f t="shared" ref="Q2:Q65" si="4">G2/P2</f>
        <v>0.90909090909090906</v>
      </c>
      <c r="R2" t="str">
        <f t="shared" ref="R2:R65" si="5">IF(Q2&gt;=1,"Achieved","Below Target")</f>
        <v>Below Target</v>
      </c>
    </row>
    <row r="3" spans="1:18">
      <c r="A3" t="s">
        <v>11</v>
      </c>
      <c r="B3" t="s">
        <v>19</v>
      </c>
      <c r="C3" t="s">
        <v>20</v>
      </c>
      <c r="D3" t="s">
        <v>21</v>
      </c>
      <c r="E3" t="s">
        <v>22</v>
      </c>
      <c r="F3">
        <v>1194</v>
      </c>
      <c r="G3" s="1">
        <v>48717</v>
      </c>
      <c r="H3" s="2">
        <v>45146</v>
      </c>
      <c r="I3" t="s">
        <v>16</v>
      </c>
      <c r="J3" t="s">
        <v>23</v>
      </c>
      <c r="K3" t="s">
        <v>18</v>
      </c>
      <c r="L3" t="str">
        <f t="shared" si="0"/>
        <v>Aug</v>
      </c>
      <c r="M3" t="str">
        <f t="shared" si="1"/>
        <v>Q3</v>
      </c>
      <c r="N3" t="str">
        <f t="shared" si="2"/>
        <v>High</v>
      </c>
      <c r="O3">
        <f>_xlfn.XLOOKUP(I3,Helper_Table!A:A,Helper_Table!B:B)</f>
        <v>1.1000000000000001</v>
      </c>
      <c r="P3" s="1">
        <f t="shared" si="3"/>
        <v>53588.700000000004</v>
      </c>
      <c r="Q3" s="4">
        <f t="shared" si="4"/>
        <v>0.90909090909090906</v>
      </c>
      <c r="R3" t="str">
        <f t="shared" si="5"/>
        <v>Below Target</v>
      </c>
    </row>
    <row r="4" spans="1:18">
      <c r="A4" t="s">
        <v>24</v>
      </c>
      <c r="B4" t="s">
        <v>19</v>
      </c>
      <c r="C4" t="s">
        <v>25</v>
      </c>
      <c r="D4" t="s">
        <v>26</v>
      </c>
      <c r="E4">
        <v>60</v>
      </c>
      <c r="F4">
        <v>618</v>
      </c>
      <c r="G4" s="1">
        <v>8744</v>
      </c>
      <c r="H4" s="2">
        <v>45458</v>
      </c>
      <c r="I4" t="s">
        <v>27</v>
      </c>
      <c r="J4" t="s">
        <v>28</v>
      </c>
      <c r="K4" t="s">
        <v>29</v>
      </c>
      <c r="L4" t="str">
        <f t="shared" si="0"/>
        <v>Jun</v>
      </c>
      <c r="M4" t="str">
        <f t="shared" si="1"/>
        <v>Q2</v>
      </c>
      <c r="N4" t="str">
        <f t="shared" si="2"/>
        <v>Low</v>
      </c>
      <c r="O4">
        <f>_xlfn.XLOOKUP(I4,Helper_Table!A:A,Helper_Table!B:B)</f>
        <v>0.9</v>
      </c>
      <c r="P4" s="1">
        <f t="shared" si="3"/>
        <v>7869.6</v>
      </c>
      <c r="Q4" s="4">
        <f t="shared" si="4"/>
        <v>1.1111111111111112</v>
      </c>
      <c r="R4" t="str">
        <f t="shared" si="5"/>
        <v>Achieved</v>
      </c>
    </row>
    <row r="5" spans="1:18">
      <c r="A5" t="s">
        <v>24</v>
      </c>
      <c r="B5" t="s">
        <v>19</v>
      </c>
      <c r="C5" t="s">
        <v>30</v>
      </c>
      <c r="D5" t="s">
        <v>31</v>
      </c>
      <c r="E5" t="s">
        <v>22</v>
      </c>
      <c r="F5">
        <v>1455</v>
      </c>
      <c r="G5" s="1">
        <v>25321</v>
      </c>
      <c r="H5" s="2">
        <v>45488</v>
      </c>
      <c r="I5" t="s">
        <v>32</v>
      </c>
      <c r="J5" t="s">
        <v>33</v>
      </c>
      <c r="K5" t="s">
        <v>34</v>
      </c>
      <c r="L5" t="str">
        <f t="shared" si="0"/>
        <v>Jul</v>
      </c>
      <c r="M5" t="str">
        <f t="shared" si="1"/>
        <v>Q3</v>
      </c>
      <c r="N5" t="str">
        <f t="shared" si="2"/>
        <v>Medium</v>
      </c>
      <c r="O5">
        <f>_xlfn.XLOOKUP(I5,Helper_Table!A:A,Helper_Table!B:B)</f>
        <v>0.95</v>
      </c>
      <c r="P5" s="1">
        <f t="shared" si="3"/>
        <v>24054.949999999997</v>
      </c>
      <c r="Q5" s="4">
        <f t="shared" si="4"/>
        <v>1.0526315789473686</v>
      </c>
      <c r="R5" t="str">
        <f t="shared" si="5"/>
        <v>Achieved</v>
      </c>
    </row>
    <row r="6" spans="1:18">
      <c r="A6" t="s">
        <v>35</v>
      </c>
      <c r="B6" t="s">
        <v>36</v>
      </c>
      <c r="C6" t="s">
        <v>13</v>
      </c>
      <c r="D6" t="s">
        <v>14</v>
      </c>
      <c r="E6" t="s">
        <v>15</v>
      </c>
      <c r="F6">
        <v>130</v>
      </c>
      <c r="G6" s="1">
        <v>13669</v>
      </c>
      <c r="H6" s="2">
        <v>45151</v>
      </c>
      <c r="I6" t="s">
        <v>16</v>
      </c>
      <c r="J6" t="s">
        <v>37</v>
      </c>
      <c r="K6" t="s">
        <v>18</v>
      </c>
      <c r="L6" t="str">
        <f t="shared" si="0"/>
        <v>Aug</v>
      </c>
      <c r="M6" t="str">
        <f t="shared" si="1"/>
        <v>Q3</v>
      </c>
      <c r="N6" t="str">
        <f t="shared" si="2"/>
        <v>Low</v>
      </c>
      <c r="O6">
        <f>_xlfn.XLOOKUP(I6,Helper_Table!A:A,Helper_Table!B:B)</f>
        <v>1.1000000000000001</v>
      </c>
      <c r="P6" s="1">
        <f t="shared" si="3"/>
        <v>15035.900000000001</v>
      </c>
      <c r="Q6" s="4">
        <f t="shared" si="4"/>
        <v>0.90909090909090895</v>
      </c>
      <c r="R6" t="str">
        <f t="shared" si="5"/>
        <v>Below Target</v>
      </c>
    </row>
    <row r="7" spans="1:18">
      <c r="A7" t="s">
        <v>11</v>
      </c>
      <c r="B7" t="s">
        <v>36</v>
      </c>
      <c r="C7" t="s">
        <v>25</v>
      </c>
      <c r="D7" t="s">
        <v>14</v>
      </c>
      <c r="E7" t="s">
        <v>38</v>
      </c>
      <c r="F7">
        <v>619</v>
      </c>
      <c r="G7" s="1">
        <v>7552</v>
      </c>
      <c r="H7" s="2">
        <v>45265</v>
      </c>
      <c r="I7" t="s">
        <v>39</v>
      </c>
      <c r="J7" t="s">
        <v>40</v>
      </c>
      <c r="K7" t="s">
        <v>29</v>
      </c>
      <c r="L7" t="str">
        <f t="shared" si="0"/>
        <v>Dec</v>
      </c>
      <c r="M7" t="str">
        <f t="shared" si="1"/>
        <v>Q4</v>
      </c>
      <c r="N7" t="str">
        <f t="shared" si="2"/>
        <v>Low</v>
      </c>
      <c r="O7">
        <f>_xlfn.XLOOKUP(I7,Helper_Table!A:A,Helper_Table!B:B)</f>
        <v>1.1000000000000001</v>
      </c>
      <c r="P7" s="1">
        <f t="shared" si="3"/>
        <v>8307.2000000000007</v>
      </c>
      <c r="Q7" s="4">
        <f t="shared" si="4"/>
        <v>0.90909090909090906</v>
      </c>
      <c r="R7" t="str">
        <f t="shared" si="5"/>
        <v>Below Target</v>
      </c>
    </row>
    <row r="8" spans="1:18">
      <c r="A8" t="s">
        <v>35</v>
      </c>
      <c r="B8" t="s">
        <v>19</v>
      </c>
      <c r="C8" t="s">
        <v>20</v>
      </c>
      <c r="D8" t="s">
        <v>21</v>
      </c>
      <c r="E8">
        <v>30</v>
      </c>
      <c r="F8">
        <v>1779</v>
      </c>
      <c r="G8" s="1">
        <v>48563</v>
      </c>
      <c r="H8" s="2">
        <v>45146</v>
      </c>
      <c r="I8" t="s">
        <v>41</v>
      </c>
      <c r="J8" t="s">
        <v>42</v>
      </c>
      <c r="K8" t="s">
        <v>29</v>
      </c>
      <c r="L8" t="str">
        <f t="shared" si="0"/>
        <v>Aug</v>
      </c>
      <c r="M8" t="str">
        <f t="shared" si="1"/>
        <v>Q3</v>
      </c>
      <c r="N8" t="str">
        <f t="shared" si="2"/>
        <v>High</v>
      </c>
      <c r="O8">
        <f>_xlfn.XLOOKUP(I8,Helper_Table!A:A,Helper_Table!B:B)</f>
        <v>1.2</v>
      </c>
      <c r="P8" s="1">
        <f t="shared" si="3"/>
        <v>58275.6</v>
      </c>
      <c r="Q8" s="4">
        <f t="shared" si="4"/>
        <v>0.83333333333333337</v>
      </c>
      <c r="R8" t="str">
        <f t="shared" si="5"/>
        <v>Below Target</v>
      </c>
    </row>
    <row r="9" spans="1:18">
      <c r="A9" t="s">
        <v>11</v>
      </c>
      <c r="B9" t="s">
        <v>19</v>
      </c>
      <c r="C9" t="s">
        <v>13</v>
      </c>
      <c r="D9" t="s">
        <v>21</v>
      </c>
      <c r="E9" t="s">
        <v>38</v>
      </c>
      <c r="F9">
        <v>1727</v>
      </c>
      <c r="G9" s="1">
        <v>13672</v>
      </c>
      <c r="H9" s="2">
        <v>45290</v>
      </c>
      <c r="I9" t="s">
        <v>32</v>
      </c>
      <c r="J9" t="s">
        <v>43</v>
      </c>
      <c r="K9" t="s">
        <v>44</v>
      </c>
      <c r="L9" t="str">
        <f t="shared" si="0"/>
        <v>Dec</v>
      </c>
      <c r="M9" t="str">
        <f t="shared" si="1"/>
        <v>Q4</v>
      </c>
      <c r="N9" t="str">
        <f t="shared" si="2"/>
        <v>Low</v>
      </c>
      <c r="O9">
        <f>_xlfn.XLOOKUP(I9,Helper_Table!A:A,Helper_Table!B:B)</f>
        <v>0.95</v>
      </c>
      <c r="P9" s="1">
        <f t="shared" si="3"/>
        <v>12988.4</v>
      </c>
      <c r="Q9" s="4">
        <f t="shared" si="4"/>
        <v>1.0526315789473684</v>
      </c>
      <c r="R9" t="str">
        <f t="shared" si="5"/>
        <v>Achieved</v>
      </c>
    </row>
    <row r="10" spans="1:18">
      <c r="A10" t="s">
        <v>45</v>
      </c>
      <c r="B10" t="s">
        <v>36</v>
      </c>
      <c r="C10" t="s">
        <v>25</v>
      </c>
      <c r="D10" t="s">
        <v>21</v>
      </c>
      <c r="E10" t="s">
        <v>15</v>
      </c>
      <c r="F10">
        <v>451</v>
      </c>
      <c r="G10" s="1">
        <v>45835</v>
      </c>
      <c r="H10" s="2">
        <v>45244</v>
      </c>
      <c r="I10" t="s">
        <v>32</v>
      </c>
      <c r="J10" t="s">
        <v>46</v>
      </c>
      <c r="K10" t="s">
        <v>47</v>
      </c>
      <c r="L10" t="str">
        <f t="shared" si="0"/>
        <v>Nov</v>
      </c>
      <c r="M10" t="str">
        <f t="shared" si="1"/>
        <v>Q4</v>
      </c>
      <c r="N10" t="str">
        <f t="shared" si="2"/>
        <v>High</v>
      </c>
      <c r="O10">
        <f>_xlfn.XLOOKUP(I10,Helper_Table!A:A,Helper_Table!B:B)</f>
        <v>0.95</v>
      </c>
      <c r="P10" s="1">
        <f t="shared" si="3"/>
        <v>43543.25</v>
      </c>
      <c r="Q10" s="4">
        <f t="shared" si="4"/>
        <v>1.0526315789473684</v>
      </c>
      <c r="R10" t="str">
        <f t="shared" si="5"/>
        <v>Achieved</v>
      </c>
    </row>
    <row r="11" spans="1:18">
      <c r="A11" t="s">
        <v>35</v>
      </c>
      <c r="B11" t="s">
        <v>19</v>
      </c>
      <c r="C11" t="s">
        <v>20</v>
      </c>
      <c r="D11" t="s">
        <v>31</v>
      </c>
      <c r="E11" t="s">
        <v>38</v>
      </c>
      <c r="F11">
        <v>1006</v>
      </c>
      <c r="G11" s="1">
        <v>31716</v>
      </c>
      <c r="H11" s="2">
        <v>45435</v>
      </c>
      <c r="I11" t="s">
        <v>32</v>
      </c>
      <c r="J11" t="s">
        <v>48</v>
      </c>
      <c r="K11" t="s">
        <v>47</v>
      </c>
      <c r="L11" t="str">
        <f t="shared" si="0"/>
        <v>May</v>
      </c>
      <c r="M11" t="str">
        <f t="shared" si="1"/>
        <v>Q2</v>
      </c>
      <c r="N11" t="str">
        <f t="shared" si="2"/>
        <v>Medium</v>
      </c>
      <c r="O11">
        <f>_xlfn.XLOOKUP(I11,Helper_Table!A:A,Helper_Table!B:B)</f>
        <v>0.95</v>
      </c>
      <c r="P11" s="1">
        <f t="shared" si="3"/>
        <v>30130.199999999997</v>
      </c>
      <c r="Q11" s="4">
        <f t="shared" si="4"/>
        <v>1.0526315789473686</v>
      </c>
      <c r="R11" t="str">
        <f t="shared" si="5"/>
        <v>Achieved</v>
      </c>
    </row>
    <row r="12" spans="1:18">
      <c r="A12" t="s">
        <v>35</v>
      </c>
      <c r="B12" t="s">
        <v>49</v>
      </c>
      <c r="C12" t="s">
        <v>25</v>
      </c>
      <c r="D12" t="s">
        <v>26</v>
      </c>
      <c r="E12" t="s">
        <v>22</v>
      </c>
      <c r="F12">
        <v>1633</v>
      </c>
      <c r="G12" s="1">
        <v>33931</v>
      </c>
      <c r="H12" s="2">
        <v>45430</v>
      </c>
      <c r="I12" t="s">
        <v>39</v>
      </c>
      <c r="J12" t="s">
        <v>50</v>
      </c>
      <c r="K12" t="s">
        <v>34</v>
      </c>
      <c r="L12" t="str">
        <f t="shared" si="0"/>
        <v>May</v>
      </c>
      <c r="M12" t="str">
        <f t="shared" si="1"/>
        <v>Q2</v>
      </c>
      <c r="N12" t="str">
        <f t="shared" si="2"/>
        <v>Medium</v>
      </c>
      <c r="O12">
        <f>_xlfn.XLOOKUP(I12,Helper_Table!A:A,Helper_Table!B:B)</f>
        <v>1.1000000000000001</v>
      </c>
      <c r="P12" s="1">
        <f t="shared" si="3"/>
        <v>37324.100000000006</v>
      </c>
      <c r="Q12" s="4">
        <f t="shared" si="4"/>
        <v>0.90909090909090895</v>
      </c>
      <c r="R12" t="str">
        <f t="shared" si="5"/>
        <v>Below Target</v>
      </c>
    </row>
    <row r="13" spans="1:18">
      <c r="A13" t="s">
        <v>45</v>
      </c>
      <c r="B13" t="s">
        <v>51</v>
      </c>
      <c r="C13" t="s">
        <v>20</v>
      </c>
      <c r="D13" t="s">
        <v>26</v>
      </c>
      <c r="E13">
        <v>30</v>
      </c>
      <c r="F13">
        <v>128</v>
      </c>
      <c r="G13" s="1">
        <v>35258</v>
      </c>
      <c r="H13" s="2">
        <v>45238</v>
      </c>
      <c r="I13" t="s">
        <v>41</v>
      </c>
      <c r="J13" t="s">
        <v>52</v>
      </c>
      <c r="K13" t="s">
        <v>44</v>
      </c>
      <c r="L13" t="str">
        <f t="shared" si="0"/>
        <v>Nov</v>
      </c>
      <c r="M13" t="str">
        <f t="shared" si="1"/>
        <v>Q4</v>
      </c>
      <c r="N13" t="str">
        <f t="shared" si="2"/>
        <v>Medium</v>
      </c>
      <c r="O13">
        <f>_xlfn.XLOOKUP(I13,Helper_Table!A:A,Helper_Table!B:B)</f>
        <v>1.2</v>
      </c>
      <c r="P13" s="1">
        <f t="shared" si="3"/>
        <v>42309.599999999999</v>
      </c>
      <c r="Q13" s="4">
        <f t="shared" si="4"/>
        <v>0.83333333333333337</v>
      </c>
      <c r="R13" t="str">
        <f t="shared" si="5"/>
        <v>Below Target</v>
      </c>
    </row>
    <row r="14" spans="1:18">
      <c r="A14" t="s">
        <v>35</v>
      </c>
      <c r="B14" t="s">
        <v>36</v>
      </c>
      <c r="C14" t="s">
        <v>30</v>
      </c>
      <c r="D14" t="s">
        <v>21</v>
      </c>
      <c r="E14" t="s">
        <v>38</v>
      </c>
      <c r="F14">
        <v>504</v>
      </c>
      <c r="G14" s="1">
        <v>36459</v>
      </c>
      <c r="H14" s="2">
        <v>45157</v>
      </c>
      <c r="I14" t="s">
        <v>39</v>
      </c>
      <c r="J14" t="s">
        <v>53</v>
      </c>
      <c r="K14" t="s">
        <v>34</v>
      </c>
      <c r="L14" t="str">
        <f t="shared" si="0"/>
        <v>Aug</v>
      </c>
      <c r="M14" t="str">
        <f t="shared" si="1"/>
        <v>Q3</v>
      </c>
      <c r="N14" t="str">
        <f t="shared" si="2"/>
        <v>Medium</v>
      </c>
      <c r="O14">
        <f>_xlfn.XLOOKUP(I14,Helper_Table!A:A,Helper_Table!B:B)</f>
        <v>1.1000000000000001</v>
      </c>
      <c r="P14" s="1">
        <f t="shared" si="3"/>
        <v>40104.9</v>
      </c>
      <c r="Q14" s="4">
        <f t="shared" si="4"/>
        <v>0.90909090909090906</v>
      </c>
      <c r="R14" t="str">
        <f t="shared" si="5"/>
        <v>Below Target</v>
      </c>
    </row>
    <row r="15" spans="1:18">
      <c r="A15" t="s">
        <v>24</v>
      </c>
      <c r="B15" t="s">
        <v>36</v>
      </c>
      <c r="C15" t="s">
        <v>20</v>
      </c>
      <c r="D15" t="s">
        <v>21</v>
      </c>
      <c r="E15" t="s">
        <v>22</v>
      </c>
      <c r="F15">
        <v>216</v>
      </c>
      <c r="G15" s="1">
        <v>32152</v>
      </c>
      <c r="H15" s="2">
        <v>45481</v>
      </c>
      <c r="I15" t="s">
        <v>39</v>
      </c>
      <c r="J15" t="s">
        <v>54</v>
      </c>
      <c r="K15" t="s">
        <v>34</v>
      </c>
      <c r="L15" t="str">
        <f t="shared" si="0"/>
        <v>Jul</v>
      </c>
      <c r="M15" t="str">
        <f t="shared" si="1"/>
        <v>Q3</v>
      </c>
      <c r="N15" t="str">
        <f t="shared" si="2"/>
        <v>Medium</v>
      </c>
      <c r="O15">
        <f>_xlfn.XLOOKUP(I15,Helper_Table!A:A,Helper_Table!B:B)</f>
        <v>1.1000000000000001</v>
      </c>
      <c r="P15" s="1">
        <f t="shared" si="3"/>
        <v>35367.200000000004</v>
      </c>
      <c r="Q15" s="4">
        <f t="shared" si="4"/>
        <v>0.90909090909090895</v>
      </c>
      <c r="R15" t="str">
        <f t="shared" si="5"/>
        <v>Below Target</v>
      </c>
    </row>
    <row r="16" spans="1:18">
      <c r="A16" t="s">
        <v>24</v>
      </c>
      <c r="B16" t="s">
        <v>36</v>
      </c>
      <c r="C16" t="s">
        <v>30</v>
      </c>
      <c r="D16" t="s">
        <v>31</v>
      </c>
      <c r="E16" t="s">
        <v>38</v>
      </c>
      <c r="F16">
        <v>1986</v>
      </c>
      <c r="G16" s="1">
        <v>13538</v>
      </c>
      <c r="H16" s="2">
        <v>45263</v>
      </c>
      <c r="I16" t="s">
        <v>39</v>
      </c>
      <c r="J16" t="s">
        <v>55</v>
      </c>
      <c r="K16" t="s">
        <v>34</v>
      </c>
      <c r="L16" t="str">
        <f t="shared" si="0"/>
        <v>Dec</v>
      </c>
      <c r="M16" t="str">
        <f t="shared" si="1"/>
        <v>Q4</v>
      </c>
      <c r="N16" t="str">
        <f t="shared" si="2"/>
        <v>Low</v>
      </c>
      <c r="O16">
        <f>_xlfn.XLOOKUP(I16,Helper_Table!A:A,Helper_Table!B:B)</f>
        <v>1.1000000000000001</v>
      </c>
      <c r="P16" s="1">
        <f t="shared" si="3"/>
        <v>14891.800000000001</v>
      </c>
      <c r="Q16" s="4">
        <f t="shared" si="4"/>
        <v>0.90909090909090906</v>
      </c>
      <c r="R16" t="str">
        <f t="shared" si="5"/>
        <v>Below Target</v>
      </c>
    </row>
    <row r="17" spans="1:18">
      <c r="A17" t="s">
        <v>45</v>
      </c>
      <c r="B17" t="s">
        <v>12</v>
      </c>
      <c r="C17" t="s">
        <v>20</v>
      </c>
      <c r="D17" t="s">
        <v>26</v>
      </c>
      <c r="E17">
        <v>30</v>
      </c>
      <c r="F17">
        <v>1977</v>
      </c>
      <c r="G17" s="1">
        <v>9566</v>
      </c>
      <c r="H17" s="2">
        <v>45486</v>
      </c>
      <c r="I17" t="s">
        <v>27</v>
      </c>
      <c r="J17" t="s">
        <v>56</v>
      </c>
      <c r="K17" t="s">
        <v>44</v>
      </c>
      <c r="L17" t="str">
        <f t="shared" si="0"/>
        <v>Jul</v>
      </c>
      <c r="M17" t="str">
        <f t="shared" si="1"/>
        <v>Q3</v>
      </c>
      <c r="N17" t="str">
        <f t="shared" si="2"/>
        <v>Low</v>
      </c>
      <c r="O17">
        <f>_xlfn.XLOOKUP(I17,Helper_Table!A:A,Helper_Table!B:B)</f>
        <v>0.9</v>
      </c>
      <c r="P17" s="1">
        <f t="shared" si="3"/>
        <v>8609.4</v>
      </c>
      <c r="Q17" s="4">
        <f t="shared" si="4"/>
        <v>1.1111111111111112</v>
      </c>
      <c r="R17" t="str">
        <f t="shared" si="5"/>
        <v>Achieved</v>
      </c>
    </row>
    <row r="18" spans="1:18">
      <c r="A18" t="s">
        <v>45</v>
      </c>
      <c r="B18" t="s">
        <v>36</v>
      </c>
      <c r="C18" t="s">
        <v>13</v>
      </c>
      <c r="D18" t="s">
        <v>14</v>
      </c>
      <c r="E18" t="s">
        <v>15</v>
      </c>
      <c r="F18">
        <v>1320</v>
      </c>
      <c r="G18" s="1">
        <v>29932</v>
      </c>
      <c r="H18" s="2">
        <v>45160</v>
      </c>
      <c r="I18" t="s">
        <v>41</v>
      </c>
      <c r="J18" t="s">
        <v>57</v>
      </c>
      <c r="K18" t="s">
        <v>18</v>
      </c>
      <c r="L18" t="str">
        <f t="shared" si="0"/>
        <v>Aug</v>
      </c>
      <c r="M18" t="str">
        <f t="shared" si="1"/>
        <v>Q3</v>
      </c>
      <c r="N18" t="str">
        <f t="shared" si="2"/>
        <v>Medium</v>
      </c>
      <c r="O18">
        <f>_xlfn.XLOOKUP(I18,Helper_Table!A:A,Helper_Table!B:B)</f>
        <v>1.2</v>
      </c>
      <c r="P18" s="1">
        <f t="shared" si="3"/>
        <v>35918.400000000001</v>
      </c>
      <c r="Q18" s="4">
        <f t="shared" si="4"/>
        <v>0.83333333333333326</v>
      </c>
      <c r="R18" t="str">
        <f t="shared" si="5"/>
        <v>Below Target</v>
      </c>
    </row>
    <row r="19" spans="1:18">
      <c r="A19" t="s">
        <v>24</v>
      </c>
      <c r="B19" t="s">
        <v>12</v>
      </c>
      <c r="C19" t="s">
        <v>20</v>
      </c>
      <c r="D19" t="s">
        <v>31</v>
      </c>
      <c r="E19">
        <v>30</v>
      </c>
      <c r="F19">
        <v>1766</v>
      </c>
      <c r="G19" s="1">
        <v>45608</v>
      </c>
      <c r="H19" s="2">
        <v>45349</v>
      </c>
      <c r="I19" t="s">
        <v>16</v>
      </c>
      <c r="J19" t="s">
        <v>58</v>
      </c>
      <c r="K19" t="s">
        <v>34</v>
      </c>
      <c r="L19" t="str">
        <f t="shared" si="0"/>
        <v>Feb</v>
      </c>
      <c r="M19" t="str">
        <f t="shared" si="1"/>
        <v>Q1</v>
      </c>
      <c r="N19" t="str">
        <f t="shared" si="2"/>
        <v>High</v>
      </c>
      <c r="O19">
        <f>_xlfn.XLOOKUP(I19,Helper_Table!A:A,Helper_Table!B:B)</f>
        <v>1.1000000000000001</v>
      </c>
      <c r="P19" s="1">
        <f t="shared" si="3"/>
        <v>50168.800000000003</v>
      </c>
      <c r="Q19" s="4">
        <f t="shared" si="4"/>
        <v>0.90909090909090906</v>
      </c>
      <c r="R19" t="str">
        <f t="shared" si="5"/>
        <v>Below Target</v>
      </c>
    </row>
    <row r="20" spans="1:18">
      <c r="A20" t="s">
        <v>11</v>
      </c>
      <c r="B20" t="s">
        <v>19</v>
      </c>
      <c r="C20" t="s">
        <v>59</v>
      </c>
      <c r="D20" t="s">
        <v>14</v>
      </c>
      <c r="E20">
        <v>60</v>
      </c>
      <c r="F20">
        <v>1078</v>
      </c>
      <c r="G20" s="1">
        <v>42394</v>
      </c>
      <c r="H20" s="2">
        <v>45303</v>
      </c>
      <c r="I20" t="s">
        <v>16</v>
      </c>
      <c r="J20" t="s">
        <v>60</v>
      </c>
      <c r="K20" t="s">
        <v>44</v>
      </c>
      <c r="L20" t="str">
        <f t="shared" si="0"/>
        <v>Jan</v>
      </c>
      <c r="M20" t="str">
        <f t="shared" si="1"/>
        <v>Q1</v>
      </c>
      <c r="N20" t="str">
        <f t="shared" si="2"/>
        <v>High</v>
      </c>
      <c r="O20">
        <f>_xlfn.XLOOKUP(I20,Helper_Table!A:A,Helper_Table!B:B)</f>
        <v>1.1000000000000001</v>
      </c>
      <c r="P20" s="1">
        <f t="shared" si="3"/>
        <v>46633.4</v>
      </c>
      <c r="Q20" s="4">
        <f t="shared" si="4"/>
        <v>0.90909090909090906</v>
      </c>
      <c r="R20" t="str">
        <f t="shared" si="5"/>
        <v>Below Target</v>
      </c>
    </row>
    <row r="21" spans="1:18">
      <c r="A21" t="s">
        <v>35</v>
      </c>
      <c r="B21" t="s">
        <v>19</v>
      </c>
      <c r="C21" t="s">
        <v>30</v>
      </c>
      <c r="D21" t="s">
        <v>21</v>
      </c>
      <c r="E21">
        <v>60</v>
      </c>
      <c r="F21">
        <v>783</v>
      </c>
      <c r="G21" s="1">
        <v>48016</v>
      </c>
      <c r="H21" s="2">
        <v>45315</v>
      </c>
      <c r="I21" t="s">
        <v>32</v>
      </c>
      <c r="J21" t="s">
        <v>61</v>
      </c>
      <c r="K21" t="s">
        <v>18</v>
      </c>
      <c r="L21" t="str">
        <f t="shared" si="0"/>
        <v>Jan</v>
      </c>
      <c r="M21" t="str">
        <f t="shared" si="1"/>
        <v>Q1</v>
      </c>
      <c r="N21" t="str">
        <f t="shared" si="2"/>
        <v>High</v>
      </c>
      <c r="O21">
        <f>_xlfn.XLOOKUP(I21,Helper_Table!A:A,Helper_Table!B:B)</f>
        <v>0.95</v>
      </c>
      <c r="P21" s="1">
        <f t="shared" si="3"/>
        <v>45615.199999999997</v>
      </c>
      <c r="Q21" s="4">
        <f t="shared" si="4"/>
        <v>1.0526315789473686</v>
      </c>
      <c r="R21" t="str">
        <f t="shared" si="5"/>
        <v>Achieved</v>
      </c>
    </row>
    <row r="22" spans="1:18">
      <c r="A22" t="s">
        <v>24</v>
      </c>
      <c r="B22" t="s">
        <v>19</v>
      </c>
      <c r="C22" t="s">
        <v>25</v>
      </c>
      <c r="D22" t="s">
        <v>14</v>
      </c>
      <c r="E22">
        <v>60</v>
      </c>
      <c r="F22">
        <v>1161</v>
      </c>
      <c r="G22" s="1">
        <v>11048</v>
      </c>
      <c r="H22" s="2">
        <v>45299</v>
      </c>
      <c r="I22" t="s">
        <v>39</v>
      </c>
      <c r="J22" t="s">
        <v>62</v>
      </c>
      <c r="K22" t="s">
        <v>18</v>
      </c>
      <c r="L22" t="str">
        <f t="shared" si="0"/>
        <v>Jan</v>
      </c>
      <c r="M22" t="str">
        <f t="shared" si="1"/>
        <v>Q1</v>
      </c>
      <c r="N22" t="str">
        <f t="shared" si="2"/>
        <v>Low</v>
      </c>
      <c r="O22">
        <f>_xlfn.XLOOKUP(I22,Helper_Table!A:A,Helper_Table!B:B)</f>
        <v>1.1000000000000001</v>
      </c>
      <c r="P22" s="1">
        <f t="shared" si="3"/>
        <v>12152.800000000001</v>
      </c>
      <c r="Q22" s="4">
        <f t="shared" si="4"/>
        <v>0.90909090909090906</v>
      </c>
      <c r="R22" t="str">
        <f t="shared" si="5"/>
        <v>Below Target</v>
      </c>
    </row>
    <row r="23" spans="1:18">
      <c r="A23" t="s">
        <v>45</v>
      </c>
      <c r="B23" t="s">
        <v>19</v>
      </c>
      <c r="C23" t="s">
        <v>25</v>
      </c>
      <c r="D23" t="s">
        <v>26</v>
      </c>
      <c r="E23" t="s">
        <v>15</v>
      </c>
      <c r="F23">
        <v>1820</v>
      </c>
      <c r="G23" s="1">
        <v>16952</v>
      </c>
      <c r="H23" s="2">
        <v>45366</v>
      </c>
      <c r="I23" t="s">
        <v>27</v>
      </c>
      <c r="J23" t="s">
        <v>63</v>
      </c>
      <c r="K23" t="s">
        <v>29</v>
      </c>
      <c r="L23" t="str">
        <f t="shared" si="0"/>
        <v>Mar</v>
      </c>
      <c r="M23" t="str">
        <f t="shared" si="1"/>
        <v>Q1</v>
      </c>
      <c r="N23" t="str">
        <f t="shared" si="2"/>
        <v>Low</v>
      </c>
      <c r="O23">
        <f>_xlfn.XLOOKUP(I23,Helper_Table!A:A,Helper_Table!B:B)</f>
        <v>0.9</v>
      </c>
      <c r="P23" s="1">
        <f t="shared" si="3"/>
        <v>15256.800000000001</v>
      </c>
      <c r="Q23" s="4">
        <f t="shared" si="4"/>
        <v>1.1111111111111109</v>
      </c>
      <c r="R23" t="str">
        <f t="shared" si="5"/>
        <v>Achieved</v>
      </c>
    </row>
    <row r="24" spans="1:18">
      <c r="A24" t="s">
        <v>64</v>
      </c>
      <c r="B24" t="s">
        <v>36</v>
      </c>
      <c r="C24" t="s">
        <v>13</v>
      </c>
      <c r="D24" t="s">
        <v>26</v>
      </c>
      <c r="E24">
        <v>60</v>
      </c>
      <c r="F24">
        <v>147</v>
      </c>
      <c r="G24" s="1">
        <v>28543</v>
      </c>
      <c r="H24" s="2">
        <v>45437</v>
      </c>
      <c r="I24" t="s">
        <v>27</v>
      </c>
      <c r="J24" t="s">
        <v>65</v>
      </c>
      <c r="K24" t="s">
        <v>29</v>
      </c>
      <c r="L24" t="str">
        <f t="shared" si="0"/>
        <v>May</v>
      </c>
      <c r="M24" t="str">
        <f t="shared" si="1"/>
        <v>Q2</v>
      </c>
      <c r="N24" t="str">
        <f t="shared" si="2"/>
        <v>Medium</v>
      </c>
      <c r="O24">
        <f>_xlfn.XLOOKUP(I24,Helper_Table!A:A,Helper_Table!B:B)</f>
        <v>0.9</v>
      </c>
      <c r="P24" s="1">
        <f t="shared" si="3"/>
        <v>25688.7</v>
      </c>
      <c r="Q24" s="4">
        <f t="shared" si="4"/>
        <v>1.1111111111111112</v>
      </c>
      <c r="R24" t="str">
        <f t="shared" si="5"/>
        <v>Achieved</v>
      </c>
    </row>
    <row r="25" spans="1:18">
      <c r="A25" t="s">
        <v>11</v>
      </c>
      <c r="B25" t="s">
        <v>51</v>
      </c>
      <c r="C25" t="s">
        <v>25</v>
      </c>
      <c r="D25" t="s">
        <v>66</v>
      </c>
      <c r="E25">
        <v>60</v>
      </c>
      <c r="F25">
        <v>990</v>
      </c>
      <c r="G25" s="1">
        <v>5766</v>
      </c>
      <c r="H25" s="2">
        <v>45172</v>
      </c>
      <c r="I25" t="s">
        <v>41</v>
      </c>
      <c r="J25" t="s">
        <v>67</v>
      </c>
      <c r="K25" t="s">
        <v>44</v>
      </c>
      <c r="L25" t="str">
        <f t="shared" si="0"/>
        <v>Sep</v>
      </c>
      <c r="M25" t="str">
        <f t="shared" si="1"/>
        <v>Q3</v>
      </c>
      <c r="N25" t="str">
        <f t="shared" si="2"/>
        <v>Low</v>
      </c>
      <c r="O25">
        <f>_xlfn.XLOOKUP(I25,Helper_Table!A:A,Helper_Table!B:B)</f>
        <v>1.2</v>
      </c>
      <c r="P25" s="1">
        <f t="shared" si="3"/>
        <v>6919.2</v>
      </c>
      <c r="Q25" s="4">
        <f t="shared" si="4"/>
        <v>0.83333333333333337</v>
      </c>
      <c r="R25" t="str">
        <f t="shared" si="5"/>
        <v>Below Target</v>
      </c>
    </row>
    <row r="26" spans="1:18">
      <c r="A26" t="s">
        <v>11</v>
      </c>
      <c r="B26" t="s">
        <v>51</v>
      </c>
      <c r="C26" t="s">
        <v>30</v>
      </c>
      <c r="D26" t="s">
        <v>21</v>
      </c>
      <c r="E26">
        <v>60</v>
      </c>
      <c r="F26">
        <v>223</v>
      </c>
      <c r="G26" s="1">
        <v>23153</v>
      </c>
      <c r="H26" s="2">
        <v>45371</v>
      </c>
      <c r="I26" t="s">
        <v>32</v>
      </c>
      <c r="J26" t="s">
        <v>68</v>
      </c>
      <c r="K26" t="s">
        <v>44</v>
      </c>
      <c r="L26" t="str">
        <f t="shared" si="0"/>
        <v>Mar</v>
      </c>
      <c r="M26" t="str">
        <f t="shared" si="1"/>
        <v>Q1</v>
      </c>
      <c r="N26" t="str">
        <f t="shared" si="2"/>
        <v>Medium</v>
      </c>
      <c r="O26">
        <f>_xlfn.XLOOKUP(I26,Helper_Table!A:A,Helper_Table!B:B)</f>
        <v>0.95</v>
      </c>
      <c r="P26" s="1">
        <f t="shared" si="3"/>
        <v>21995.35</v>
      </c>
      <c r="Q26" s="4">
        <f t="shared" si="4"/>
        <v>1.0526315789473686</v>
      </c>
      <c r="R26" t="str">
        <f t="shared" si="5"/>
        <v>Achieved</v>
      </c>
    </row>
    <row r="27" spans="1:18">
      <c r="A27" t="s">
        <v>64</v>
      </c>
      <c r="B27" t="s">
        <v>51</v>
      </c>
      <c r="C27" t="s">
        <v>59</v>
      </c>
      <c r="D27" t="s">
        <v>66</v>
      </c>
      <c r="E27" t="s">
        <v>15</v>
      </c>
      <c r="F27">
        <v>855</v>
      </c>
      <c r="G27" s="1">
        <v>22920</v>
      </c>
      <c r="H27" s="2">
        <v>45313</v>
      </c>
      <c r="I27" t="s">
        <v>16</v>
      </c>
      <c r="J27" t="s">
        <v>69</v>
      </c>
      <c r="K27" t="s">
        <v>47</v>
      </c>
      <c r="L27" t="str">
        <f t="shared" si="0"/>
        <v>Jan</v>
      </c>
      <c r="M27" t="str">
        <f t="shared" si="1"/>
        <v>Q1</v>
      </c>
      <c r="N27" t="str">
        <f t="shared" si="2"/>
        <v>Medium</v>
      </c>
      <c r="O27">
        <f>_xlfn.XLOOKUP(I27,Helper_Table!A:A,Helper_Table!B:B)</f>
        <v>1.1000000000000001</v>
      </c>
      <c r="P27" s="1">
        <f t="shared" si="3"/>
        <v>25212.000000000004</v>
      </c>
      <c r="Q27" s="4">
        <f t="shared" si="4"/>
        <v>0.90909090909090895</v>
      </c>
      <c r="R27" t="str">
        <f t="shared" si="5"/>
        <v>Below Target</v>
      </c>
    </row>
    <row r="28" spans="1:18">
      <c r="A28" t="s">
        <v>35</v>
      </c>
      <c r="B28" t="s">
        <v>19</v>
      </c>
      <c r="C28" t="s">
        <v>20</v>
      </c>
      <c r="D28" t="s">
        <v>26</v>
      </c>
      <c r="E28" t="s">
        <v>22</v>
      </c>
      <c r="F28">
        <v>968</v>
      </c>
      <c r="G28" s="1">
        <v>6595</v>
      </c>
      <c r="H28" s="2">
        <v>45264</v>
      </c>
      <c r="I28" t="s">
        <v>27</v>
      </c>
      <c r="J28" t="s">
        <v>70</v>
      </c>
      <c r="K28" t="s">
        <v>29</v>
      </c>
      <c r="L28" t="str">
        <f t="shared" si="0"/>
        <v>Dec</v>
      </c>
      <c r="M28" t="str">
        <f t="shared" si="1"/>
        <v>Q4</v>
      </c>
      <c r="N28" t="str">
        <f t="shared" si="2"/>
        <v>Low</v>
      </c>
      <c r="O28">
        <f>_xlfn.XLOOKUP(I28,Helper_Table!A:A,Helper_Table!B:B)</f>
        <v>0.9</v>
      </c>
      <c r="P28" s="1">
        <f t="shared" si="3"/>
        <v>5935.5</v>
      </c>
      <c r="Q28" s="4">
        <f t="shared" si="4"/>
        <v>1.1111111111111112</v>
      </c>
      <c r="R28" t="str">
        <f t="shared" si="5"/>
        <v>Achieved</v>
      </c>
    </row>
    <row r="29" spans="1:18">
      <c r="A29" t="s">
        <v>11</v>
      </c>
      <c r="B29" t="s">
        <v>12</v>
      </c>
      <c r="C29" t="s">
        <v>20</v>
      </c>
      <c r="D29" t="s">
        <v>31</v>
      </c>
      <c r="E29" t="s">
        <v>38</v>
      </c>
      <c r="F29">
        <v>1378</v>
      </c>
      <c r="G29" s="1">
        <v>37523</v>
      </c>
      <c r="H29" s="2">
        <v>45271</v>
      </c>
      <c r="I29" t="s">
        <v>16</v>
      </c>
      <c r="J29" t="s">
        <v>71</v>
      </c>
      <c r="K29" t="s">
        <v>44</v>
      </c>
      <c r="L29" t="str">
        <f t="shared" si="0"/>
        <v>Dec</v>
      </c>
      <c r="M29" t="str">
        <f t="shared" si="1"/>
        <v>Q4</v>
      </c>
      <c r="N29" t="str">
        <f t="shared" si="2"/>
        <v>Medium</v>
      </c>
      <c r="O29">
        <f>_xlfn.XLOOKUP(I29,Helper_Table!A:A,Helper_Table!B:B)</f>
        <v>1.1000000000000001</v>
      </c>
      <c r="P29" s="1">
        <f t="shared" si="3"/>
        <v>41275.300000000003</v>
      </c>
      <c r="Q29" s="4">
        <f t="shared" si="4"/>
        <v>0.90909090909090906</v>
      </c>
      <c r="R29" t="str">
        <f t="shared" si="5"/>
        <v>Below Target</v>
      </c>
    </row>
    <row r="30" spans="1:18">
      <c r="A30" t="s">
        <v>11</v>
      </c>
      <c r="B30" t="s">
        <v>51</v>
      </c>
      <c r="C30" t="s">
        <v>13</v>
      </c>
      <c r="D30" t="s">
        <v>21</v>
      </c>
      <c r="E30" t="s">
        <v>22</v>
      </c>
      <c r="F30">
        <v>1473</v>
      </c>
      <c r="G30" s="1">
        <v>23815</v>
      </c>
      <c r="H30" s="2">
        <v>45495</v>
      </c>
      <c r="I30" t="s">
        <v>16</v>
      </c>
      <c r="J30" t="s">
        <v>72</v>
      </c>
      <c r="K30" t="s">
        <v>47</v>
      </c>
      <c r="L30" t="str">
        <f t="shared" si="0"/>
        <v>Jul</v>
      </c>
      <c r="M30" t="str">
        <f t="shared" si="1"/>
        <v>Q3</v>
      </c>
      <c r="N30" t="str">
        <f t="shared" si="2"/>
        <v>Medium</v>
      </c>
      <c r="O30">
        <f>_xlfn.XLOOKUP(I30,Helper_Table!A:A,Helper_Table!B:B)</f>
        <v>1.1000000000000001</v>
      </c>
      <c r="P30" s="1">
        <f t="shared" si="3"/>
        <v>26196.500000000004</v>
      </c>
      <c r="Q30" s="4">
        <f t="shared" si="4"/>
        <v>0.90909090909090895</v>
      </c>
      <c r="R30" t="str">
        <f t="shared" si="5"/>
        <v>Below Target</v>
      </c>
    </row>
    <row r="31" spans="1:18">
      <c r="A31" t="s">
        <v>35</v>
      </c>
      <c r="B31" t="s">
        <v>19</v>
      </c>
      <c r="C31" t="s">
        <v>25</v>
      </c>
      <c r="D31" t="s">
        <v>66</v>
      </c>
      <c r="E31" t="s">
        <v>22</v>
      </c>
      <c r="F31">
        <v>791</v>
      </c>
      <c r="G31" s="1">
        <v>40754</v>
      </c>
      <c r="H31" s="2">
        <v>45417</v>
      </c>
      <c r="I31" t="s">
        <v>27</v>
      </c>
      <c r="J31" t="s">
        <v>73</v>
      </c>
      <c r="K31" t="s">
        <v>29</v>
      </c>
      <c r="L31" t="str">
        <f t="shared" si="0"/>
        <v>May</v>
      </c>
      <c r="M31" t="str">
        <f t="shared" si="1"/>
        <v>Q2</v>
      </c>
      <c r="N31" t="str">
        <f t="shared" si="2"/>
        <v>High</v>
      </c>
      <c r="O31">
        <f>_xlfn.XLOOKUP(I31,Helper_Table!A:A,Helper_Table!B:B)</f>
        <v>0.9</v>
      </c>
      <c r="P31" s="1">
        <f t="shared" si="3"/>
        <v>36678.6</v>
      </c>
      <c r="Q31" s="4">
        <f t="shared" si="4"/>
        <v>1.1111111111111112</v>
      </c>
      <c r="R31" t="str">
        <f t="shared" si="5"/>
        <v>Achieved</v>
      </c>
    </row>
    <row r="32" spans="1:18">
      <c r="A32" t="s">
        <v>35</v>
      </c>
      <c r="B32" t="s">
        <v>36</v>
      </c>
      <c r="C32" t="s">
        <v>13</v>
      </c>
      <c r="D32" t="s">
        <v>31</v>
      </c>
      <c r="E32" t="s">
        <v>15</v>
      </c>
      <c r="F32">
        <v>1523</v>
      </c>
      <c r="G32" s="1">
        <v>35645</v>
      </c>
      <c r="H32" s="2">
        <v>45211</v>
      </c>
      <c r="I32" t="s">
        <v>16</v>
      </c>
      <c r="J32" t="s">
        <v>74</v>
      </c>
      <c r="K32" t="s">
        <v>18</v>
      </c>
      <c r="L32" t="str">
        <f t="shared" si="0"/>
        <v>Oct</v>
      </c>
      <c r="M32" t="str">
        <f t="shared" si="1"/>
        <v>Q4</v>
      </c>
      <c r="N32" t="str">
        <f t="shared" si="2"/>
        <v>Medium</v>
      </c>
      <c r="O32">
        <f>_xlfn.XLOOKUP(I32,Helper_Table!A:A,Helper_Table!B:B)</f>
        <v>1.1000000000000001</v>
      </c>
      <c r="P32" s="1">
        <f t="shared" si="3"/>
        <v>39209.5</v>
      </c>
      <c r="Q32" s="4">
        <f t="shared" si="4"/>
        <v>0.90909090909090906</v>
      </c>
      <c r="R32" t="str">
        <f t="shared" si="5"/>
        <v>Below Target</v>
      </c>
    </row>
    <row r="33" spans="1:18">
      <c r="A33" t="s">
        <v>24</v>
      </c>
      <c r="B33" t="s">
        <v>12</v>
      </c>
      <c r="C33" t="s">
        <v>20</v>
      </c>
      <c r="D33" t="s">
        <v>66</v>
      </c>
      <c r="E33" t="s">
        <v>15</v>
      </c>
      <c r="F33">
        <v>1214</v>
      </c>
      <c r="G33" s="1">
        <v>1820</v>
      </c>
      <c r="H33" s="2">
        <v>45359</v>
      </c>
      <c r="I33" t="s">
        <v>16</v>
      </c>
      <c r="J33" t="s">
        <v>75</v>
      </c>
      <c r="K33" t="s">
        <v>44</v>
      </c>
      <c r="L33" t="str">
        <f t="shared" si="0"/>
        <v>Mar</v>
      </c>
      <c r="M33" t="str">
        <f t="shared" si="1"/>
        <v>Q1</v>
      </c>
      <c r="N33" t="str">
        <f t="shared" si="2"/>
        <v>Low</v>
      </c>
      <c r="O33">
        <f>_xlfn.XLOOKUP(I33,Helper_Table!A:A,Helper_Table!B:B)</f>
        <v>1.1000000000000001</v>
      </c>
      <c r="P33" s="1">
        <f t="shared" si="3"/>
        <v>2002.0000000000002</v>
      </c>
      <c r="Q33" s="4">
        <f t="shared" si="4"/>
        <v>0.90909090909090895</v>
      </c>
      <c r="R33" t="str">
        <f t="shared" si="5"/>
        <v>Below Target</v>
      </c>
    </row>
    <row r="34" spans="1:18">
      <c r="A34" t="s">
        <v>35</v>
      </c>
      <c r="B34" t="s">
        <v>36</v>
      </c>
      <c r="C34" t="s">
        <v>30</v>
      </c>
      <c r="D34" t="s">
        <v>66</v>
      </c>
      <c r="E34">
        <v>60</v>
      </c>
      <c r="F34">
        <v>440</v>
      </c>
      <c r="G34" s="1">
        <v>13578</v>
      </c>
      <c r="H34" s="2">
        <v>45470</v>
      </c>
      <c r="I34" t="s">
        <v>32</v>
      </c>
      <c r="J34" t="s">
        <v>76</v>
      </c>
      <c r="K34" t="s">
        <v>29</v>
      </c>
      <c r="L34" t="str">
        <f t="shared" si="0"/>
        <v>Jun</v>
      </c>
      <c r="M34" t="str">
        <f t="shared" si="1"/>
        <v>Q2</v>
      </c>
      <c r="N34" t="str">
        <f t="shared" si="2"/>
        <v>Low</v>
      </c>
      <c r="O34">
        <f>_xlfn.XLOOKUP(I34,Helper_Table!A:A,Helper_Table!B:B)</f>
        <v>0.95</v>
      </c>
      <c r="P34" s="1">
        <f t="shared" si="3"/>
        <v>12899.099999999999</v>
      </c>
      <c r="Q34" s="4">
        <f t="shared" si="4"/>
        <v>1.0526315789473686</v>
      </c>
      <c r="R34" t="str">
        <f t="shared" si="5"/>
        <v>Achieved</v>
      </c>
    </row>
    <row r="35" spans="1:18">
      <c r="A35" t="s">
        <v>64</v>
      </c>
      <c r="B35" t="s">
        <v>49</v>
      </c>
      <c r="C35" t="s">
        <v>59</v>
      </c>
      <c r="D35" t="s">
        <v>31</v>
      </c>
      <c r="E35">
        <v>60</v>
      </c>
      <c r="F35">
        <v>1574</v>
      </c>
      <c r="G35" s="1">
        <v>47682</v>
      </c>
      <c r="H35" s="2">
        <v>45396</v>
      </c>
      <c r="I35" t="s">
        <v>27</v>
      </c>
      <c r="J35" t="s">
        <v>77</v>
      </c>
      <c r="K35" t="s">
        <v>47</v>
      </c>
      <c r="L35" t="str">
        <f t="shared" si="0"/>
        <v>Apr</v>
      </c>
      <c r="M35" t="str">
        <f t="shared" si="1"/>
        <v>Q2</v>
      </c>
      <c r="N35" t="str">
        <f t="shared" si="2"/>
        <v>High</v>
      </c>
      <c r="O35">
        <f>_xlfn.XLOOKUP(I35,Helper_Table!A:A,Helper_Table!B:B)</f>
        <v>0.9</v>
      </c>
      <c r="P35" s="1">
        <f t="shared" si="3"/>
        <v>42913.8</v>
      </c>
      <c r="Q35" s="4">
        <f t="shared" si="4"/>
        <v>1.1111111111111109</v>
      </c>
      <c r="R35" t="str">
        <f t="shared" si="5"/>
        <v>Achieved</v>
      </c>
    </row>
    <row r="36" spans="1:18">
      <c r="A36" t="s">
        <v>45</v>
      </c>
      <c r="B36" t="s">
        <v>12</v>
      </c>
      <c r="C36" t="s">
        <v>20</v>
      </c>
      <c r="D36" t="s">
        <v>66</v>
      </c>
      <c r="E36" t="s">
        <v>15</v>
      </c>
      <c r="F36">
        <v>1880</v>
      </c>
      <c r="G36" s="1">
        <v>41604</v>
      </c>
      <c r="H36" s="2">
        <v>45295</v>
      </c>
      <c r="I36" t="s">
        <v>41</v>
      </c>
      <c r="J36" t="s">
        <v>78</v>
      </c>
      <c r="K36" t="s">
        <v>34</v>
      </c>
      <c r="L36" t="str">
        <f t="shared" si="0"/>
        <v>Jan</v>
      </c>
      <c r="M36" t="str">
        <f t="shared" si="1"/>
        <v>Q1</v>
      </c>
      <c r="N36" t="str">
        <f t="shared" si="2"/>
        <v>High</v>
      </c>
      <c r="O36">
        <f>_xlfn.XLOOKUP(I36,Helper_Table!A:A,Helper_Table!B:B)</f>
        <v>1.2</v>
      </c>
      <c r="P36" s="1">
        <f t="shared" si="3"/>
        <v>49924.799999999996</v>
      </c>
      <c r="Q36" s="4">
        <f t="shared" si="4"/>
        <v>0.83333333333333337</v>
      </c>
      <c r="R36" t="str">
        <f t="shared" si="5"/>
        <v>Below Target</v>
      </c>
    </row>
    <row r="37" spans="1:18">
      <c r="A37" t="s">
        <v>24</v>
      </c>
      <c r="B37" t="s">
        <v>51</v>
      </c>
      <c r="C37" t="s">
        <v>13</v>
      </c>
      <c r="D37" t="s">
        <v>14</v>
      </c>
      <c r="E37" t="s">
        <v>38</v>
      </c>
      <c r="F37">
        <v>383</v>
      </c>
      <c r="G37" s="1">
        <v>21024</v>
      </c>
      <c r="H37" s="2">
        <v>45298</v>
      </c>
      <c r="I37" t="s">
        <v>16</v>
      </c>
      <c r="J37" t="s">
        <v>79</v>
      </c>
      <c r="K37" t="s">
        <v>29</v>
      </c>
      <c r="L37" t="str">
        <f t="shared" si="0"/>
        <v>Jan</v>
      </c>
      <c r="M37" t="str">
        <f t="shared" si="1"/>
        <v>Q1</v>
      </c>
      <c r="N37" t="str">
        <f t="shared" si="2"/>
        <v>Medium</v>
      </c>
      <c r="O37">
        <f>_xlfn.XLOOKUP(I37,Helper_Table!A:A,Helper_Table!B:B)</f>
        <v>1.1000000000000001</v>
      </c>
      <c r="P37" s="1">
        <f t="shared" si="3"/>
        <v>23126.400000000001</v>
      </c>
      <c r="Q37" s="4">
        <f t="shared" si="4"/>
        <v>0.90909090909090906</v>
      </c>
      <c r="R37" t="str">
        <f t="shared" si="5"/>
        <v>Below Target</v>
      </c>
    </row>
    <row r="38" spans="1:18">
      <c r="A38" t="s">
        <v>24</v>
      </c>
      <c r="B38" t="s">
        <v>49</v>
      </c>
      <c r="C38" t="s">
        <v>30</v>
      </c>
      <c r="D38" t="s">
        <v>31</v>
      </c>
      <c r="E38" t="s">
        <v>38</v>
      </c>
      <c r="F38">
        <v>253</v>
      </c>
      <c r="G38" s="1">
        <v>18363</v>
      </c>
      <c r="H38" s="2">
        <v>45459</v>
      </c>
      <c r="I38" t="s">
        <v>16</v>
      </c>
      <c r="J38" t="s">
        <v>80</v>
      </c>
      <c r="K38" t="s">
        <v>44</v>
      </c>
      <c r="L38" t="str">
        <f t="shared" si="0"/>
        <v>Jun</v>
      </c>
      <c r="M38" t="str">
        <f t="shared" si="1"/>
        <v>Q2</v>
      </c>
      <c r="N38" t="str">
        <f t="shared" si="2"/>
        <v>Low</v>
      </c>
      <c r="O38">
        <f>_xlfn.XLOOKUP(I38,Helper_Table!A:A,Helper_Table!B:B)</f>
        <v>1.1000000000000001</v>
      </c>
      <c r="P38" s="1">
        <f t="shared" si="3"/>
        <v>20199.300000000003</v>
      </c>
      <c r="Q38" s="4">
        <f t="shared" si="4"/>
        <v>0.90909090909090895</v>
      </c>
      <c r="R38" t="str">
        <f t="shared" si="5"/>
        <v>Below Target</v>
      </c>
    </row>
    <row r="39" spans="1:18">
      <c r="A39" t="s">
        <v>35</v>
      </c>
      <c r="B39" t="s">
        <v>49</v>
      </c>
      <c r="C39" t="s">
        <v>59</v>
      </c>
      <c r="D39" t="s">
        <v>14</v>
      </c>
      <c r="E39">
        <v>30</v>
      </c>
      <c r="F39">
        <v>1818</v>
      </c>
      <c r="G39" s="1">
        <v>2347</v>
      </c>
      <c r="H39" s="2">
        <v>45320</v>
      </c>
      <c r="I39" t="s">
        <v>27</v>
      </c>
      <c r="J39" t="s">
        <v>81</v>
      </c>
      <c r="K39" t="s">
        <v>44</v>
      </c>
      <c r="L39" t="str">
        <f t="shared" si="0"/>
        <v>Jan</v>
      </c>
      <c r="M39" t="str">
        <f t="shared" si="1"/>
        <v>Q1</v>
      </c>
      <c r="N39" t="str">
        <f t="shared" si="2"/>
        <v>Low</v>
      </c>
      <c r="O39">
        <f>_xlfn.XLOOKUP(I39,Helper_Table!A:A,Helper_Table!B:B)</f>
        <v>0.9</v>
      </c>
      <c r="P39" s="1">
        <f t="shared" si="3"/>
        <v>2112.3000000000002</v>
      </c>
      <c r="Q39" s="4">
        <f t="shared" si="4"/>
        <v>1.1111111111111109</v>
      </c>
      <c r="R39" t="str">
        <f t="shared" si="5"/>
        <v>Achieved</v>
      </c>
    </row>
    <row r="40" spans="1:18">
      <c r="A40" t="s">
        <v>24</v>
      </c>
      <c r="B40" t="s">
        <v>51</v>
      </c>
      <c r="C40" t="s">
        <v>13</v>
      </c>
      <c r="D40" t="s">
        <v>66</v>
      </c>
      <c r="E40" t="s">
        <v>15</v>
      </c>
      <c r="F40">
        <v>1351</v>
      </c>
      <c r="G40" s="1">
        <v>41781</v>
      </c>
      <c r="H40" s="2">
        <v>45201</v>
      </c>
      <c r="I40" t="s">
        <v>32</v>
      </c>
      <c r="J40" t="s">
        <v>82</v>
      </c>
      <c r="K40" t="s">
        <v>18</v>
      </c>
      <c r="L40" t="str">
        <f t="shared" si="0"/>
        <v>Oct</v>
      </c>
      <c r="M40" t="str">
        <f t="shared" si="1"/>
        <v>Q4</v>
      </c>
      <c r="N40" t="str">
        <f t="shared" si="2"/>
        <v>High</v>
      </c>
      <c r="O40">
        <f>_xlfn.XLOOKUP(I40,Helper_Table!A:A,Helper_Table!B:B)</f>
        <v>0.95</v>
      </c>
      <c r="P40" s="1">
        <f t="shared" si="3"/>
        <v>39691.949999999997</v>
      </c>
      <c r="Q40" s="4">
        <f t="shared" si="4"/>
        <v>1.0526315789473686</v>
      </c>
      <c r="R40" t="str">
        <f t="shared" si="5"/>
        <v>Achieved</v>
      </c>
    </row>
    <row r="41" spans="1:18">
      <c r="A41" t="s">
        <v>11</v>
      </c>
      <c r="B41" t="s">
        <v>49</v>
      </c>
      <c r="C41" t="s">
        <v>59</v>
      </c>
      <c r="D41" t="s">
        <v>26</v>
      </c>
      <c r="E41" t="s">
        <v>38</v>
      </c>
      <c r="F41">
        <v>1904</v>
      </c>
      <c r="G41" s="1">
        <v>34028</v>
      </c>
      <c r="H41" s="2">
        <v>45175</v>
      </c>
      <c r="I41" t="s">
        <v>27</v>
      </c>
      <c r="J41" t="s">
        <v>83</v>
      </c>
      <c r="K41" t="s">
        <v>29</v>
      </c>
      <c r="L41" t="str">
        <f t="shared" si="0"/>
        <v>Sep</v>
      </c>
      <c r="M41" t="str">
        <f t="shared" si="1"/>
        <v>Q3</v>
      </c>
      <c r="N41" t="str">
        <f t="shared" si="2"/>
        <v>Medium</v>
      </c>
      <c r="O41">
        <f>_xlfn.XLOOKUP(I41,Helper_Table!A:A,Helper_Table!B:B)</f>
        <v>0.9</v>
      </c>
      <c r="P41" s="1">
        <f t="shared" si="3"/>
        <v>30625.200000000001</v>
      </c>
      <c r="Q41" s="4">
        <f t="shared" si="4"/>
        <v>1.1111111111111112</v>
      </c>
      <c r="R41" t="str">
        <f t="shared" si="5"/>
        <v>Achieved</v>
      </c>
    </row>
    <row r="42" spans="1:18">
      <c r="A42" t="s">
        <v>11</v>
      </c>
      <c r="B42" t="s">
        <v>12</v>
      </c>
      <c r="C42" t="s">
        <v>30</v>
      </c>
      <c r="D42" t="s">
        <v>14</v>
      </c>
      <c r="E42" t="s">
        <v>38</v>
      </c>
      <c r="F42">
        <v>1954</v>
      </c>
      <c r="G42" s="1">
        <v>6369</v>
      </c>
      <c r="H42" s="2">
        <v>45181</v>
      </c>
      <c r="I42" t="s">
        <v>27</v>
      </c>
      <c r="J42" t="s">
        <v>84</v>
      </c>
      <c r="K42" t="s">
        <v>47</v>
      </c>
      <c r="L42" t="str">
        <f t="shared" si="0"/>
        <v>Sep</v>
      </c>
      <c r="M42" t="str">
        <f t="shared" si="1"/>
        <v>Q3</v>
      </c>
      <c r="N42" t="str">
        <f t="shared" si="2"/>
        <v>Low</v>
      </c>
      <c r="O42">
        <f>_xlfn.XLOOKUP(I42,Helper_Table!A:A,Helper_Table!B:B)</f>
        <v>0.9</v>
      </c>
      <c r="P42" s="1">
        <f t="shared" si="3"/>
        <v>5732.1</v>
      </c>
      <c r="Q42" s="4">
        <f t="shared" si="4"/>
        <v>1.1111111111111109</v>
      </c>
      <c r="R42" t="str">
        <f t="shared" si="5"/>
        <v>Achieved</v>
      </c>
    </row>
    <row r="43" spans="1:18">
      <c r="A43" t="s">
        <v>45</v>
      </c>
      <c r="B43" t="s">
        <v>36</v>
      </c>
      <c r="C43" t="s">
        <v>25</v>
      </c>
      <c r="D43" t="s">
        <v>14</v>
      </c>
      <c r="E43">
        <v>60</v>
      </c>
      <c r="F43">
        <v>1042</v>
      </c>
      <c r="G43" s="1">
        <v>18788</v>
      </c>
      <c r="H43" s="2">
        <v>45229</v>
      </c>
      <c r="I43" t="s">
        <v>39</v>
      </c>
      <c r="J43" t="s">
        <v>85</v>
      </c>
      <c r="K43" t="s">
        <v>18</v>
      </c>
      <c r="L43" t="str">
        <f t="shared" si="0"/>
        <v>Oct</v>
      </c>
      <c r="M43" t="str">
        <f t="shared" si="1"/>
        <v>Q4</v>
      </c>
      <c r="N43" t="str">
        <f t="shared" si="2"/>
        <v>Low</v>
      </c>
      <c r="O43">
        <f>_xlfn.XLOOKUP(I43,Helper_Table!A:A,Helper_Table!B:B)</f>
        <v>1.1000000000000001</v>
      </c>
      <c r="P43" s="1">
        <f t="shared" si="3"/>
        <v>20666.800000000003</v>
      </c>
      <c r="Q43" s="4">
        <f t="shared" si="4"/>
        <v>0.90909090909090895</v>
      </c>
      <c r="R43" t="str">
        <f t="shared" si="5"/>
        <v>Below Target</v>
      </c>
    </row>
    <row r="44" spans="1:18">
      <c r="A44" t="s">
        <v>64</v>
      </c>
      <c r="B44" t="s">
        <v>36</v>
      </c>
      <c r="C44" t="s">
        <v>20</v>
      </c>
      <c r="D44" t="s">
        <v>66</v>
      </c>
      <c r="E44" t="s">
        <v>38</v>
      </c>
      <c r="F44">
        <v>1564</v>
      </c>
      <c r="G44" s="1">
        <v>22868</v>
      </c>
      <c r="H44" s="2">
        <v>45190</v>
      </c>
      <c r="I44" t="s">
        <v>16</v>
      </c>
      <c r="J44" t="s">
        <v>86</v>
      </c>
      <c r="K44" t="s">
        <v>47</v>
      </c>
      <c r="L44" t="str">
        <f t="shared" si="0"/>
        <v>Sep</v>
      </c>
      <c r="M44" t="str">
        <f t="shared" si="1"/>
        <v>Q3</v>
      </c>
      <c r="N44" t="str">
        <f t="shared" si="2"/>
        <v>Medium</v>
      </c>
      <c r="O44">
        <f>_xlfn.XLOOKUP(I44,Helper_Table!A:A,Helper_Table!B:B)</f>
        <v>1.1000000000000001</v>
      </c>
      <c r="P44" s="1">
        <f t="shared" si="3"/>
        <v>25154.800000000003</v>
      </c>
      <c r="Q44" s="4">
        <f t="shared" si="4"/>
        <v>0.90909090909090895</v>
      </c>
      <c r="R44" t="str">
        <f t="shared" si="5"/>
        <v>Below Target</v>
      </c>
    </row>
    <row r="45" spans="1:18">
      <c r="A45" t="s">
        <v>35</v>
      </c>
      <c r="B45" t="s">
        <v>49</v>
      </c>
      <c r="C45" t="s">
        <v>59</v>
      </c>
      <c r="D45" t="s">
        <v>14</v>
      </c>
      <c r="E45" t="s">
        <v>22</v>
      </c>
      <c r="F45">
        <v>1741</v>
      </c>
      <c r="G45" s="1">
        <v>16211</v>
      </c>
      <c r="H45" s="2">
        <v>45390</v>
      </c>
      <c r="I45" t="s">
        <v>27</v>
      </c>
      <c r="J45" t="s">
        <v>87</v>
      </c>
      <c r="K45" t="s">
        <v>18</v>
      </c>
      <c r="L45" t="str">
        <f t="shared" si="0"/>
        <v>Apr</v>
      </c>
      <c r="M45" t="str">
        <f t="shared" si="1"/>
        <v>Q2</v>
      </c>
      <c r="N45" t="str">
        <f t="shared" si="2"/>
        <v>Low</v>
      </c>
      <c r="O45">
        <f>_xlfn.XLOOKUP(I45,Helper_Table!A:A,Helper_Table!B:B)</f>
        <v>0.9</v>
      </c>
      <c r="P45" s="1">
        <f t="shared" si="3"/>
        <v>14589.9</v>
      </c>
      <c r="Q45" s="4">
        <f t="shared" si="4"/>
        <v>1.1111111111111112</v>
      </c>
      <c r="R45" t="str">
        <f t="shared" si="5"/>
        <v>Achieved</v>
      </c>
    </row>
    <row r="46" spans="1:18">
      <c r="A46" t="s">
        <v>35</v>
      </c>
      <c r="B46" t="s">
        <v>36</v>
      </c>
      <c r="C46" t="s">
        <v>59</v>
      </c>
      <c r="D46" t="s">
        <v>66</v>
      </c>
      <c r="E46" t="s">
        <v>15</v>
      </c>
      <c r="F46">
        <v>565</v>
      </c>
      <c r="G46" s="1">
        <v>32496</v>
      </c>
      <c r="H46" s="2">
        <v>45237</v>
      </c>
      <c r="I46" t="s">
        <v>16</v>
      </c>
      <c r="J46" t="s">
        <v>88</v>
      </c>
      <c r="K46" t="s">
        <v>47</v>
      </c>
      <c r="L46" t="str">
        <f t="shared" si="0"/>
        <v>Nov</v>
      </c>
      <c r="M46" t="str">
        <f t="shared" si="1"/>
        <v>Q4</v>
      </c>
      <c r="N46" t="str">
        <f t="shared" si="2"/>
        <v>Medium</v>
      </c>
      <c r="O46">
        <f>_xlfn.XLOOKUP(I46,Helper_Table!A:A,Helper_Table!B:B)</f>
        <v>1.1000000000000001</v>
      </c>
      <c r="P46" s="1">
        <f t="shared" si="3"/>
        <v>35745.600000000006</v>
      </c>
      <c r="Q46" s="4">
        <f t="shared" si="4"/>
        <v>0.90909090909090895</v>
      </c>
      <c r="R46" t="str">
        <f t="shared" si="5"/>
        <v>Below Target</v>
      </c>
    </row>
    <row r="47" spans="1:18">
      <c r="A47" t="s">
        <v>35</v>
      </c>
      <c r="B47" t="s">
        <v>36</v>
      </c>
      <c r="C47" t="s">
        <v>25</v>
      </c>
      <c r="D47" t="s">
        <v>21</v>
      </c>
      <c r="E47" t="s">
        <v>15</v>
      </c>
      <c r="F47">
        <v>293</v>
      </c>
      <c r="G47" s="1">
        <v>40588</v>
      </c>
      <c r="H47" s="2">
        <v>45433</v>
      </c>
      <c r="I47" t="s">
        <v>41</v>
      </c>
      <c r="J47" t="s">
        <v>89</v>
      </c>
      <c r="K47" t="s">
        <v>47</v>
      </c>
      <c r="L47" t="str">
        <f t="shared" si="0"/>
        <v>May</v>
      </c>
      <c r="M47" t="str">
        <f t="shared" si="1"/>
        <v>Q2</v>
      </c>
      <c r="N47" t="str">
        <f t="shared" si="2"/>
        <v>High</v>
      </c>
      <c r="O47">
        <f>_xlfn.XLOOKUP(I47,Helper_Table!A:A,Helper_Table!B:B)</f>
        <v>1.2</v>
      </c>
      <c r="P47" s="1">
        <f t="shared" si="3"/>
        <v>48705.599999999999</v>
      </c>
      <c r="Q47" s="4">
        <f t="shared" si="4"/>
        <v>0.83333333333333337</v>
      </c>
      <c r="R47" t="str">
        <f t="shared" si="5"/>
        <v>Below Target</v>
      </c>
    </row>
    <row r="48" spans="1:18">
      <c r="A48" t="s">
        <v>24</v>
      </c>
      <c r="B48" t="s">
        <v>49</v>
      </c>
      <c r="C48" t="s">
        <v>25</v>
      </c>
      <c r="D48" t="s">
        <v>21</v>
      </c>
      <c r="E48" t="s">
        <v>38</v>
      </c>
      <c r="F48">
        <v>1032</v>
      </c>
      <c r="G48" s="1">
        <v>23173</v>
      </c>
      <c r="H48" s="2">
        <v>45326</v>
      </c>
      <c r="I48" t="s">
        <v>27</v>
      </c>
      <c r="J48" t="s">
        <v>90</v>
      </c>
      <c r="K48" t="s">
        <v>47</v>
      </c>
      <c r="L48" t="str">
        <f t="shared" si="0"/>
        <v>Feb</v>
      </c>
      <c r="M48" t="str">
        <f t="shared" si="1"/>
        <v>Q1</v>
      </c>
      <c r="N48" t="str">
        <f t="shared" si="2"/>
        <v>Medium</v>
      </c>
      <c r="O48">
        <f>_xlfn.XLOOKUP(I48,Helper_Table!A:A,Helper_Table!B:B)</f>
        <v>0.9</v>
      </c>
      <c r="P48" s="1">
        <f t="shared" si="3"/>
        <v>20855.7</v>
      </c>
      <c r="Q48" s="4">
        <f t="shared" si="4"/>
        <v>1.1111111111111112</v>
      </c>
      <c r="R48" t="str">
        <f t="shared" si="5"/>
        <v>Achieved</v>
      </c>
    </row>
    <row r="49" spans="1:18">
      <c r="A49" t="s">
        <v>45</v>
      </c>
      <c r="B49" t="s">
        <v>51</v>
      </c>
      <c r="C49" t="s">
        <v>25</v>
      </c>
      <c r="D49" t="s">
        <v>66</v>
      </c>
      <c r="E49" t="s">
        <v>38</v>
      </c>
      <c r="F49">
        <v>1315</v>
      </c>
      <c r="G49" s="1">
        <v>3801</v>
      </c>
      <c r="H49" s="2">
        <v>45287</v>
      </c>
      <c r="I49" t="s">
        <v>16</v>
      </c>
      <c r="J49" t="s">
        <v>91</v>
      </c>
      <c r="K49" t="s">
        <v>18</v>
      </c>
      <c r="L49" t="str">
        <f t="shared" si="0"/>
        <v>Dec</v>
      </c>
      <c r="M49" t="str">
        <f t="shared" si="1"/>
        <v>Q4</v>
      </c>
      <c r="N49" t="str">
        <f t="shared" si="2"/>
        <v>Low</v>
      </c>
      <c r="O49">
        <f>_xlfn.XLOOKUP(I49,Helper_Table!A:A,Helper_Table!B:B)</f>
        <v>1.1000000000000001</v>
      </c>
      <c r="P49" s="1">
        <f t="shared" si="3"/>
        <v>4181.1000000000004</v>
      </c>
      <c r="Q49" s="4">
        <f t="shared" si="4"/>
        <v>0.90909090909090906</v>
      </c>
      <c r="R49" t="str">
        <f t="shared" si="5"/>
        <v>Below Target</v>
      </c>
    </row>
    <row r="50" spans="1:18">
      <c r="A50" t="s">
        <v>11</v>
      </c>
      <c r="B50" t="s">
        <v>19</v>
      </c>
      <c r="C50" t="s">
        <v>59</v>
      </c>
      <c r="D50" t="s">
        <v>14</v>
      </c>
      <c r="E50">
        <v>60</v>
      </c>
      <c r="F50">
        <v>1499</v>
      </c>
      <c r="G50" s="1">
        <v>18175</v>
      </c>
      <c r="H50" s="2">
        <v>45159</v>
      </c>
      <c r="I50" t="s">
        <v>39</v>
      </c>
      <c r="J50" t="s">
        <v>92</v>
      </c>
      <c r="K50" t="s">
        <v>34</v>
      </c>
      <c r="L50" t="str">
        <f t="shared" si="0"/>
        <v>Aug</v>
      </c>
      <c r="M50" t="str">
        <f t="shared" si="1"/>
        <v>Q3</v>
      </c>
      <c r="N50" t="str">
        <f t="shared" si="2"/>
        <v>Low</v>
      </c>
      <c r="O50">
        <f>_xlfn.XLOOKUP(I50,Helper_Table!A:A,Helper_Table!B:B)</f>
        <v>1.1000000000000001</v>
      </c>
      <c r="P50" s="1">
        <f t="shared" si="3"/>
        <v>19992.5</v>
      </c>
      <c r="Q50" s="4">
        <f t="shared" si="4"/>
        <v>0.90909090909090906</v>
      </c>
      <c r="R50" t="str">
        <f t="shared" si="5"/>
        <v>Below Target</v>
      </c>
    </row>
    <row r="51" spans="1:18">
      <c r="A51" t="s">
        <v>11</v>
      </c>
      <c r="B51" t="s">
        <v>51</v>
      </c>
      <c r="C51" t="s">
        <v>25</v>
      </c>
      <c r="D51" t="s">
        <v>66</v>
      </c>
      <c r="E51" t="s">
        <v>15</v>
      </c>
      <c r="F51">
        <v>1427</v>
      </c>
      <c r="G51" s="1">
        <v>1053</v>
      </c>
      <c r="H51" s="2">
        <v>45498</v>
      </c>
      <c r="I51" t="s">
        <v>39</v>
      </c>
      <c r="J51" t="s">
        <v>93</v>
      </c>
      <c r="K51" t="s">
        <v>18</v>
      </c>
      <c r="L51" t="str">
        <f t="shared" si="0"/>
        <v>Jul</v>
      </c>
      <c r="M51" t="str">
        <f t="shared" si="1"/>
        <v>Q3</v>
      </c>
      <c r="N51" t="str">
        <f t="shared" si="2"/>
        <v>Low</v>
      </c>
      <c r="O51">
        <f>_xlfn.XLOOKUP(I51,Helper_Table!A:A,Helper_Table!B:B)</f>
        <v>1.1000000000000001</v>
      </c>
      <c r="P51" s="1">
        <f t="shared" si="3"/>
        <v>1158.3000000000002</v>
      </c>
      <c r="Q51" s="4">
        <f t="shared" si="4"/>
        <v>0.90909090909090895</v>
      </c>
      <c r="R51" t="str">
        <f t="shared" si="5"/>
        <v>Below Target</v>
      </c>
    </row>
    <row r="52" spans="1:18">
      <c r="A52" t="s">
        <v>45</v>
      </c>
      <c r="B52" t="s">
        <v>36</v>
      </c>
      <c r="C52" t="s">
        <v>59</v>
      </c>
      <c r="D52" t="s">
        <v>21</v>
      </c>
      <c r="E52">
        <v>60</v>
      </c>
      <c r="F52">
        <v>1044</v>
      </c>
      <c r="G52" s="1">
        <v>29042</v>
      </c>
      <c r="H52" s="2">
        <v>45242</v>
      </c>
      <c r="I52" t="s">
        <v>41</v>
      </c>
      <c r="J52" t="s">
        <v>94</v>
      </c>
      <c r="K52" t="s">
        <v>29</v>
      </c>
      <c r="L52" t="str">
        <f t="shared" si="0"/>
        <v>Nov</v>
      </c>
      <c r="M52" t="str">
        <f t="shared" si="1"/>
        <v>Q4</v>
      </c>
      <c r="N52" t="str">
        <f t="shared" si="2"/>
        <v>Medium</v>
      </c>
      <c r="O52">
        <f>_xlfn.XLOOKUP(I52,Helper_Table!A:A,Helper_Table!B:B)</f>
        <v>1.2</v>
      </c>
      <c r="P52" s="1">
        <f t="shared" si="3"/>
        <v>34850.400000000001</v>
      </c>
      <c r="Q52" s="4">
        <f t="shared" si="4"/>
        <v>0.83333333333333326</v>
      </c>
      <c r="R52" t="str">
        <f t="shared" si="5"/>
        <v>Below Target</v>
      </c>
    </row>
    <row r="53" spans="1:18">
      <c r="A53" t="s">
        <v>11</v>
      </c>
      <c r="B53" t="s">
        <v>12</v>
      </c>
      <c r="C53" t="s">
        <v>20</v>
      </c>
      <c r="D53" t="s">
        <v>31</v>
      </c>
      <c r="E53">
        <v>60</v>
      </c>
      <c r="F53">
        <v>257</v>
      </c>
      <c r="G53" s="1">
        <v>28677</v>
      </c>
      <c r="H53" s="2">
        <v>45268</v>
      </c>
      <c r="I53" t="s">
        <v>27</v>
      </c>
      <c r="J53" t="s">
        <v>95</v>
      </c>
      <c r="K53" t="s">
        <v>44</v>
      </c>
      <c r="L53" t="str">
        <f t="shared" si="0"/>
        <v>Dec</v>
      </c>
      <c r="M53" t="str">
        <f t="shared" si="1"/>
        <v>Q4</v>
      </c>
      <c r="N53" t="str">
        <f t="shared" si="2"/>
        <v>Medium</v>
      </c>
      <c r="O53">
        <f>_xlfn.XLOOKUP(I53,Helper_Table!A:A,Helper_Table!B:B)</f>
        <v>0.9</v>
      </c>
      <c r="P53" s="1">
        <f t="shared" si="3"/>
        <v>25809.3</v>
      </c>
      <c r="Q53" s="4">
        <f t="shared" si="4"/>
        <v>1.1111111111111112</v>
      </c>
      <c r="R53" t="str">
        <f t="shared" si="5"/>
        <v>Achieved</v>
      </c>
    </row>
    <row r="54" spans="1:18">
      <c r="A54" t="s">
        <v>45</v>
      </c>
      <c r="B54" t="s">
        <v>36</v>
      </c>
      <c r="C54" t="s">
        <v>25</v>
      </c>
      <c r="D54" t="s">
        <v>26</v>
      </c>
      <c r="E54">
        <v>30</v>
      </c>
      <c r="F54">
        <v>1768</v>
      </c>
      <c r="G54" s="1">
        <v>40547</v>
      </c>
      <c r="H54" s="2">
        <v>45263</v>
      </c>
      <c r="I54" t="s">
        <v>27</v>
      </c>
      <c r="J54" t="s">
        <v>96</v>
      </c>
      <c r="K54" t="s">
        <v>29</v>
      </c>
      <c r="L54" t="str">
        <f t="shared" si="0"/>
        <v>Dec</v>
      </c>
      <c r="M54" t="str">
        <f t="shared" si="1"/>
        <v>Q4</v>
      </c>
      <c r="N54" t="str">
        <f t="shared" si="2"/>
        <v>High</v>
      </c>
      <c r="O54">
        <f>_xlfn.XLOOKUP(I54,Helper_Table!A:A,Helper_Table!B:B)</f>
        <v>0.9</v>
      </c>
      <c r="P54" s="1">
        <f t="shared" si="3"/>
        <v>36492.300000000003</v>
      </c>
      <c r="Q54" s="4">
        <f t="shared" si="4"/>
        <v>1.1111111111111109</v>
      </c>
      <c r="R54" t="str">
        <f t="shared" si="5"/>
        <v>Achieved</v>
      </c>
    </row>
    <row r="55" spans="1:18">
      <c r="A55" t="s">
        <v>11</v>
      </c>
      <c r="B55" t="s">
        <v>19</v>
      </c>
      <c r="C55" t="s">
        <v>59</v>
      </c>
      <c r="D55" t="s">
        <v>66</v>
      </c>
      <c r="E55" t="s">
        <v>15</v>
      </c>
      <c r="F55">
        <v>654</v>
      </c>
      <c r="G55" s="1">
        <v>16542</v>
      </c>
      <c r="H55" s="2">
        <v>45243</v>
      </c>
      <c r="I55" t="s">
        <v>32</v>
      </c>
      <c r="J55" t="s">
        <v>97</v>
      </c>
      <c r="K55" t="s">
        <v>29</v>
      </c>
      <c r="L55" t="str">
        <f t="shared" si="0"/>
        <v>Nov</v>
      </c>
      <c r="M55" t="str">
        <f t="shared" si="1"/>
        <v>Q4</v>
      </c>
      <c r="N55" t="str">
        <f t="shared" si="2"/>
        <v>Low</v>
      </c>
      <c r="O55">
        <f>_xlfn.XLOOKUP(I55,Helper_Table!A:A,Helper_Table!B:B)</f>
        <v>0.95</v>
      </c>
      <c r="P55" s="1">
        <f t="shared" si="3"/>
        <v>15714.9</v>
      </c>
      <c r="Q55" s="4">
        <f t="shared" si="4"/>
        <v>1.0526315789473684</v>
      </c>
      <c r="R55" t="str">
        <f t="shared" si="5"/>
        <v>Achieved</v>
      </c>
    </row>
    <row r="56" spans="1:18">
      <c r="A56" t="s">
        <v>35</v>
      </c>
      <c r="B56" t="s">
        <v>51</v>
      </c>
      <c r="C56" t="s">
        <v>13</v>
      </c>
      <c r="D56" t="s">
        <v>14</v>
      </c>
      <c r="E56">
        <v>60</v>
      </c>
      <c r="F56">
        <v>1137</v>
      </c>
      <c r="G56" s="1">
        <v>33706</v>
      </c>
      <c r="H56" s="2">
        <v>45490</v>
      </c>
      <c r="I56" t="s">
        <v>41</v>
      </c>
      <c r="J56" t="s">
        <v>98</v>
      </c>
      <c r="K56" t="s">
        <v>29</v>
      </c>
      <c r="L56" t="str">
        <f t="shared" si="0"/>
        <v>Jul</v>
      </c>
      <c r="M56" t="str">
        <f t="shared" si="1"/>
        <v>Q3</v>
      </c>
      <c r="N56" t="str">
        <f t="shared" si="2"/>
        <v>Medium</v>
      </c>
      <c r="O56">
        <f>_xlfn.XLOOKUP(I56,Helper_Table!A:A,Helper_Table!B:B)</f>
        <v>1.2</v>
      </c>
      <c r="P56" s="1">
        <f t="shared" si="3"/>
        <v>40447.199999999997</v>
      </c>
      <c r="Q56" s="4">
        <f t="shared" si="4"/>
        <v>0.83333333333333337</v>
      </c>
      <c r="R56" t="str">
        <f t="shared" si="5"/>
        <v>Below Target</v>
      </c>
    </row>
    <row r="57" spans="1:18">
      <c r="A57" t="s">
        <v>24</v>
      </c>
      <c r="B57" t="s">
        <v>19</v>
      </c>
      <c r="C57" t="s">
        <v>25</v>
      </c>
      <c r="D57" t="s">
        <v>31</v>
      </c>
      <c r="E57">
        <v>30</v>
      </c>
      <c r="F57">
        <v>739</v>
      </c>
      <c r="G57" s="1">
        <v>38821</v>
      </c>
      <c r="H57" s="2">
        <v>45268</v>
      </c>
      <c r="I57" t="s">
        <v>16</v>
      </c>
      <c r="J57" t="s">
        <v>99</v>
      </c>
      <c r="K57" t="s">
        <v>34</v>
      </c>
      <c r="L57" t="str">
        <f t="shared" si="0"/>
        <v>Dec</v>
      </c>
      <c r="M57" t="str">
        <f t="shared" si="1"/>
        <v>Q4</v>
      </c>
      <c r="N57" t="str">
        <f t="shared" si="2"/>
        <v>Medium</v>
      </c>
      <c r="O57">
        <f>_xlfn.XLOOKUP(I57,Helper_Table!A:A,Helper_Table!B:B)</f>
        <v>1.1000000000000001</v>
      </c>
      <c r="P57" s="1">
        <f t="shared" si="3"/>
        <v>42703.100000000006</v>
      </c>
      <c r="Q57" s="4">
        <f t="shared" si="4"/>
        <v>0.90909090909090895</v>
      </c>
      <c r="R57" t="str">
        <f t="shared" si="5"/>
        <v>Below Target</v>
      </c>
    </row>
    <row r="58" spans="1:18">
      <c r="A58" t="s">
        <v>45</v>
      </c>
      <c r="B58" t="s">
        <v>19</v>
      </c>
      <c r="C58" t="s">
        <v>25</v>
      </c>
      <c r="D58" t="s">
        <v>31</v>
      </c>
      <c r="E58" t="s">
        <v>22</v>
      </c>
      <c r="F58">
        <v>1610</v>
      </c>
      <c r="G58" s="1">
        <v>5779</v>
      </c>
      <c r="H58" s="2">
        <v>45198</v>
      </c>
      <c r="I58" t="s">
        <v>41</v>
      </c>
      <c r="J58" t="s">
        <v>100</v>
      </c>
      <c r="K58" t="s">
        <v>34</v>
      </c>
      <c r="L58" t="str">
        <f t="shared" si="0"/>
        <v>Sep</v>
      </c>
      <c r="M58" t="str">
        <f t="shared" si="1"/>
        <v>Q3</v>
      </c>
      <c r="N58" t="str">
        <f t="shared" si="2"/>
        <v>Low</v>
      </c>
      <c r="O58">
        <f>_xlfn.XLOOKUP(I58,Helper_Table!A:A,Helper_Table!B:B)</f>
        <v>1.2</v>
      </c>
      <c r="P58" s="1">
        <f t="shared" si="3"/>
        <v>6934.8</v>
      </c>
      <c r="Q58" s="4">
        <f t="shared" si="4"/>
        <v>0.83333333333333326</v>
      </c>
      <c r="R58" t="str">
        <f t="shared" si="5"/>
        <v>Below Target</v>
      </c>
    </row>
    <row r="59" spans="1:18">
      <c r="A59" t="s">
        <v>64</v>
      </c>
      <c r="B59" t="s">
        <v>36</v>
      </c>
      <c r="C59" t="s">
        <v>59</v>
      </c>
      <c r="D59" t="s">
        <v>21</v>
      </c>
      <c r="E59">
        <v>60</v>
      </c>
      <c r="F59">
        <v>1703</v>
      </c>
      <c r="G59" s="1">
        <v>7678</v>
      </c>
      <c r="H59" s="2">
        <v>45324</v>
      </c>
      <c r="I59" t="s">
        <v>27</v>
      </c>
      <c r="J59" t="s">
        <v>101</v>
      </c>
      <c r="K59" t="s">
        <v>29</v>
      </c>
      <c r="L59" t="str">
        <f t="shared" si="0"/>
        <v>Feb</v>
      </c>
      <c r="M59" t="str">
        <f t="shared" si="1"/>
        <v>Q1</v>
      </c>
      <c r="N59" t="str">
        <f t="shared" si="2"/>
        <v>Low</v>
      </c>
      <c r="O59">
        <f>_xlfn.XLOOKUP(I59,Helper_Table!A:A,Helper_Table!B:B)</f>
        <v>0.9</v>
      </c>
      <c r="P59" s="1">
        <f t="shared" si="3"/>
        <v>6910.2</v>
      </c>
      <c r="Q59" s="4">
        <f t="shared" si="4"/>
        <v>1.1111111111111112</v>
      </c>
      <c r="R59" t="str">
        <f t="shared" si="5"/>
        <v>Achieved</v>
      </c>
    </row>
    <row r="60" spans="1:18">
      <c r="A60" t="s">
        <v>11</v>
      </c>
      <c r="B60" t="s">
        <v>49</v>
      </c>
      <c r="C60" t="s">
        <v>20</v>
      </c>
      <c r="D60" t="s">
        <v>66</v>
      </c>
      <c r="E60">
        <v>60</v>
      </c>
      <c r="F60">
        <v>1639</v>
      </c>
      <c r="G60" s="1">
        <v>15878</v>
      </c>
      <c r="H60" s="2">
        <v>45184</v>
      </c>
      <c r="I60" t="s">
        <v>39</v>
      </c>
      <c r="J60" t="s">
        <v>102</v>
      </c>
      <c r="K60" t="s">
        <v>34</v>
      </c>
      <c r="L60" t="str">
        <f t="shared" si="0"/>
        <v>Sep</v>
      </c>
      <c r="M60" t="str">
        <f t="shared" si="1"/>
        <v>Q3</v>
      </c>
      <c r="N60" t="str">
        <f t="shared" si="2"/>
        <v>Low</v>
      </c>
      <c r="O60">
        <f>_xlfn.XLOOKUP(I60,Helper_Table!A:A,Helper_Table!B:B)</f>
        <v>1.1000000000000001</v>
      </c>
      <c r="P60" s="1">
        <f t="shared" si="3"/>
        <v>17465.800000000003</v>
      </c>
      <c r="Q60" s="4">
        <f t="shared" si="4"/>
        <v>0.90909090909090895</v>
      </c>
      <c r="R60" t="str">
        <f t="shared" si="5"/>
        <v>Below Target</v>
      </c>
    </row>
    <row r="61" spans="1:18">
      <c r="A61" t="s">
        <v>11</v>
      </c>
      <c r="B61" t="s">
        <v>12</v>
      </c>
      <c r="C61" t="s">
        <v>25</v>
      </c>
      <c r="D61" t="s">
        <v>31</v>
      </c>
      <c r="E61" t="s">
        <v>22</v>
      </c>
      <c r="F61">
        <v>1219</v>
      </c>
      <c r="G61" s="1">
        <v>48415</v>
      </c>
      <c r="H61" s="2">
        <v>45379</v>
      </c>
      <c r="I61" t="s">
        <v>16</v>
      </c>
      <c r="J61" t="s">
        <v>103</v>
      </c>
      <c r="K61" t="s">
        <v>47</v>
      </c>
      <c r="L61" t="str">
        <f t="shared" si="0"/>
        <v>Mar</v>
      </c>
      <c r="M61" t="str">
        <f t="shared" si="1"/>
        <v>Q1</v>
      </c>
      <c r="N61" t="str">
        <f t="shared" si="2"/>
        <v>High</v>
      </c>
      <c r="O61">
        <f>_xlfn.XLOOKUP(I61,Helper_Table!A:A,Helper_Table!B:B)</f>
        <v>1.1000000000000001</v>
      </c>
      <c r="P61" s="1">
        <f t="shared" si="3"/>
        <v>53256.500000000007</v>
      </c>
      <c r="Q61" s="4">
        <f t="shared" si="4"/>
        <v>0.90909090909090895</v>
      </c>
      <c r="R61" t="str">
        <f t="shared" si="5"/>
        <v>Below Target</v>
      </c>
    </row>
    <row r="62" spans="1:18">
      <c r="A62" t="s">
        <v>45</v>
      </c>
      <c r="B62" t="s">
        <v>19</v>
      </c>
      <c r="C62" t="s">
        <v>59</v>
      </c>
      <c r="D62" t="s">
        <v>26</v>
      </c>
      <c r="E62" t="s">
        <v>22</v>
      </c>
      <c r="F62">
        <v>871</v>
      </c>
      <c r="G62" s="1">
        <v>41051</v>
      </c>
      <c r="H62" s="2">
        <v>45292</v>
      </c>
      <c r="I62" t="s">
        <v>32</v>
      </c>
      <c r="J62" t="s">
        <v>104</v>
      </c>
      <c r="K62" t="s">
        <v>29</v>
      </c>
      <c r="L62" t="str">
        <f t="shared" si="0"/>
        <v>Jan</v>
      </c>
      <c r="M62" t="str">
        <f t="shared" si="1"/>
        <v>Q1</v>
      </c>
      <c r="N62" t="str">
        <f t="shared" si="2"/>
        <v>High</v>
      </c>
      <c r="O62">
        <f>_xlfn.XLOOKUP(I62,Helper_Table!A:A,Helper_Table!B:B)</f>
        <v>0.95</v>
      </c>
      <c r="P62" s="1">
        <f t="shared" si="3"/>
        <v>38998.449999999997</v>
      </c>
      <c r="Q62" s="4">
        <f t="shared" si="4"/>
        <v>1.0526315789473686</v>
      </c>
      <c r="R62" t="str">
        <f t="shared" si="5"/>
        <v>Achieved</v>
      </c>
    </row>
    <row r="63" spans="1:18">
      <c r="A63" t="s">
        <v>35</v>
      </c>
      <c r="B63" t="s">
        <v>12</v>
      </c>
      <c r="C63" t="s">
        <v>20</v>
      </c>
      <c r="D63" t="s">
        <v>66</v>
      </c>
      <c r="E63" t="s">
        <v>15</v>
      </c>
      <c r="F63">
        <v>995</v>
      </c>
      <c r="G63" s="1">
        <v>17900</v>
      </c>
      <c r="H63" s="2">
        <v>45330</v>
      </c>
      <c r="I63" t="s">
        <v>16</v>
      </c>
      <c r="J63" t="s">
        <v>105</v>
      </c>
      <c r="K63" t="s">
        <v>44</v>
      </c>
      <c r="L63" t="str">
        <f t="shared" si="0"/>
        <v>Feb</v>
      </c>
      <c r="M63" t="str">
        <f t="shared" si="1"/>
        <v>Q1</v>
      </c>
      <c r="N63" t="str">
        <f t="shared" si="2"/>
        <v>Low</v>
      </c>
      <c r="O63">
        <f>_xlfn.XLOOKUP(I63,Helper_Table!A:A,Helper_Table!B:B)</f>
        <v>1.1000000000000001</v>
      </c>
      <c r="P63" s="1">
        <f t="shared" si="3"/>
        <v>19690</v>
      </c>
      <c r="Q63" s="4">
        <f t="shared" si="4"/>
        <v>0.90909090909090906</v>
      </c>
      <c r="R63" t="str">
        <f t="shared" si="5"/>
        <v>Below Target</v>
      </c>
    </row>
    <row r="64" spans="1:18">
      <c r="A64" t="s">
        <v>11</v>
      </c>
      <c r="B64" t="s">
        <v>19</v>
      </c>
      <c r="C64" t="s">
        <v>30</v>
      </c>
      <c r="D64" t="s">
        <v>66</v>
      </c>
      <c r="E64">
        <v>30</v>
      </c>
      <c r="F64">
        <v>1446</v>
      </c>
      <c r="G64" s="1">
        <v>37654</v>
      </c>
      <c r="H64" s="2">
        <v>45260</v>
      </c>
      <c r="I64" t="s">
        <v>27</v>
      </c>
      <c r="J64" t="s">
        <v>106</v>
      </c>
      <c r="K64" t="s">
        <v>29</v>
      </c>
      <c r="L64" t="str">
        <f t="shared" si="0"/>
        <v>Nov</v>
      </c>
      <c r="M64" t="str">
        <f t="shared" si="1"/>
        <v>Q4</v>
      </c>
      <c r="N64" t="str">
        <f t="shared" si="2"/>
        <v>Medium</v>
      </c>
      <c r="O64">
        <f>_xlfn.XLOOKUP(I64,Helper_Table!A:A,Helper_Table!B:B)</f>
        <v>0.9</v>
      </c>
      <c r="P64" s="1">
        <f t="shared" si="3"/>
        <v>33888.6</v>
      </c>
      <c r="Q64" s="4">
        <f t="shared" si="4"/>
        <v>1.1111111111111112</v>
      </c>
      <c r="R64" t="str">
        <f t="shared" si="5"/>
        <v>Achieved</v>
      </c>
    </row>
    <row r="65" spans="1:18">
      <c r="A65" t="s">
        <v>11</v>
      </c>
      <c r="B65" t="s">
        <v>19</v>
      </c>
      <c r="C65" t="s">
        <v>13</v>
      </c>
      <c r="D65" t="s">
        <v>31</v>
      </c>
      <c r="E65">
        <v>60</v>
      </c>
      <c r="F65">
        <v>1269</v>
      </c>
      <c r="G65" s="1">
        <v>22319</v>
      </c>
      <c r="H65" s="2">
        <v>45250</v>
      </c>
      <c r="I65" t="s">
        <v>41</v>
      </c>
      <c r="J65" t="s">
        <v>107</v>
      </c>
      <c r="K65" t="s">
        <v>44</v>
      </c>
      <c r="L65" t="str">
        <f t="shared" si="0"/>
        <v>Nov</v>
      </c>
      <c r="M65" t="str">
        <f t="shared" si="1"/>
        <v>Q4</v>
      </c>
      <c r="N65" t="str">
        <f t="shared" si="2"/>
        <v>Medium</v>
      </c>
      <c r="O65">
        <f>_xlfn.XLOOKUP(I65,Helper_Table!A:A,Helper_Table!B:B)</f>
        <v>1.2</v>
      </c>
      <c r="P65" s="1">
        <f t="shared" si="3"/>
        <v>26782.799999999999</v>
      </c>
      <c r="Q65" s="4">
        <f t="shared" si="4"/>
        <v>0.83333333333333337</v>
      </c>
      <c r="R65" t="str">
        <f t="shared" si="5"/>
        <v>Below Target</v>
      </c>
    </row>
    <row r="66" spans="1:18">
      <c r="A66" t="s">
        <v>45</v>
      </c>
      <c r="B66" t="s">
        <v>12</v>
      </c>
      <c r="C66" t="s">
        <v>59</v>
      </c>
      <c r="D66" t="s">
        <v>26</v>
      </c>
      <c r="E66" t="s">
        <v>38</v>
      </c>
      <c r="F66">
        <v>1232</v>
      </c>
      <c r="G66" s="1">
        <v>19247</v>
      </c>
      <c r="H66" s="2">
        <v>45377</v>
      </c>
      <c r="I66" t="s">
        <v>39</v>
      </c>
      <c r="J66" t="s">
        <v>108</v>
      </c>
      <c r="K66" t="s">
        <v>29</v>
      </c>
      <c r="L66" t="str">
        <f t="shared" ref="L66:L129" si="6">TEXT(H66,"MMM")</f>
        <v>Mar</v>
      </c>
      <c r="M66" t="str">
        <f t="shared" ref="M66:M129" si="7">"Q"&amp;ROUNDUP(MONTH(H66)/3,0)</f>
        <v>Q1</v>
      </c>
      <c r="N66" t="str">
        <f t="shared" ref="N66:N129" si="8">IF(G66&gt;40000,"High",
IF(G66&gt;20000,"Medium","Low"))</f>
        <v>Low</v>
      </c>
      <c r="O66">
        <f>_xlfn.XLOOKUP(I66,Helper_Table!A:A,Helper_Table!B:B)</f>
        <v>1.1000000000000001</v>
      </c>
      <c r="P66" s="1">
        <f t="shared" ref="P66:P129" si="9">G66*O66</f>
        <v>21171.7</v>
      </c>
      <c r="Q66" s="4">
        <f t="shared" ref="Q66:Q129" si="10">G66/P66</f>
        <v>0.90909090909090906</v>
      </c>
      <c r="R66" t="str">
        <f t="shared" ref="R66:R129" si="11">IF(Q66&gt;=1,"Achieved","Below Target")</f>
        <v>Below Target</v>
      </c>
    </row>
    <row r="67" spans="1:18">
      <c r="A67" t="s">
        <v>45</v>
      </c>
      <c r="B67" t="s">
        <v>19</v>
      </c>
      <c r="C67" t="s">
        <v>13</v>
      </c>
      <c r="D67" t="s">
        <v>26</v>
      </c>
      <c r="E67">
        <v>30</v>
      </c>
      <c r="F67">
        <v>814</v>
      </c>
      <c r="G67" s="1">
        <v>25411</v>
      </c>
      <c r="H67" s="2">
        <v>45283</v>
      </c>
      <c r="I67" t="s">
        <v>16</v>
      </c>
      <c r="J67" t="s">
        <v>109</v>
      </c>
      <c r="K67" t="s">
        <v>44</v>
      </c>
      <c r="L67" t="str">
        <f t="shared" si="6"/>
        <v>Dec</v>
      </c>
      <c r="M67" t="str">
        <f t="shared" si="7"/>
        <v>Q4</v>
      </c>
      <c r="N67" t="str">
        <f t="shared" si="8"/>
        <v>Medium</v>
      </c>
      <c r="O67">
        <f>_xlfn.XLOOKUP(I67,Helper_Table!A:A,Helper_Table!B:B)</f>
        <v>1.1000000000000001</v>
      </c>
      <c r="P67" s="1">
        <f t="shared" si="9"/>
        <v>27952.100000000002</v>
      </c>
      <c r="Q67" s="4">
        <f t="shared" si="10"/>
        <v>0.90909090909090906</v>
      </c>
      <c r="R67" t="str">
        <f t="shared" si="11"/>
        <v>Below Target</v>
      </c>
    </row>
    <row r="68" spans="1:18">
      <c r="A68" t="s">
        <v>11</v>
      </c>
      <c r="B68" t="s">
        <v>36</v>
      </c>
      <c r="C68" t="s">
        <v>59</v>
      </c>
      <c r="D68" t="s">
        <v>31</v>
      </c>
      <c r="E68" t="s">
        <v>22</v>
      </c>
      <c r="F68">
        <v>157</v>
      </c>
      <c r="G68" s="1">
        <v>3809</v>
      </c>
      <c r="H68" s="2">
        <v>45405</v>
      </c>
      <c r="I68" t="s">
        <v>16</v>
      </c>
      <c r="J68" t="s">
        <v>110</v>
      </c>
      <c r="K68" t="s">
        <v>47</v>
      </c>
      <c r="L68" t="str">
        <f t="shared" si="6"/>
        <v>Apr</v>
      </c>
      <c r="M68" t="str">
        <f t="shared" si="7"/>
        <v>Q2</v>
      </c>
      <c r="N68" t="str">
        <f t="shared" si="8"/>
        <v>Low</v>
      </c>
      <c r="O68">
        <f>_xlfn.XLOOKUP(I68,Helper_Table!A:A,Helper_Table!B:B)</f>
        <v>1.1000000000000001</v>
      </c>
      <c r="P68" s="1">
        <f t="shared" si="9"/>
        <v>4189.9000000000005</v>
      </c>
      <c r="Q68" s="4">
        <f t="shared" si="10"/>
        <v>0.90909090909090895</v>
      </c>
      <c r="R68" t="str">
        <f t="shared" si="11"/>
        <v>Below Target</v>
      </c>
    </row>
    <row r="69" spans="1:18">
      <c r="A69" t="s">
        <v>45</v>
      </c>
      <c r="B69" t="s">
        <v>49</v>
      </c>
      <c r="C69" t="s">
        <v>59</v>
      </c>
      <c r="D69" t="s">
        <v>31</v>
      </c>
      <c r="E69">
        <v>30</v>
      </c>
      <c r="F69">
        <v>272</v>
      </c>
      <c r="G69" s="1">
        <v>39524</v>
      </c>
      <c r="H69" s="2">
        <v>45482</v>
      </c>
      <c r="I69" t="s">
        <v>16</v>
      </c>
      <c r="J69" t="s">
        <v>111</v>
      </c>
      <c r="K69" t="s">
        <v>34</v>
      </c>
      <c r="L69" t="str">
        <f t="shared" si="6"/>
        <v>Jul</v>
      </c>
      <c r="M69" t="str">
        <f t="shared" si="7"/>
        <v>Q3</v>
      </c>
      <c r="N69" t="str">
        <f t="shared" si="8"/>
        <v>Medium</v>
      </c>
      <c r="O69">
        <f>_xlfn.XLOOKUP(I69,Helper_Table!A:A,Helper_Table!B:B)</f>
        <v>1.1000000000000001</v>
      </c>
      <c r="P69" s="1">
        <f t="shared" si="9"/>
        <v>43476.4</v>
      </c>
      <c r="Q69" s="4">
        <f t="shared" si="10"/>
        <v>0.90909090909090906</v>
      </c>
      <c r="R69" t="str">
        <f t="shared" si="11"/>
        <v>Below Target</v>
      </c>
    </row>
    <row r="70" spans="1:18">
      <c r="A70" t="s">
        <v>11</v>
      </c>
      <c r="B70" t="s">
        <v>12</v>
      </c>
      <c r="C70" t="s">
        <v>20</v>
      </c>
      <c r="D70" t="s">
        <v>21</v>
      </c>
      <c r="E70" t="s">
        <v>15</v>
      </c>
      <c r="F70">
        <v>1222</v>
      </c>
      <c r="G70" s="1">
        <v>19740</v>
      </c>
      <c r="H70" s="2">
        <v>45248</v>
      </c>
      <c r="I70" t="s">
        <v>16</v>
      </c>
      <c r="J70" t="s">
        <v>112</v>
      </c>
      <c r="K70" t="s">
        <v>34</v>
      </c>
      <c r="L70" t="str">
        <f t="shared" si="6"/>
        <v>Nov</v>
      </c>
      <c r="M70" t="str">
        <f t="shared" si="7"/>
        <v>Q4</v>
      </c>
      <c r="N70" t="str">
        <f t="shared" si="8"/>
        <v>Low</v>
      </c>
      <c r="O70">
        <f>_xlfn.XLOOKUP(I70,Helper_Table!A:A,Helper_Table!B:B)</f>
        <v>1.1000000000000001</v>
      </c>
      <c r="P70" s="1">
        <f t="shared" si="9"/>
        <v>21714</v>
      </c>
      <c r="Q70" s="4">
        <f t="shared" si="10"/>
        <v>0.90909090909090906</v>
      </c>
      <c r="R70" t="str">
        <f t="shared" si="11"/>
        <v>Below Target</v>
      </c>
    </row>
    <row r="71" spans="1:18">
      <c r="A71" t="s">
        <v>64</v>
      </c>
      <c r="B71" t="s">
        <v>19</v>
      </c>
      <c r="C71" t="s">
        <v>25</v>
      </c>
      <c r="D71" t="s">
        <v>66</v>
      </c>
      <c r="E71" t="s">
        <v>38</v>
      </c>
      <c r="F71">
        <v>151</v>
      </c>
      <c r="G71" s="1">
        <v>18797</v>
      </c>
      <c r="H71" s="2">
        <v>45332</v>
      </c>
      <c r="I71" t="s">
        <v>39</v>
      </c>
      <c r="J71" t="s">
        <v>113</v>
      </c>
      <c r="K71" t="s">
        <v>29</v>
      </c>
      <c r="L71" t="str">
        <f t="shared" si="6"/>
        <v>Feb</v>
      </c>
      <c r="M71" t="str">
        <f t="shared" si="7"/>
        <v>Q1</v>
      </c>
      <c r="N71" t="str">
        <f t="shared" si="8"/>
        <v>Low</v>
      </c>
      <c r="O71">
        <f>_xlfn.XLOOKUP(I71,Helper_Table!A:A,Helper_Table!B:B)</f>
        <v>1.1000000000000001</v>
      </c>
      <c r="P71" s="1">
        <f t="shared" si="9"/>
        <v>20676.7</v>
      </c>
      <c r="Q71" s="4">
        <f t="shared" si="10"/>
        <v>0.90909090909090906</v>
      </c>
      <c r="R71" t="str">
        <f t="shared" si="11"/>
        <v>Below Target</v>
      </c>
    </row>
    <row r="72" spans="1:18">
      <c r="A72" t="s">
        <v>64</v>
      </c>
      <c r="B72" t="s">
        <v>36</v>
      </c>
      <c r="C72" t="s">
        <v>25</v>
      </c>
      <c r="D72" t="s">
        <v>21</v>
      </c>
      <c r="E72" t="s">
        <v>38</v>
      </c>
      <c r="F72">
        <v>798</v>
      </c>
      <c r="G72" s="1">
        <v>23785</v>
      </c>
      <c r="H72" s="2">
        <v>45476</v>
      </c>
      <c r="I72" t="s">
        <v>16</v>
      </c>
      <c r="J72" t="s">
        <v>114</v>
      </c>
      <c r="K72" t="s">
        <v>44</v>
      </c>
      <c r="L72" t="str">
        <f t="shared" si="6"/>
        <v>Jul</v>
      </c>
      <c r="M72" t="str">
        <f t="shared" si="7"/>
        <v>Q3</v>
      </c>
      <c r="N72" t="str">
        <f t="shared" si="8"/>
        <v>Medium</v>
      </c>
      <c r="O72">
        <f>_xlfn.XLOOKUP(I72,Helper_Table!A:A,Helper_Table!B:B)</f>
        <v>1.1000000000000001</v>
      </c>
      <c r="P72" s="1">
        <f t="shared" si="9"/>
        <v>26163.500000000004</v>
      </c>
      <c r="Q72" s="4">
        <f t="shared" si="10"/>
        <v>0.90909090909090895</v>
      </c>
      <c r="R72" t="str">
        <f t="shared" si="11"/>
        <v>Below Target</v>
      </c>
    </row>
    <row r="73" spans="1:18">
      <c r="A73" t="s">
        <v>45</v>
      </c>
      <c r="B73" t="s">
        <v>12</v>
      </c>
      <c r="C73" t="s">
        <v>30</v>
      </c>
      <c r="D73" t="s">
        <v>26</v>
      </c>
      <c r="E73" t="s">
        <v>38</v>
      </c>
      <c r="F73">
        <v>310</v>
      </c>
      <c r="G73" s="1">
        <v>31204</v>
      </c>
      <c r="H73" s="2">
        <v>45157</v>
      </c>
      <c r="I73" t="s">
        <v>16</v>
      </c>
      <c r="J73" t="s">
        <v>115</v>
      </c>
      <c r="K73" t="s">
        <v>44</v>
      </c>
      <c r="L73" t="str">
        <f t="shared" si="6"/>
        <v>Aug</v>
      </c>
      <c r="M73" t="str">
        <f t="shared" si="7"/>
        <v>Q3</v>
      </c>
      <c r="N73" t="str">
        <f t="shared" si="8"/>
        <v>Medium</v>
      </c>
      <c r="O73">
        <f>_xlfn.XLOOKUP(I73,Helper_Table!A:A,Helper_Table!B:B)</f>
        <v>1.1000000000000001</v>
      </c>
      <c r="P73" s="1">
        <f t="shared" si="9"/>
        <v>34324.400000000001</v>
      </c>
      <c r="Q73" s="4">
        <f t="shared" si="10"/>
        <v>0.90909090909090906</v>
      </c>
      <c r="R73" t="str">
        <f t="shared" si="11"/>
        <v>Below Target</v>
      </c>
    </row>
    <row r="74" spans="1:18">
      <c r="A74" t="s">
        <v>11</v>
      </c>
      <c r="B74" t="s">
        <v>19</v>
      </c>
      <c r="C74" t="s">
        <v>13</v>
      </c>
      <c r="D74" t="s">
        <v>26</v>
      </c>
      <c r="E74" t="s">
        <v>38</v>
      </c>
      <c r="F74">
        <v>1280</v>
      </c>
      <c r="G74" s="1">
        <v>45096</v>
      </c>
      <c r="H74" s="2">
        <v>45462</v>
      </c>
      <c r="I74" t="s">
        <v>39</v>
      </c>
      <c r="J74" t="s">
        <v>116</v>
      </c>
      <c r="K74" t="s">
        <v>44</v>
      </c>
      <c r="L74" t="str">
        <f t="shared" si="6"/>
        <v>Jun</v>
      </c>
      <c r="M74" t="str">
        <f t="shared" si="7"/>
        <v>Q2</v>
      </c>
      <c r="N74" t="str">
        <f t="shared" si="8"/>
        <v>High</v>
      </c>
      <c r="O74">
        <f>_xlfn.XLOOKUP(I74,Helper_Table!A:A,Helper_Table!B:B)</f>
        <v>1.1000000000000001</v>
      </c>
      <c r="P74" s="1">
        <f t="shared" si="9"/>
        <v>49605.600000000006</v>
      </c>
      <c r="Q74" s="4">
        <f t="shared" si="10"/>
        <v>0.90909090909090895</v>
      </c>
      <c r="R74" t="str">
        <f t="shared" si="11"/>
        <v>Below Target</v>
      </c>
    </row>
    <row r="75" spans="1:18">
      <c r="A75" t="s">
        <v>35</v>
      </c>
      <c r="B75" t="s">
        <v>36</v>
      </c>
      <c r="C75" t="s">
        <v>59</v>
      </c>
      <c r="D75" t="s">
        <v>14</v>
      </c>
      <c r="E75" t="s">
        <v>15</v>
      </c>
      <c r="F75">
        <v>1776</v>
      </c>
      <c r="G75" s="1">
        <v>30640</v>
      </c>
      <c r="H75" s="2">
        <v>45457</v>
      </c>
      <c r="I75" t="s">
        <v>39</v>
      </c>
      <c r="J75" t="s">
        <v>117</v>
      </c>
      <c r="K75" t="s">
        <v>34</v>
      </c>
      <c r="L75" t="str">
        <f t="shared" si="6"/>
        <v>Jun</v>
      </c>
      <c r="M75" t="str">
        <f t="shared" si="7"/>
        <v>Q2</v>
      </c>
      <c r="N75" t="str">
        <f t="shared" si="8"/>
        <v>Medium</v>
      </c>
      <c r="O75">
        <f>_xlfn.XLOOKUP(I75,Helper_Table!A:A,Helper_Table!B:B)</f>
        <v>1.1000000000000001</v>
      </c>
      <c r="P75" s="1">
        <f t="shared" si="9"/>
        <v>33704</v>
      </c>
      <c r="Q75" s="4">
        <f t="shared" si="10"/>
        <v>0.90909090909090906</v>
      </c>
      <c r="R75" t="str">
        <f t="shared" si="11"/>
        <v>Below Target</v>
      </c>
    </row>
    <row r="76" spans="1:18">
      <c r="A76" t="s">
        <v>24</v>
      </c>
      <c r="B76" t="s">
        <v>49</v>
      </c>
      <c r="C76" t="s">
        <v>20</v>
      </c>
      <c r="D76" t="s">
        <v>21</v>
      </c>
      <c r="E76">
        <v>30</v>
      </c>
      <c r="F76">
        <v>784</v>
      </c>
      <c r="G76" s="1">
        <v>25665</v>
      </c>
      <c r="H76" s="2">
        <v>45417</v>
      </c>
      <c r="I76" t="s">
        <v>16</v>
      </c>
      <c r="J76" t="s">
        <v>118</v>
      </c>
      <c r="K76" t="s">
        <v>29</v>
      </c>
      <c r="L76" t="str">
        <f t="shared" si="6"/>
        <v>May</v>
      </c>
      <c r="M76" t="str">
        <f t="shared" si="7"/>
        <v>Q2</v>
      </c>
      <c r="N76" t="str">
        <f t="shared" si="8"/>
        <v>Medium</v>
      </c>
      <c r="O76">
        <f>_xlfn.XLOOKUP(I76,Helper_Table!A:A,Helper_Table!B:B)</f>
        <v>1.1000000000000001</v>
      </c>
      <c r="P76" s="1">
        <f t="shared" si="9"/>
        <v>28231.500000000004</v>
      </c>
      <c r="Q76" s="4">
        <f t="shared" si="10"/>
        <v>0.90909090909090895</v>
      </c>
      <c r="R76" t="str">
        <f t="shared" si="11"/>
        <v>Below Target</v>
      </c>
    </row>
    <row r="77" spans="1:18">
      <c r="A77" t="s">
        <v>45</v>
      </c>
      <c r="B77" t="s">
        <v>49</v>
      </c>
      <c r="C77" t="s">
        <v>30</v>
      </c>
      <c r="D77" t="s">
        <v>66</v>
      </c>
      <c r="E77">
        <v>60</v>
      </c>
      <c r="F77">
        <v>1936</v>
      </c>
      <c r="G77" s="1">
        <v>40605</v>
      </c>
      <c r="H77" s="2">
        <v>45259</v>
      </c>
      <c r="I77" t="s">
        <v>27</v>
      </c>
      <c r="J77" t="s">
        <v>119</v>
      </c>
      <c r="K77" t="s">
        <v>44</v>
      </c>
      <c r="L77" t="str">
        <f t="shared" si="6"/>
        <v>Nov</v>
      </c>
      <c r="M77" t="str">
        <f t="shared" si="7"/>
        <v>Q4</v>
      </c>
      <c r="N77" t="str">
        <f t="shared" si="8"/>
        <v>High</v>
      </c>
      <c r="O77">
        <f>_xlfn.XLOOKUP(I77,Helper_Table!A:A,Helper_Table!B:B)</f>
        <v>0.9</v>
      </c>
      <c r="P77" s="1">
        <f t="shared" si="9"/>
        <v>36544.5</v>
      </c>
      <c r="Q77" s="4">
        <f t="shared" si="10"/>
        <v>1.1111111111111112</v>
      </c>
      <c r="R77" t="str">
        <f t="shared" si="11"/>
        <v>Achieved</v>
      </c>
    </row>
    <row r="78" spans="1:18">
      <c r="A78" t="s">
        <v>64</v>
      </c>
      <c r="B78" t="s">
        <v>36</v>
      </c>
      <c r="C78" t="s">
        <v>20</v>
      </c>
      <c r="D78" t="s">
        <v>31</v>
      </c>
      <c r="E78" t="s">
        <v>15</v>
      </c>
      <c r="F78">
        <v>1675</v>
      </c>
      <c r="G78" s="1">
        <v>29315</v>
      </c>
      <c r="H78" s="2">
        <v>45237</v>
      </c>
      <c r="I78" t="s">
        <v>27</v>
      </c>
      <c r="J78" t="s">
        <v>120</v>
      </c>
      <c r="K78" t="s">
        <v>34</v>
      </c>
      <c r="L78" t="str">
        <f t="shared" si="6"/>
        <v>Nov</v>
      </c>
      <c r="M78" t="str">
        <f t="shared" si="7"/>
        <v>Q4</v>
      </c>
      <c r="N78" t="str">
        <f t="shared" si="8"/>
        <v>Medium</v>
      </c>
      <c r="O78">
        <f>_xlfn.XLOOKUP(I78,Helper_Table!A:A,Helper_Table!B:B)</f>
        <v>0.9</v>
      </c>
      <c r="P78" s="1">
        <f t="shared" si="9"/>
        <v>26383.5</v>
      </c>
      <c r="Q78" s="4">
        <f t="shared" si="10"/>
        <v>1.1111111111111112</v>
      </c>
      <c r="R78" t="str">
        <f t="shared" si="11"/>
        <v>Achieved</v>
      </c>
    </row>
    <row r="79" spans="1:18">
      <c r="A79" t="s">
        <v>24</v>
      </c>
      <c r="B79" t="s">
        <v>19</v>
      </c>
      <c r="C79" t="s">
        <v>25</v>
      </c>
      <c r="D79" t="s">
        <v>21</v>
      </c>
      <c r="E79" t="s">
        <v>22</v>
      </c>
      <c r="F79">
        <v>906</v>
      </c>
      <c r="G79" s="1">
        <v>10256</v>
      </c>
      <c r="H79" s="2">
        <v>45159</v>
      </c>
      <c r="I79" t="s">
        <v>16</v>
      </c>
      <c r="J79" t="s">
        <v>121</v>
      </c>
      <c r="K79" t="s">
        <v>44</v>
      </c>
      <c r="L79" t="str">
        <f t="shared" si="6"/>
        <v>Aug</v>
      </c>
      <c r="M79" t="str">
        <f t="shared" si="7"/>
        <v>Q3</v>
      </c>
      <c r="N79" t="str">
        <f t="shared" si="8"/>
        <v>Low</v>
      </c>
      <c r="O79">
        <f>_xlfn.XLOOKUP(I79,Helper_Table!A:A,Helper_Table!B:B)</f>
        <v>1.1000000000000001</v>
      </c>
      <c r="P79" s="1">
        <f t="shared" si="9"/>
        <v>11281.6</v>
      </c>
      <c r="Q79" s="4">
        <f t="shared" si="10"/>
        <v>0.90909090909090906</v>
      </c>
      <c r="R79" t="str">
        <f t="shared" si="11"/>
        <v>Below Target</v>
      </c>
    </row>
    <row r="80" spans="1:18">
      <c r="A80" t="s">
        <v>35</v>
      </c>
      <c r="B80" t="s">
        <v>19</v>
      </c>
      <c r="C80" t="s">
        <v>20</v>
      </c>
      <c r="D80" t="s">
        <v>31</v>
      </c>
      <c r="E80">
        <v>60</v>
      </c>
      <c r="F80">
        <v>873</v>
      </c>
      <c r="G80" s="1">
        <v>44797</v>
      </c>
      <c r="H80" s="2">
        <v>45192</v>
      </c>
      <c r="I80" t="s">
        <v>41</v>
      </c>
      <c r="J80" t="s">
        <v>122</v>
      </c>
      <c r="K80" t="s">
        <v>29</v>
      </c>
      <c r="L80" t="str">
        <f t="shared" si="6"/>
        <v>Sep</v>
      </c>
      <c r="M80" t="str">
        <f t="shared" si="7"/>
        <v>Q3</v>
      </c>
      <c r="N80" t="str">
        <f t="shared" si="8"/>
        <v>High</v>
      </c>
      <c r="O80">
        <f>_xlfn.XLOOKUP(I80,Helper_Table!A:A,Helper_Table!B:B)</f>
        <v>1.2</v>
      </c>
      <c r="P80" s="1">
        <f t="shared" si="9"/>
        <v>53756.4</v>
      </c>
      <c r="Q80" s="4">
        <f t="shared" si="10"/>
        <v>0.83333333333333326</v>
      </c>
      <c r="R80" t="str">
        <f t="shared" si="11"/>
        <v>Below Target</v>
      </c>
    </row>
    <row r="81" spans="1:18">
      <c r="A81" t="s">
        <v>35</v>
      </c>
      <c r="B81" t="s">
        <v>36</v>
      </c>
      <c r="C81" t="s">
        <v>20</v>
      </c>
      <c r="D81" t="s">
        <v>66</v>
      </c>
      <c r="E81">
        <v>30</v>
      </c>
      <c r="F81">
        <v>1227</v>
      </c>
      <c r="G81" s="1">
        <v>37132</v>
      </c>
      <c r="H81" s="2">
        <v>45421</v>
      </c>
      <c r="I81" t="s">
        <v>16</v>
      </c>
      <c r="J81" t="s">
        <v>123</v>
      </c>
      <c r="K81" t="s">
        <v>34</v>
      </c>
      <c r="L81" t="str">
        <f t="shared" si="6"/>
        <v>May</v>
      </c>
      <c r="M81" t="str">
        <f t="shared" si="7"/>
        <v>Q2</v>
      </c>
      <c r="N81" t="str">
        <f t="shared" si="8"/>
        <v>Medium</v>
      </c>
      <c r="O81">
        <f>_xlfn.XLOOKUP(I81,Helper_Table!A:A,Helper_Table!B:B)</f>
        <v>1.1000000000000001</v>
      </c>
      <c r="P81" s="1">
        <f t="shared" si="9"/>
        <v>40845.200000000004</v>
      </c>
      <c r="Q81" s="4">
        <f t="shared" si="10"/>
        <v>0.90909090909090895</v>
      </c>
      <c r="R81" t="str">
        <f t="shared" si="11"/>
        <v>Below Target</v>
      </c>
    </row>
    <row r="82" spans="1:18">
      <c r="A82" t="s">
        <v>35</v>
      </c>
      <c r="B82" t="s">
        <v>49</v>
      </c>
      <c r="C82" t="s">
        <v>25</v>
      </c>
      <c r="D82" t="s">
        <v>21</v>
      </c>
      <c r="E82">
        <v>30</v>
      </c>
      <c r="F82">
        <v>1921</v>
      </c>
      <c r="G82" s="1">
        <v>8234</v>
      </c>
      <c r="H82" s="2">
        <v>45136</v>
      </c>
      <c r="I82" t="s">
        <v>16</v>
      </c>
      <c r="J82" t="s">
        <v>124</v>
      </c>
      <c r="K82" t="s">
        <v>34</v>
      </c>
      <c r="L82" t="str">
        <f t="shared" si="6"/>
        <v>Jul</v>
      </c>
      <c r="M82" t="str">
        <f t="shared" si="7"/>
        <v>Q3</v>
      </c>
      <c r="N82" t="str">
        <f t="shared" si="8"/>
        <v>Low</v>
      </c>
      <c r="O82">
        <f>_xlfn.XLOOKUP(I82,Helper_Table!A:A,Helper_Table!B:B)</f>
        <v>1.1000000000000001</v>
      </c>
      <c r="P82" s="1">
        <f t="shared" si="9"/>
        <v>9057.4000000000015</v>
      </c>
      <c r="Q82" s="4">
        <f t="shared" si="10"/>
        <v>0.90909090909090895</v>
      </c>
      <c r="R82" t="str">
        <f t="shared" si="11"/>
        <v>Below Target</v>
      </c>
    </row>
    <row r="83" spans="1:18">
      <c r="A83" t="s">
        <v>45</v>
      </c>
      <c r="B83" t="s">
        <v>51</v>
      </c>
      <c r="C83" t="s">
        <v>59</v>
      </c>
      <c r="D83" t="s">
        <v>21</v>
      </c>
      <c r="E83" t="s">
        <v>38</v>
      </c>
      <c r="F83">
        <v>1907</v>
      </c>
      <c r="G83" s="1">
        <v>11906</v>
      </c>
      <c r="H83" s="2">
        <v>45387</v>
      </c>
      <c r="I83" t="s">
        <v>32</v>
      </c>
      <c r="J83" t="s">
        <v>125</v>
      </c>
      <c r="K83" t="s">
        <v>44</v>
      </c>
      <c r="L83" t="str">
        <f t="shared" si="6"/>
        <v>Apr</v>
      </c>
      <c r="M83" t="str">
        <f t="shared" si="7"/>
        <v>Q2</v>
      </c>
      <c r="N83" t="str">
        <f t="shared" si="8"/>
        <v>Low</v>
      </c>
      <c r="O83">
        <f>_xlfn.XLOOKUP(I83,Helper_Table!A:A,Helper_Table!B:B)</f>
        <v>0.95</v>
      </c>
      <c r="P83" s="1">
        <f t="shared" si="9"/>
        <v>11310.699999999999</v>
      </c>
      <c r="Q83" s="4">
        <f t="shared" si="10"/>
        <v>1.0526315789473686</v>
      </c>
      <c r="R83" t="str">
        <f t="shared" si="11"/>
        <v>Achieved</v>
      </c>
    </row>
    <row r="84" spans="1:18">
      <c r="A84" t="s">
        <v>64</v>
      </c>
      <c r="B84" t="s">
        <v>49</v>
      </c>
      <c r="C84" t="s">
        <v>20</v>
      </c>
      <c r="D84" t="s">
        <v>31</v>
      </c>
      <c r="E84">
        <v>60</v>
      </c>
      <c r="F84">
        <v>1766</v>
      </c>
      <c r="G84" s="1">
        <v>36835</v>
      </c>
      <c r="H84" s="2">
        <v>45368</v>
      </c>
      <c r="I84" t="s">
        <v>27</v>
      </c>
      <c r="J84" t="s">
        <v>126</v>
      </c>
      <c r="K84" t="s">
        <v>34</v>
      </c>
      <c r="L84" t="str">
        <f t="shared" si="6"/>
        <v>Mar</v>
      </c>
      <c r="M84" t="str">
        <f t="shared" si="7"/>
        <v>Q1</v>
      </c>
      <c r="N84" t="str">
        <f t="shared" si="8"/>
        <v>Medium</v>
      </c>
      <c r="O84">
        <f>_xlfn.XLOOKUP(I84,Helper_Table!A:A,Helper_Table!B:B)</f>
        <v>0.9</v>
      </c>
      <c r="P84" s="1">
        <f t="shared" si="9"/>
        <v>33151.5</v>
      </c>
      <c r="Q84" s="4">
        <f t="shared" si="10"/>
        <v>1.1111111111111112</v>
      </c>
      <c r="R84" t="str">
        <f t="shared" si="11"/>
        <v>Achieved</v>
      </c>
    </row>
    <row r="85" spans="1:18">
      <c r="A85" t="s">
        <v>45</v>
      </c>
      <c r="B85" t="s">
        <v>19</v>
      </c>
      <c r="C85" t="s">
        <v>59</v>
      </c>
      <c r="D85" t="s">
        <v>66</v>
      </c>
      <c r="E85">
        <v>60</v>
      </c>
      <c r="F85">
        <v>793</v>
      </c>
      <c r="G85" s="1">
        <v>45468</v>
      </c>
      <c r="H85" s="2">
        <v>45256</v>
      </c>
      <c r="I85" t="s">
        <v>27</v>
      </c>
      <c r="J85" t="s">
        <v>127</v>
      </c>
      <c r="K85" t="s">
        <v>29</v>
      </c>
      <c r="L85" t="str">
        <f t="shared" si="6"/>
        <v>Nov</v>
      </c>
      <c r="M85" t="str">
        <f t="shared" si="7"/>
        <v>Q4</v>
      </c>
      <c r="N85" t="str">
        <f t="shared" si="8"/>
        <v>High</v>
      </c>
      <c r="O85">
        <f>_xlfn.XLOOKUP(I85,Helper_Table!A:A,Helper_Table!B:B)</f>
        <v>0.9</v>
      </c>
      <c r="P85" s="1">
        <f t="shared" si="9"/>
        <v>40921.200000000004</v>
      </c>
      <c r="Q85" s="4">
        <f t="shared" si="10"/>
        <v>1.1111111111111109</v>
      </c>
      <c r="R85" t="str">
        <f t="shared" si="11"/>
        <v>Achieved</v>
      </c>
    </row>
    <row r="86" spans="1:18">
      <c r="A86" t="s">
        <v>45</v>
      </c>
      <c r="B86" t="s">
        <v>12</v>
      </c>
      <c r="C86" t="s">
        <v>20</v>
      </c>
      <c r="D86" t="s">
        <v>26</v>
      </c>
      <c r="E86" t="s">
        <v>22</v>
      </c>
      <c r="F86">
        <v>1738</v>
      </c>
      <c r="G86" s="1">
        <v>22945</v>
      </c>
      <c r="H86" s="2">
        <v>45343</v>
      </c>
      <c r="I86" t="s">
        <v>16</v>
      </c>
      <c r="J86" t="s">
        <v>128</v>
      </c>
      <c r="K86" t="s">
        <v>47</v>
      </c>
      <c r="L86" t="str">
        <f t="shared" si="6"/>
        <v>Feb</v>
      </c>
      <c r="M86" t="str">
        <f t="shared" si="7"/>
        <v>Q1</v>
      </c>
      <c r="N86" t="str">
        <f t="shared" si="8"/>
        <v>Medium</v>
      </c>
      <c r="O86">
        <f>_xlfn.XLOOKUP(I86,Helper_Table!A:A,Helper_Table!B:B)</f>
        <v>1.1000000000000001</v>
      </c>
      <c r="P86" s="1">
        <f t="shared" si="9"/>
        <v>25239.500000000004</v>
      </c>
      <c r="Q86" s="4">
        <f t="shared" si="10"/>
        <v>0.90909090909090895</v>
      </c>
      <c r="R86" t="str">
        <f t="shared" si="11"/>
        <v>Below Target</v>
      </c>
    </row>
    <row r="87" spans="1:18">
      <c r="A87" t="s">
        <v>35</v>
      </c>
      <c r="B87" t="s">
        <v>51</v>
      </c>
      <c r="C87" t="s">
        <v>13</v>
      </c>
      <c r="D87" t="s">
        <v>66</v>
      </c>
      <c r="E87" t="s">
        <v>22</v>
      </c>
      <c r="F87">
        <v>1088</v>
      </c>
      <c r="G87" s="1">
        <v>46398</v>
      </c>
      <c r="H87" s="2">
        <v>45481</v>
      </c>
      <c r="I87" t="s">
        <v>16</v>
      </c>
      <c r="J87" t="s">
        <v>129</v>
      </c>
      <c r="K87" t="s">
        <v>44</v>
      </c>
      <c r="L87" t="str">
        <f t="shared" si="6"/>
        <v>Jul</v>
      </c>
      <c r="M87" t="str">
        <f t="shared" si="7"/>
        <v>Q3</v>
      </c>
      <c r="N87" t="str">
        <f t="shared" si="8"/>
        <v>High</v>
      </c>
      <c r="O87">
        <f>_xlfn.XLOOKUP(I87,Helper_Table!A:A,Helper_Table!B:B)</f>
        <v>1.1000000000000001</v>
      </c>
      <c r="P87" s="1">
        <f t="shared" si="9"/>
        <v>51037.8</v>
      </c>
      <c r="Q87" s="4">
        <f t="shared" si="10"/>
        <v>0.90909090909090906</v>
      </c>
      <c r="R87" t="str">
        <f t="shared" si="11"/>
        <v>Below Target</v>
      </c>
    </row>
    <row r="88" spans="1:18">
      <c r="A88" t="s">
        <v>35</v>
      </c>
      <c r="B88" t="s">
        <v>12</v>
      </c>
      <c r="C88" t="s">
        <v>30</v>
      </c>
      <c r="D88" t="s">
        <v>66</v>
      </c>
      <c r="E88" t="s">
        <v>22</v>
      </c>
      <c r="F88">
        <v>643</v>
      </c>
      <c r="G88" s="1">
        <v>1303</v>
      </c>
      <c r="H88" s="2">
        <v>45452</v>
      </c>
      <c r="I88" t="s">
        <v>27</v>
      </c>
      <c r="J88" t="s">
        <v>130</v>
      </c>
      <c r="K88" t="s">
        <v>29</v>
      </c>
      <c r="L88" t="str">
        <f t="shared" si="6"/>
        <v>Jun</v>
      </c>
      <c r="M88" t="str">
        <f t="shared" si="7"/>
        <v>Q2</v>
      </c>
      <c r="N88" t="str">
        <f t="shared" si="8"/>
        <v>Low</v>
      </c>
      <c r="O88">
        <f>_xlfn.XLOOKUP(I88,Helper_Table!A:A,Helper_Table!B:B)</f>
        <v>0.9</v>
      </c>
      <c r="P88" s="1">
        <f t="shared" si="9"/>
        <v>1172.7</v>
      </c>
      <c r="Q88" s="4">
        <f t="shared" si="10"/>
        <v>1.1111111111111112</v>
      </c>
      <c r="R88" t="str">
        <f t="shared" si="11"/>
        <v>Achieved</v>
      </c>
    </row>
    <row r="89" spans="1:18">
      <c r="A89" t="s">
        <v>64</v>
      </c>
      <c r="B89" t="s">
        <v>19</v>
      </c>
      <c r="C89" t="s">
        <v>59</v>
      </c>
      <c r="D89" t="s">
        <v>66</v>
      </c>
      <c r="E89" t="s">
        <v>38</v>
      </c>
      <c r="F89">
        <v>1498</v>
      </c>
      <c r="G89" s="1">
        <v>33259</v>
      </c>
      <c r="H89" s="2">
        <v>45500</v>
      </c>
      <c r="I89" t="s">
        <v>16</v>
      </c>
      <c r="J89" t="s">
        <v>131</v>
      </c>
      <c r="K89" t="s">
        <v>29</v>
      </c>
      <c r="L89" t="str">
        <f t="shared" si="6"/>
        <v>Jul</v>
      </c>
      <c r="M89" t="str">
        <f t="shared" si="7"/>
        <v>Q3</v>
      </c>
      <c r="N89" t="str">
        <f t="shared" si="8"/>
        <v>Medium</v>
      </c>
      <c r="O89">
        <f>_xlfn.XLOOKUP(I89,Helper_Table!A:A,Helper_Table!B:B)</f>
        <v>1.1000000000000001</v>
      </c>
      <c r="P89" s="1">
        <f t="shared" si="9"/>
        <v>36584.9</v>
      </c>
      <c r="Q89" s="4">
        <f t="shared" si="10"/>
        <v>0.90909090909090906</v>
      </c>
      <c r="R89" t="str">
        <f t="shared" si="11"/>
        <v>Below Target</v>
      </c>
    </row>
    <row r="90" spans="1:18">
      <c r="A90" t="s">
        <v>24</v>
      </c>
      <c r="B90" t="s">
        <v>36</v>
      </c>
      <c r="C90" t="s">
        <v>30</v>
      </c>
      <c r="D90" t="s">
        <v>66</v>
      </c>
      <c r="E90">
        <v>30</v>
      </c>
      <c r="F90">
        <v>1558</v>
      </c>
      <c r="G90" s="1">
        <v>8553</v>
      </c>
      <c r="H90" s="2">
        <v>45275</v>
      </c>
      <c r="I90" t="s">
        <v>32</v>
      </c>
      <c r="J90" t="s">
        <v>132</v>
      </c>
      <c r="K90" t="s">
        <v>29</v>
      </c>
      <c r="L90" t="str">
        <f t="shared" si="6"/>
        <v>Dec</v>
      </c>
      <c r="M90" t="str">
        <f t="shared" si="7"/>
        <v>Q4</v>
      </c>
      <c r="N90" t="str">
        <f t="shared" si="8"/>
        <v>Low</v>
      </c>
      <c r="O90">
        <f>_xlfn.XLOOKUP(I90,Helper_Table!A:A,Helper_Table!B:B)</f>
        <v>0.95</v>
      </c>
      <c r="P90" s="1">
        <f t="shared" si="9"/>
        <v>8125.3499999999995</v>
      </c>
      <c r="Q90" s="4">
        <f t="shared" si="10"/>
        <v>1.0526315789473686</v>
      </c>
      <c r="R90" t="str">
        <f t="shared" si="11"/>
        <v>Achieved</v>
      </c>
    </row>
    <row r="91" spans="1:18">
      <c r="A91" t="s">
        <v>64</v>
      </c>
      <c r="B91" t="s">
        <v>49</v>
      </c>
      <c r="C91" t="s">
        <v>25</v>
      </c>
      <c r="D91" t="s">
        <v>26</v>
      </c>
      <c r="E91">
        <v>30</v>
      </c>
      <c r="F91">
        <v>1423</v>
      </c>
      <c r="G91" s="1">
        <v>28304</v>
      </c>
      <c r="H91" s="2">
        <v>45287</v>
      </c>
      <c r="I91" t="s">
        <v>32</v>
      </c>
      <c r="J91" t="s">
        <v>133</v>
      </c>
      <c r="K91" t="s">
        <v>44</v>
      </c>
      <c r="L91" t="str">
        <f t="shared" si="6"/>
        <v>Dec</v>
      </c>
      <c r="M91" t="str">
        <f t="shared" si="7"/>
        <v>Q4</v>
      </c>
      <c r="N91" t="str">
        <f t="shared" si="8"/>
        <v>Medium</v>
      </c>
      <c r="O91">
        <f>_xlfn.XLOOKUP(I91,Helper_Table!A:A,Helper_Table!B:B)</f>
        <v>0.95</v>
      </c>
      <c r="P91" s="1">
        <f t="shared" si="9"/>
        <v>26888.799999999999</v>
      </c>
      <c r="Q91" s="4">
        <f t="shared" si="10"/>
        <v>1.0526315789473684</v>
      </c>
      <c r="R91" t="str">
        <f t="shared" si="11"/>
        <v>Achieved</v>
      </c>
    </row>
    <row r="92" spans="1:18">
      <c r="A92" t="s">
        <v>64</v>
      </c>
      <c r="B92" t="s">
        <v>36</v>
      </c>
      <c r="C92" t="s">
        <v>25</v>
      </c>
      <c r="D92" t="s">
        <v>14</v>
      </c>
      <c r="E92" t="s">
        <v>38</v>
      </c>
      <c r="F92">
        <v>1777</v>
      </c>
      <c r="G92" s="1">
        <v>33795</v>
      </c>
      <c r="H92" s="2">
        <v>45333</v>
      </c>
      <c r="I92" t="s">
        <v>16</v>
      </c>
      <c r="J92" t="s">
        <v>134</v>
      </c>
      <c r="K92" t="s">
        <v>34</v>
      </c>
      <c r="L92" t="str">
        <f t="shared" si="6"/>
        <v>Feb</v>
      </c>
      <c r="M92" t="str">
        <f t="shared" si="7"/>
        <v>Q1</v>
      </c>
      <c r="N92" t="str">
        <f t="shared" si="8"/>
        <v>Medium</v>
      </c>
      <c r="O92">
        <f>_xlfn.XLOOKUP(I92,Helper_Table!A:A,Helper_Table!B:B)</f>
        <v>1.1000000000000001</v>
      </c>
      <c r="P92" s="1">
        <f t="shared" si="9"/>
        <v>37174.5</v>
      </c>
      <c r="Q92" s="4">
        <f t="shared" si="10"/>
        <v>0.90909090909090906</v>
      </c>
      <c r="R92" t="str">
        <f t="shared" si="11"/>
        <v>Below Target</v>
      </c>
    </row>
    <row r="93" spans="1:18">
      <c r="A93" t="s">
        <v>24</v>
      </c>
      <c r="B93" t="s">
        <v>36</v>
      </c>
      <c r="C93" t="s">
        <v>13</v>
      </c>
      <c r="D93" t="s">
        <v>66</v>
      </c>
      <c r="E93" t="s">
        <v>22</v>
      </c>
      <c r="F93">
        <v>1908</v>
      </c>
      <c r="G93" s="1">
        <v>34115</v>
      </c>
      <c r="H93" s="2">
        <v>45233</v>
      </c>
      <c r="I93" t="s">
        <v>32</v>
      </c>
      <c r="J93" t="s">
        <v>135</v>
      </c>
      <c r="K93" t="s">
        <v>18</v>
      </c>
      <c r="L93" t="str">
        <f t="shared" si="6"/>
        <v>Nov</v>
      </c>
      <c r="M93" t="str">
        <f t="shared" si="7"/>
        <v>Q4</v>
      </c>
      <c r="N93" t="str">
        <f t="shared" si="8"/>
        <v>Medium</v>
      </c>
      <c r="O93">
        <f>_xlfn.XLOOKUP(I93,Helper_Table!A:A,Helper_Table!B:B)</f>
        <v>0.95</v>
      </c>
      <c r="P93" s="1">
        <f t="shared" si="9"/>
        <v>32409.25</v>
      </c>
      <c r="Q93" s="4">
        <f t="shared" si="10"/>
        <v>1.0526315789473684</v>
      </c>
      <c r="R93" t="str">
        <f t="shared" si="11"/>
        <v>Achieved</v>
      </c>
    </row>
    <row r="94" spans="1:18">
      <c r="A94" t="s">
        <v>35</v>
      </c>
      <c r="B94" t="s">
        <v>19</v>
      </c>
      <c r="C94" t="s">
        <v>25</v>
      </c>
      <c r="D94" t="s">
        <v>31</v>
      </c>
      <c r="E94" t="s">
        <v>22</v>
      </c>
      <c r="F94">
        <v>1291</v>
      </c>
      <c r="G94" s="1">
        <v>30051</v>
      </c>
      <c r="H94" s="2">
        <v>45298</v>
      </c>
      <c r="I94" t="s">
        <v>39</v>
      </c>
      <c r="J94" t="s">
        <v>136</v>
      </c>
      <c r="K94" t="s">
        <v>34</v>
      </c>
      <c r="L94" t="str">
        <f t="shared" si="6"/>
        <v>Jan</v>
      </c>
      <c r="M94" t="str">
        <f t="shared" si="7"/>
        <v>Q1</v>
      </c>
      <c r="N94" t="str">
        <f t="shared" si="8"/>
        <v>Medium</v>
      </c>
      <c r="O94">
        <f>_xlfn.XLOOKUP(I94,Helper_Table!A:A,Helper_Table!B:B)</f>
        <v>1.1000000000000001</v>
      </c>
      <c r="P94" s="1">
        <f t="shared" si="9"/>
        <v>33056.100000000006</v>
      </c>
      <c r="Q94" s="4">
        <f t="shared" si="10"/>
        <v>0.90909090909090895</v>
      </c>
      <c r="R94" t="str">
        <f t="shared" si="11"/>
        <v>Below Target</v>
      </c>
    </row>
    <row r="95" spans="1:18">
      <c r="A95" t="s">
        <v>45</v>
      </c>
      <c r="B95" t="s">
        <v>36</v>
      </c>
      <c r="C95" t="s">
        <v>13</v>
      </c>
      <c r="D95" t="s">
        <v>26</v>
      </c>
      <c r="E95" t="s">
        <v>38</v>
      </c>
      <c r="F95">
        <v>1702</v>
      </c>
      <c r="G95" s="1">
        <v>29950</v>
      </c>
      <c r="H95" s="2">
        <v>45151</v>
      </c>
      <c r="I95" t="s">
        <v>16</v>
      </c>
      <c r="J95" t="s">
        <v>137</v>
      </c>
      <c r="K95" t="s">
        <v>34</v>
      </c>
      <c r="L95" t="str">
        <f t="shared" si="6"/>
        <v>Aug</v>
      </c>
      <c r="M95" t="str">
        <f t="shared" si="7"/>
        <v>Q3</v>
      </c>
      <c r="N95" t="str">
        <f t="shared" si="8"/>
        <v>Medium</v>
      </c>
      <c r="O95">
        <f>_xlfn.XLOOKUP(I95,Helper_Table!A:A,Helper_Table!B:B)</f>
        <v>1.1000000000000001</v>
      </c>
      <c r="P95" s="1">
        <f t="shared" si="9"/>
        <v>32945</v>
      </c>
      <c r="Q95" s="4">
        <f t="shared" si="10"/>
        <v>0.90909090909090906</v>
      </c>
      <c r="R95" t="str">
        <f t="shared" si="11"/>
        <v>Below Target</v>
      </c>
    </row>
    <row r="96" spans="1:18">
      <c r="A96" t="s">
        <v>24</v>
      </c>
      <c r="B96" t="s">
        <v>51</v>
      </c>
      <c r="C96" t="s">
        <v>30</v>
      </c>
      <c r="D96" t="s">
        <v>21</v>
      </c>
      <c r="E96">
        <v>60</v>
      </c>
      <c r="F96">
        <v>1367</v>
      </c>
      <c r="G96" s="1">
        <v>30714</v>
      </c>
      <c r="H96" s="2">
        <v>45395</v>
      </c>
      <c r="I96" t="s">
        <v>27</v>
      </c>
      <c r="J96" t="s">
        <v>138</v>
      </c>
      <c r="K96" t="s">
        <v>34</v>
      </c>
      <c r="L96" t="str">
        <f t="shared" si="6"/>
        <v>Apr</v>
      </c>
      <c r="M96" t="str">
        <f t="shared" si="7"/>
        <v>Q2</v>
      </c>
      <c r="N96" t="str">
        <f t="shared" si="8"/>
        <v>Medium</v>
      </c>
      <c r="O96">
        <f>_xlfn.XLOOKUP(I96,Helper_Table!A:A,Helper_Table!B:B)</f>
        <v>0.9</v>
      </c>
      <c r="P96" s="1">
        <f t="shared" si="9"/>
        <v>27642.600000000002</v>
      </c>
      <c r="Q96" s="4">
        <f t="shared" si="10"/>
        <v>1.1111111111111109</v>
      </c>
      <c r="R96" t="str">
        <f t="shared" si="11"/>
        <v>Achieved</v>
      </c>
    </row>
    <row r="97" spans="1:18">
      <c r="A97" t="s">
        <v>64</v>
      </c>
      <c r="B97" t="s">
        <v>36</v>
      </c>
      <c r="C97" t="s">
        <v>13</v>
      </c>
      <c r="D97" t="s">
        <v>14</v>
      </c>
      <c r="E97">
        <v>30</v>
      </c>
      <c r="F97">
        <v>1583</v>
      </c>
      <c r="G97" s="1">
        <v>45689</v>
      </c>
      <c r="H97" s="2">
        <v>45165</v>
      </c>
      <c r="I97" t="s">
        <v>32</v>
      </c>
      <c r="J97" t="s">
        <v>139</v>
      </c>
      <c r="K97" t="s">
        <v>47</v>
      </c>
      <c r="L97" t="str">
        <f t="shared" si="6"/>
        <v>Aug</v>
      </c>
      <c r="M97" t="str">
        <f t="shared" si="7"/>
        <v>Q3</v>
      </c>
      <c r="N97" t="str">
        <f t="shared" si="8"/>
        <v>High</v>
      </c>
      <c r="O97">
        <f>_xlfn.XLOOKUP(I97,Helper_Table!A:A,Helper_Table!B:B)</f>
        <v>0.95</v>
      </c>
      <c r="P97" s="1">
        <f t="shared" si="9"/>
        <v>43404.549999999996</v>
      </c>
      <c r="Q97" s="4">
        <f t="shared" si="10"/>
        <v>1.0526315789473686</v>
      </c>
      <c r="R97" t="str">
        <f t="shared" si="11"/>
        <v>Achieved</v>
      </c>
    </row>
    <row r="98" spans="1:18">
      <c r="A98" t="s">
        <v>24</v>
      </c>
      <c r="B98" t="s">
        <v>36</v>
      </c>
      <c r="C98" t="s">
        <v>25</v>
      </c>
      <c r="D98" t="s">
        <v>21</v>
      </c>
      <c r="E98" t="s">
        <v>22</v>
      </c>
      <c r="F98">
        <v>848</v>
      </c>
      <c r="G98" s="1">
        <v>35016</v>
      </c>
      <c r="H98" s="2">
        <v>45366</v>
      </c>
      <c r="I98" t="s">
        <v>16</v>
      </c>
      <c r="J98" t="s">
        <v>140</v>
      </c>
      <c r="K98" t="s">
        <v>47</v>
      </c>
      <c r="L98" t="str">
        <f t="shared" si="6"/>
        <v>Mar</v>
      </c>
      <c r="M98" t="str">
        <f t="shared" si="7"/>
        <v>Q1</v>
      </c>
      <c r="N98" t="str">
        <f t="shared" si="8"/>
        <v>Medium</v>
      </c>
      <c r="O98">
        <f>_xlfn.XLOOKUP(I98,Helper_Table!A:A,Helper_Table!B:B)</f>
        <v>1.1000000000000001</v>
      </c>
      <c r="P98" s="1">
        <f t="shared" si="9"/>
        <v>38517.600000000006</v>
      </c>
      <c r="Q98" s="4">
        <f t="shared" si="10"/>
        <v>0.90909090909090895</v>
      </c>
      <c r="R98" t="str">
        <f t="shared" si="11"/>
        <v>Below Target</v>
      </c>
    </row>
    <row r="99" spans="1:18">
      <c r="A99" t="s">
        <v>11</v>
      </c>
      <c r="B99" t="s">
        <v>49</v>
      </c>
      <c r="C99" t="s">
        <v>59</v>
      </c>
      <c r="D99" t="s">
        <v>31</v>
      </c>
      <c r="E99" t="s">
        <v>22</v>
      </c>
      <c r="F99">
        <v>1886</v>
      </c>
      <c r="G99" s="1">
        <v>11515</v>
      </c>
      <c r="H99" s="2">
        <v>45453</v>
      </c>
      <c r="I99" t="s">
        <v>41</v>
      </c>
      <c r="J99" t="s">
        <v>141</v>
      </c>
      <c r="K99" t="s">
        <v>47</v>
      </c>
      <c r="L99" t="str">
        <f t="shared" si="6"/>
        <v>Jun</v>
      </c>
      <c r="M99" t="str">
        <f t="shared" si="7"/>
        <v>Q2</v>
      </c>
      <c r="N99" t="str">
        <f t="shared" si="8"/>
        <v>Low</v>
      </c>
      <c r="O99">
        <f>_xlfn.XLOOKUP(I99,Helper_Table!A:A,Helper_Table!B:B)</f>
        <v>1.2</v>
      </c>
      <c r="P99" s="1">
        <f t="shared" si="9"/>
        <v>13818</v>
      </c>
      <c r="Q99" s="4">
        <f t="shared" si="10"/>
        <v>0.83333333333333337</v>
      </c>
      <c r="R99" t="str">
        <f t="shared" si="11"/>
        <v>Below Target</v>
      </c>
    </row>
    <row r="100" spans="1:18">
      <c r="A100" t="s">
        <v>64</v>
      </c>
      <c r="B100" t="s">
        <v>36</v>
      </c>
      <c r="C100" t="s">
        <v>13</v>
      </c>
      <c r="D100" t="s">
        <v>66</v>
      </c>
      <c r="E100" t="s">
        <v>15</v>
      </c>
      <c r="F100">
        <v>1391</v>
      </c>
      <c r="G100" s="1">
        <v>49897</v>
      </c>
      <c r="H100" s="2">
        <v>45186</v>
      </c>
      <c r="I100" t="s">
        <v>16</v>
      </c>
      <c r="J100" t="s">
        <v>142</v>
      </c>
      <c r="K100" t="s">
        <v>47</v>
      </c>
      <c r="L100" t="str">
        <f t="shared" si="6"/>
        <v>Sep</v>
      </c>
      <c r="M100" t="str">
        <f t="shared" si="7"/>
        <v>Q3</v>
      </c>
      <c r="N100" t="str">
        <f t="shared" si="8"/>
        <v>High</v>
      </c>
      <c r="O100">
        <f>_xlfn.XLOOKUP(I100,Helper_Table!A:A,Helper_Table!B:B)</f>
        <v>1.1000000000000001</v>
      </c>
      <c r="P100" s="1">
        <f t="shared" si="9"/>
        <v>54886.700000000004</v>
      </c>
      <c r="Q100" s="4">
        <f t="shared" si="10"/>
        <v>0.90909090909090906</v>
      </c>
      <c r="R100" t="str">
        <f t="shared" si="11"/>
        <v>Below Target</v>
      </c>
    </row>
    <row r="101" spans="1:18">
      <c r="A101" t="s">
        <v>35</v>
      </c>
      <c r="B101" t="s">
        <v>51</v>
      </c>
      <c r="C101" t="s">
        <v>30</v>
      </c>
      <c r="D101" t="s">
        <v>66</v>
      </c>
      <c r="E101">
        <v>60</v>
      </c>
      <c r="F101">
        <v>536</v>
      </c>
      <c r="G101" s="1">
        <v>12572</v>
      </c>
      <c r="H101" s="2">
        <v>45206</v>
      </c>
      <c r="I101" t="s">
        <v>27</v>
      </c>
      <c r="J101" t="s">
        <v>143</v>
      </c>
      <c r="K101" t="s">
        <v>44</v>
      </c>
      <c r="L101" t="str">
        <f t="shared" si="6"/>
        <v>Oct</v>
      </c>
      <c r="M101" t="str">
        <f t="shared" si="7"/>
        <v>Q4</v>
      </c>
      <c r="N101" t="str">
        <f t="shared" si="8"/>
        <v>Low</v>
      </c>
      <c r="O101">
        <f>_xlfn.XLOOKUP(I101,Helper_Table!A:A,Helper_Table!B:B)</f>
        <v>0.9</v>
      </c>
      <c r="P101" s="1">
        <f t="shared" si="9"/>
        <v>11314.800000000001</v>
      </c>
      <c r="Q101" s="4">
        <f t="shared" si="10"/>
        <v>1.1111111111111109</v>
      </c>
      <c r="R101" t="str">
        <f t="shared" si="11"/>
        <v>Achieved</v>
      </c>
    </row>
    <row r="102" spans="1:18">
      <c r="A102" t="s">
        <v>11</v>
      </c>
      <c r="B102" t="s">
        <v>51</v>
      </c>
      <c r="C102" t="s">
        <v>30</v>
      </c>
      <c r="D102" t="s">
        <v>21</v>
      </c>
      <c r="E102">
        <v>60</v>
      </c>
      <c r="F102">
        <v>1999</v>
      </c>
      <c r="G102" s="1">
        <v>40809</v>
      </c>
      <c r="H102" s="2">
        <v>45367</v>
      </c>
      <c r="I102" t="s">
        <v>16</v>
      </c>
      <c r="J102" t="s">
        <v>144</v>
      </c>
      <c r="K102" t="s">
        <v>34</v>
      </c>
      <c r="L102" t="str">
        <f t="shared" si="6"/>
        <v>Mar</v>
      </c>
      <c r="M102" t="str">
        <f t="shared" si="7"/>
        <v>Q1</v>
      </c>
      <c r="N102" t="str">
        <f t="shared" si="8"/>
        <v>High</v>
      </c>
      <c r="O102">
        <f>_xlfn.XLOOKUP(I102,Helper_Table!A:A,Helper_Table!B:B)</f>
        <v>1.1000000000000001</v>
      </c>
      <c r="P102" s="1">
        <f t="shared" si="9"/>
        <v>44889.9</v>
      </c>
      <c r="Q102" s="4">
        <f t="shared" si="10"/>
        <v>0.90909090909090906</v>
      </c>
      <c r="R102" t="str">
        <f t="shared" si="11"/>
        <v>Below Target</v>
      </c>
    </row>
    <row r="103" spans="1:18">
      <c r="A103" t="s">
        <v>64</v>
      </c>
      <c r="B103" t="s">
        <v>51</v>
      </c>
      <c r="C103" t="s">
        <v>13</v>
      </c>
      <c r="D103" t="s">
        <v>66</v>
      </c>
      <c r="E103" t="s">
        <v>38</v>
      </c>
      <c r="F103">
        <v>1192</v>
      </c>
      <c r="G103" s="1">
        <v>39757</v>
      </c>
      <c r="H103" s="2">
        <v>45493</v>
      </c>
      <c r="I103" t="s">
        <v>27</v>
      </c>
      <c r="J103" t="s">
        <v>145</v>
      </c>
      <c r="K103" t="s">
        <v>18</v>
      </c>
      <c r="L103" t="str">
        <f t="shared" si="6"/>
        <v>Jul</v>
      </c>
      <c r="M103" t="str">
        <f t="shared" si="7"/>
        <v>Q3</v>
      </c>
      <c r="N103" t="str">
        <f t="shared" si="8"/>
        <v>Medium</v>
      </c>
      <c r="O103">
        <f>_xlfn.XLOOKUP(I103,Helper_Table!A:A,Helper_Table!B:B)</f>
        <v>0.9</v>
      </c>
      <c r="P103" s="1">
        <f t="shared" si="9"/>
        <v>35781.300000000003</v>
      </c>
      <c r="Q103" s="4">
        <f t="shared" si="10"/>
        <v>1.1111111111111109</v>
      </c>
      <c r="R103" t="str">
        <f t="shared" si="11"/>
        <v>Achieved</v>
      </c>
    </row>
    <row r="104" spans="1:18">
      <c r="A104" t="s">
        <v>64</v>
      </c>
      <c r="B104" t="s">
        <v>12</v>
      </c>
      <c r="C104" t="s">
        <v>20</v>
      </c>
      <c r="D104" t="s">
        <v>66</v>
      </c>
      <c r="E104" t="s">
        <v>15</v>
      </c>
      <c r="F104">
        <v>846</v>
      </c>
      <c r="G104" s="1">
        <v>2237</v>
      </c>
      <c r="H104" s="2">
        <v>45205</v>
      </c>
      <c r="I104" t="s">
        <v>41</v>
      </c>
      <c r="J104" t="s">
        <v>146</v>
      </c>
      <c r="K104" t="s">
        <v>34</v>
      </c>
      <c r="L104" t="str">
        <f t="shared" si="6"/>
        <v>Oct</v>
      </c>
      <c r="M104" t="str">
        <f t="shared" si="7"/>
        <v>Q4</v>
      </c>
      <c r="N104" t="str">
        <f t="shared" si="8"/>
        <v>Low</v>
      </c>
      <c r="O104">
        <f>_xlfn.XLOOKUP(I104,Helper_Table!A:A,Helper_Table!B:B)</f>
        <v>1.2</v>
      </c>
      <c r="P104" s="1">
        <f t="shared" si="9"/>
        <v>2684.4</v>
      </c>
      <c r="Q104" s="4">
        <f t="shared" si="10"/>
        <v>0.83333333333333326</v>
      </c>
      <c r="R104" t="str">
        <f t="shared" si="11"/>
        <v>Below Target</v>
      </c>
    </row>
    <row r="105" spans="1:18">
      <c r="A105" t="s">
        <v>45</v>
      </c>
      <c r="B105" t="s">
        <v>19</v>
      </c>
      <c r="C105" t="s">
        <v>30</v>
      </c>
      <c r="D105" t="s">
        <v>21</v>
      </c>
      <c r="E105" t="s">
        <v>38</v>
      </c>
      <c r="F105">
        <v>731</v>
      </c>
      <c r="G105" s="1">
        <v>35093</v>
      </c>
      <c r="H105" s="2">
        <v>45222</v>
      </c>
      <c r="I105" t="s">
        <v>27</v>
      </c>
      <c r="J105" t="s">
        <v>147</v>
      </c>
      <c r="K105" t="s">
        <v>34</v>
      </c>
      <c r="L105" t="str">
        <f t="shared" si="6"/>
        <v>Oct</v>
      </c>
      <c r="M105" t="str">
        <f t="shared" si="7"/>
        <v>Q4</v>
      </c>
      <c r="N105" t="str">
        <f t="shared" si="8"/>
        <v>Medium</v>
      </c>
      <c r="O105">
        <f>_xlfn.XLOOKUP(I105,Helper_Table!A:A,Helper_Table!B:B)</f>
        <v>0.9</v>
      </c>
      <c r="P105" s="1">
        <f t="shared" si="9"/>
        <v>31583.7</v>
      </c>
      <c r="Q105" s="4">
        <f t="shared" si="10"/>
        <v>1.1111111111111112</v>
      </c>
      <c r="R105" t="str">
        <f t="shared" si="11"/>
        <v>Achieved</v>
      </c>
    </row>
    <row r="106" spans="1:18">
      <c r="A106" t="s">
        <v>45</v>
      </c>
      <c r="B106" t="s">
        <v>12</v>
      </c>
      <c r="C106" t="s">
        <v>13</v>
      </c>
      <c r="D106" t="s">
        <v>14</v>
      </c>
      <c r="E106">
        <v>30</v>
      </c>
      <c r="F106">
        <v>1943</v>
      </c>
      <c r="G106" s="1">
        <v>44592</v>
      </c>
      <c r="H106" s="2">
        <v>45431</v>
      </c>
      <c r="I106" t="s">
        <v>32</v>
      </c>
      <c r="J106" t="s">
        <v>148</v>
      </c>
      <c r="K106" t="s">
        <v>34</v>
      </c>
      <c r="L106" t="str">
        <f t="shared" si="6"/>
        <v>May</v>
      </c>
      <c r="M106" t="str">
        <f t="shared" si="7"/>
        <v>Q2</v>
      </c>
      <c r="N106" t="str">
        <f t="shared" si="8"/>
        <v>High</v>
      </c>
      <c r="O106">
        <f>_xlfn.XLOOKUP(I106,Helper_Table!A:A,Helper_Table!B:B)</f>
        <v>0.95</v>
      </c>
      <c r="P106" s="1">
        <f t="shared" si="9"/>
        <v>42362.400000000001</v>
      </c>
      <c r="Q106" s="4">
        <f t="shared" si="10"/>
        <v>1.0526315789473684</v>
      </c>
      <c r="R106" t="str">
        <f t="shared" si="11"/>
        <v>Achieved</v>
      </c>
    </row>
    <row r="107" spans="1:18">
      <c r="A107" t="s">
        <v>45</v>
      </c>
      <c r="B107" t="s">
        <v>49</v>
      </c>
      <c r="C107" t="s">
        <v>25</v>
      </c>
      <c r="D107" t="s">
        <v>14</v>
      </c>
      <c r="E107">
        <v>60</v>
      </c>
      <c r="F107">
        <v>1017</v>
      </c>
      <c r="G107" s="1">
        <v>29700</v>
      </c>
      <c r="H107" s="2">
        <v>45217</v>
      </c>
      <c r="I107" t="s">
        <v>32</v>
      </c>
      <c r="J107" t="s">
        <v>149</v>
      </c>
      <c r="K107" t="s">
        <v>29</v>
      </c>
      <c r="L107" t="str">
        <f t="shared" si="6"/>
        <v>Oct</v>
      </c>
      <c r="M107" t="str">
        <f t="shared" si="7"/>
        <v>Q4</v>
      </c>
      <c r="N107" t="str">
        <f t="shared" si="8"/>
        <v>Medium</v>
      </c>
      <c r="O107">
        <f>_xlfn.XLOOKUP(I107,Helper_Table!A:A,Helper_Table!B:B)</f>
        <v>0.95</v>
      </c>
      <c r="P107" s="1">
        <f t="shared" si="9"/>
        <v>28215</v>
      </c>
      <c r="Q107" s="4">
        <f t="shared" si="10"/>
        <v>1.0526315789473684</v>
      </c>
      <c r="R107" t="str">
        <f t="shared" si="11"/>
        <v>Achieved</v>
      </c>
    </row>
    <row r="108" spans="1:18">
      <c r="A108" t="s">
        <v>45</v>
      </c>
      <c r="B108" t="s">
        <v>19</v>
      </c>
      <c r="C108" t="s">
        <v>20</v>
      </c>
      <c r="D108" t="s">
        <v>21</v>
      </c>
      <c r="E108" t="s">
        <v>38</v>
      </c>
      <c r="F108">
        <v>929</v>
      </c>
      <c r="G108" s="1">
        <v>37018</v>
      </c>
      <c r="H108" s="2">
        <v>45496</v>
      </c>
      <c r="I108" t="s">
        <v>41</v>
      </c>
      <c r="J108" t="s">
        <v>150</v>
      </c>
      <c r="K108" t="s">
        <v>18</v>
      </c>
      <c r="L108" t="str">
        <f t="shared" si="6"/>
        <v>Jul</v>
      </c>
      <c r="M108" t="str">
        <f t="shared" si="7"/>
        <v>Q3</v>
      </c>
      <c r="N108" t="str">
        <f t="shared" si="8"/>
        <v>Medium</v>
      </c>
      <c r="O108">
        <f>_xlfn.XLOOKUP(I108,Helper_Table!A:A,Helper_Table!B:B)</f>
        <v>1.2</v>
      </c>
      <c r="P108" s="1">
        <f t="shared" si="9"/>
        <v>44421.599999999999</v>
      </c>
      <c r="Q108" s="4">
        <f t="shared" si="10"/>
        <v>0.83333333333333337</v>
      </c>
      <c r="R108" t="str">
        <f t="shared" si="11"/>
        <v>Below Target</v>
      </c>
    </row>
    <row r="109" spans="1:18">
      <c r="A109" t="s">
        <v>64</v>
      </c>
      <c r="B109" t="s">
        <v>51</v>
      </c>
      <c r="C109" t="s">
        <v>25</v>
      </c>
      <c r="D109" t="s">
        <v>31</v>
      </c>
      <c r="E109">
        <v>60</v>
      </c>
      <c r="F109">
        <v>811</v>
      </c>
      <c r="G109" s="1">
        <v>44885</v>
      </c>
      <c r="H109" s="2">
        <v>45250</v>
      </c>
      <c r="I109" t="s">
        <v>16</v>
      </c>
      <c r="J109" t="s">
        <v>151</v>
      </c>
      <c r="K109" t="s">
        <v>44</v>
      </c>
      <c r="L109" t="str">
        <f t="shared" si="6"/>
        <v>Nov</v>
      </c>
      <c r="M109" t="str">
        <f t="shared" si="7"/>
        <v>Q4</v>
      </c>
      <c r="N109" t="str">
        <f t="shared" si="8"/>
        <v>High</v>
      </c>
      <c r="O109">
        <f>_xlfn.XLOOKUP(I109,Helper_Table!A:A,Helper_Table!B:B)</f>
        <v>1.1000000000000001</v>
      </c>
      <c r="P109" s="1">
        <f t="shared" si="9"/>
        <v>49373.500000000007</v>
      </c>
      <c r="Q109" s="4">
        <f t="shared" si="10"/>
        <v>0.90909090909090895</v>
      </c>
      <c r="R109" t="str">
        <f t="shared" si="11"/>
        <v>Below Target</v>
      </c>
    </row>
    <row r="110" spans="1:18">
      <c r="A110" t="s">
        <v>24</v>
      </c>
      <c r="B110" t="s">
        <v>49</v>
      </c>
      <c r="C110" t="s">
        <v>59</v>
      </c>
      <c r="D110" t="s">
        <v>21</v>
      </c>
      <c r="E110">
        <v>60</v>
      </c>
      <c r="F110">
        <v>820</v>
      </c>
      <c r="G110" s="1">
        <v>14086</v>
      </c>
      <c r="H110" s="2">
        <v>45322</v>
      </c>
      <c r="I110" t="s">
        <v>27</v>
      </c>
      <c r="J110" t="s">
        <v>152</v>
      </c>
      <c r="K110" t="s">
        <v>44</v>
      </c>
      <c r="L110" t="str">
        <f t="shared" si="6"/>
        <v>Jan</v>
      </c>
      <c r="M110" t="str">
        <f t="shared" si="7"/>
        <v>Q1</v>
      </c>
      <c r="N110" t="str">
        <f t="shared" si="8"/>
        <v>Low</v>
      </c>
      <c r="O110">
        <f>_xlfn.XLOOKUP(I110,Helper_Table!A:A,Helper_Table!B:B)</f>
        <v>0.9</v>
      </c>
      <c r="P110" s="1">
        <f t="shared" si="9"/>
        <v>12677.4</v>
      </c>
      <c r="Q110" s="4">
        <f t="shared" si="10"/>
        <v>1.1111111111111112</v>
      </c>
      <c r="R110" t="str">
        <f t="shared" si="11"/>
        <v>Achieved</v>
      </c>
    </row>
    <row r="111" spans="1:18">
      <c r="A111" t="s">
        <v>45</v>
      </c>
      <c r="B111" t="s">
        <v>19</v>
      </c>
      <c r="C111" t="s">
        <v>59</v>
      </c>
      <c r="D111" t="s">
        <v>14</v>
      </c>
      <c r="E111">
        <v>60</v>
      </c>
      <c r="F111">
        <v>698</v>
      </c>
      <c r="G111" s="1">
        <v>27380</v>
      </c>
      <c r="H111" s="2">
        <v>45499</v>
      </c>
      <c r="I111" t="s">
        <v>27</v>
      </c>
      <c r="J111" t="s">
        <v>153</v>
      </c>
      <c r="K111" t="s">
        <v>44</v>
      </c>
      <c r="L111" t="str">
        <f t="shared" si="6"/>
        <v>Jul</v>
      </c>
      <c r="M111" t="str">
        <f t="shared" si="7"/>
        <v>Q3</v>
      </c>
      <c r="N111" t="str">
        <f t="shared" si="8"/>
        <v>Medium</v>
      </c>
      <c r="O111">
        <f>_xlfn.XLOOKUP(I111,Helper_Table!A:A,Helper_Table!B:B)</f>
        <v>0.9</v>
      </c>
      <c r="P111" s="1">
        <f t="shared" si="9"/>
        <v>24642</v>
      </c>
      <c r="Q111" s="4">
        <f t="shared" si="10"/>
        <v>1.1111111111111112</v>
      </c>
      <c r="R111" t="str">
        <f t="shared" si="11"/>
        <v>Achieved</v>
      </c>
    </row>
    <row r="112" spans="1:18">
      <c r="A112" t="s">
        <v>35</v>
      </c>
      <c r="B112" t="s">
        <v>49</v>
      </c>
      <c r="C112" t="s">
        <v>25</v>
      </c>
      <c r="D112" t="s">
        <v>66</v>
      </c>
      <c r="E112" t="s">
        <v>38</v>
      </c>
      <c r="F112">
        <v>679</v>
      </c>
      <c r="G112" s="1">
        <v>35477</v>
      </c>
      <c r="H112" s="2">
        <v>45475</v>
      </c>
      <c r="I112" t="s">
        <v>16</v>
      </c>
      <c r="J112" t="s">
        <v>154</v>
      </c>
      <c r="K112" t="s">
        <v>47</v>
      </c>
      <c r="L112" t="str">
        <f t="shared" si="6"/>
        <v>Jul</v>
      </c>
      <c r="M112" t="str">
        <f t="shared" si="7"/>
        <v>Q3</v>
      </c>
      <c r="N112" t="str">
        <f t="shared" si="8"/>
        <v>Medium</v>
      </c>
      <c r="O112">
        <f>_xlfn.XLOOKUP(I112,Helper_Table!A:A,Helper_Table!B:B)</f>
        <v>1.1000000000000001</v>
      </c>
      <c r="P112" s="1">
        <f t="shared" si="9"/>
        <v>39024.700000000004</v>
      </c>
      <c r="Q112" s="4">
        <f t="shared" si="10"/>
        <v>0.90909090909090895</v>
      </c>
      <c r="R112" t="str">
        <f t="shared" si="11"/>
        <v>Below Target</v>
      </c>
    </row>
    <row r="113" spans="1:18">
      <c r="A113" t="s">
        <v>35</v>
      </c>
      <c r="B113" t="s">
        <v>36</v>
      </c>
      <c r="C113" t="s">
        <v>25</v>
      </c>
      <c r="D113" t="s">
        <v>31</v>
      </c>
      <c r="E113" t="s">
        <v>15</v>
      </c>
      <c r="F113">
        <v>1225</v>
      </c>
      <c r="G113" s="1">
        <v>47265</v>
      </c>
      <c r="H113" s="2">
        <v>45284</v>
      </c>
      <c r="I113" t="s">
        <v>16</v>
      </c>
      <c r="J113" t="s">
        <v>155</v>
      </c>
      <c r="K113" t="s">
        <v>34</v>
      </c>
      <c r="L113" t="str">
        <f t="shared" si="6"/>
        <v>Dec</v>
      </c>
      <c r="M113" t="str">
        <f t="shared" si="7"/>
        <v>Q4</v>
      </c>
      <c r="N113" t="str">
        <f t="shared" si="8"/>
        <v>High</v>
      </c>
      <c r="O113">
        <f>_xlfn.XLOOKUP(I113,Helper_Table!A:A,Helper_Table!B:B)</f>
        <v>1.1000000000000001</v>
      </c>
      <c r="P113" s="1">
        <f t="shared" si="9"/>
        <v>51991.500000000007</v>
      </c>
      <c r="Q113" s="4">
        <f t="shared" si="10"/>
        <v>0.90909090909090895</v>
      </c>
      <c r="R113" t="str">
        <f t="shared" si="11"/>
        <v>Below Target</v>
      </c>
    </row>
    <row r="114" spans="1:18">
      <c r="A114" t="s">
        <v>11</v>
      </c>
      <c r="B114" t="s">
        <v>12</v>
      </c>
      <c r="C114" t="s">
        <v>59</v>
      </c>
      <c r="D114" t="s">
        <v>66</v>
      </c>
      <c r="E114">
        <v>60</v>
      </c>
      <c r="F114">
        <v>1913</v>
      </c>
      <c r="G114" s="1">
        <v>37244</v>
      </c>
      <c r="H114" s="2">
        <v>45266</v>
      </c>
      <c r="I114" t="s">
        <v>27</v>
      </c>
      <c r="J114" t="s">
        <v>156</v>
      </c>
      <c r="K114" t="s">
        <v>29</v>
      </c>
      <c r="L114" t="str">
        <f t="shared" si="6"/>
        <v>Dec</v>
      </c>
      <c r="M114" t="str">
        <f t="shared" si="7"/>
        <v>Q4</v>
      </c>
      <c r="N114" t="str">
        <f t="shared" si="8"/>
        <v>Medium</v>
      </c>
      <c r="O114">
        <f>_xlfn.XLOOKUP(I114,Helper_Table!A:A,Helper_Table!B:B)</f>
        <v>0.9</v>
      </c>
      <c r="P114" s="1">
        <f t="shared" si="9"/>
        <v>33519.599999999999</v>
      </c>
      <c r="Q114" s="4">
        <f t="shared" si="10"/>
        <v>1.1111111111111112</v>
      </c>
      <c r="R114" t="str">
        <f t="shared" si="11"/>
        <v>Achieved</v>
      </c>
    </row>
    <row r="115" spans="1:18">
      <c r="A115" t="s">
        <v>11</v>
      </c>
      <c r="B115" t="s">
        <v>12</v>
      </c>
      <c r="C115" t="s">
        <v>13</v>
      </c>
      <c r="D115" t="s">
        <v>14</v>
      </c>
      <c r="E115" t="s">
        <v>38</v>
      </c>
      <c r="F115">
        <v>1381</v>
      </c>
      <c r="G115" s="1">
        <v>43046</v>
      </c>
      <c r="H115" s="2">
        <v>45501</v>
      </c>
      <c r="I115" t="s">
        <v>39</v>
      </c>
      <c r="J115" t="s">
        <v>157</v>
      </c>
      <c r="K115" t="s">
        <v>44</v>
      </c>
      <c r="L115" t="str">
        <f t="shared" si="6"/>
        <v>Jul</v>
      </c>
      <c r="M115" t="str">
        <f t="shared" si="7"/>
        <v>Q3</v>
      </c>
      <c r="N115" t="str">
        <f t="shared" si="8"/>
        <v>High</v>
      </c>
      <c r="O115">
        <f>_xlfn.XLOOKUP(I115,Helper_Table!A:A,Helper_Table!B:B)</f>
        <v>1.1000000000000001</v>
      </c>
      <c r="P115" s="1">
        <f t="shared" si="9"/>
        <v>47350.600000000006</v>
      </c>
      <c r="Q115" s="4">
        <f t="shared" si="10"/>
        <v>0.90909090909090895</v>
      </c>
      <c r="R115" t="str">
        <f t="shared" si="11"/>
        <v>Below Target</v>
      </c>
    </row>
    <row r="116" spans="1:18">
      <c r="A116" t="s">
        <v>45</v>
      </c>
      <c r="B116" t="s">
        <v>12</v>
      </c>
      <c r="C116" t="s">
        <v>30</v>
      </c>
      <c r="D116" t="s">
        <v>14</v>
      </c>
      <c r="E116" t="s">
        <v>15</v>
      </c>
      <c r="F116">
        <v>939</v>
      </c>
      <c r="G116" s="1">
        <v>37589</v>
      </c>
      <c r="H116" s="2">
        <v>45262</v>
      </c>
      <c r="I116" t="s">
        <v>32</v>
      </c>
      <c r="J116" t="s">
        <v>158</v>
      </c>
      <c r="K116" t="s">
        <v>47</v>
      </c>
      <c r="L116" t="str">
        <f t="shared" si="6"/>
        <v>Dec</v>
      </c>
      <c r="M116" t="str">
        <f t="shared" si="7"/>
        <v>Q4</v>
      </c>
      <c r="N116" t="str">
        <f t="shared" si="8"/>
        <v>Medium</v>
      </c>
      <c r="O116">
        <f>_xlfn.XLOOKUP(I116,Helper_Table!A:A,Helper_Table!B:B)</f>
        <v>0.95</v>
      </c>
      <c r="P116" s="1">
        <f t="shared" si="9"/>
        <v>35709.549999999996</v>
      </c>
      <c r="Q116" s="4">
        <f t="shared" si="10"/>
        <v>1.0526315789473686</v>
      </c>
      <c r="R116" t="str">
        <f t="shared" si="11"/>
        <v>Achieved</v>
      </c>
    </row>
    <row r="117" spans="1:18">
      <c r="A117" t="s">
        <v>11</v>
      </c>
      <c r="B117" t="s">
        <v>51</v>
      </c>
      <c r="C117" t="s">
        <v>30</v>
      </c>
      <c r="D117" t="s">
        <v>31</v>
      </c>
      <c r="E117" t="s">
        <v>38</v>
      </c>
      <c r="F117">
        <v>472</v>
      </c>
      <c r="G117" s="1">
        <v>7516</v>
      </c>
      <c r="H117" s="2">
        <v>45328</v>
      </c>
      <c r="I117" t="s">
        <v>16</v>
      </c>
      <c r="J117" t="s">
        <v>159</v>
      </c>
      <c r="K117" t="s">
        <v>44</v>
      </c>
      <c r="L117" t="str">
        <f t="shared" si="6"/>
        <v>Feb</v>
      </c>
      <c r="M117" t="str">
        <f t="shared" si="7"/>
        <v>Q1</v>
      </c>
      <c r="N117" t="str">
        <f t="shared" si="8"/>
        <v>Low</v>
      </c>
      <c r="O117">
        <f>_xlfn.XLOOKUP(I117,Helper_Table!A:A,Helper_Table!B:B)</f>
        <v>1.1000000000000001</v>
      </c>
      <c r="P117" s="1">
        <f t="shared" si="9"/>
        <v>8267.6</v>
      </c>
      <c r="Q117" s="4">
        <f t="shared" si="10"/>
        <v>0.90909090909090906</v>
      </c>
      <c r="R117" t="str">
        <f t="shared" si="11"/>
        <v>Below Target</v>
      </c>
    </row>
    <row r="118" spans="1:18">
      <c r="A118" t="s">
        <v>35</v>
      </c>
      <c r="B118" t="s">
        <v>49</v>
      </c>
      <c r="C118" t="s">
        <v>59</v>
      </c>
      <c r="D118" t="s">
        <v>14</v>
      </c>
      <c r="E118" t="s">
        <v>22</v>
      </c>
      <c r="F118">
        <v>405</v>
      </c>
      <c r="G118" s="1">
        <v>19413</v>
      </c>
      <c r="H118" s="2">
        <v>45356</v>
      </c>
      <c r="I118" t="s">
        <v>32</v>
      </c>
      <c r="J118" t="s">
        <v>160</v>
      </c>
      <c r="K118" t="s">
        <v>44</v>
      </c>
      <c r="L118" t="str">
        <f t="shared" si="6"/>
        <v>Mar</v>
      </c>
      <c r="M118" t="str">
        <f t="shared" si="7"/>
        <v>Q1</v>
      </c>
      <c r="N118" t="str">
        <f t="shared" si="8"/>
        <v>Low</v>
      </c>
      <c r="O118">
        <f>_xlfn.XLOOKUP(I118,Helper_Table!A:A,Helper_Table!B:B)</f>
        <v>0.95</v>
      </c>
      <c r="P118" s="1">
        <f t="shared" si="9"/>
        <v>18442.349999999999</v>
      </c>
      <c r="Q118" s="4">
        <f t="shared" si="10"/>
        <v>1.0526315789473686</v>
      </c>
      <c r="R118" t="str">
        <f t="shared" si="11"/>
        <v>Achieved</v>
      </c>
    </row>
    <row r="119" spans="1:18">
      <c r="A119" t="s">
        <v>24</v>
      </c>
      <c r="B119" t="s">
        <v>51</v>
      </c>
      <c r="C119" t="s">
        <v>20</v>
      </c>
      <c r="D119" t="s">
        <v>26</v>
      </c>
      <c r="E119" t="s">
        <v>38</v>
      </c>
      <c r="F119">
        <v>383</v>
      </c>
      <c r="G119" s="1">
        <v>9225</v>
      </c>
      <c r="H119" s="2">
        <v>45220</v>
      </c>
      <c r="I119" t="s">
        <v>41</v>
      </c>
      <c r="J119" t="s">
        <v>161</v>
      </c>
      <c r="K119" t="s">
        <v>44</v>
      </c>
      <c r="L119" t="str">
        <f t="shared" si="6"/>
        <v>Oct</v>
      </c>
      <c r="M119" t="str">
        <f t="shared" si="7"/>
        <v>Q4</v>
      </c>
      <c r="N119" t="str">
        <f t="shared" si="8"/>
        <v>Low</v>
      </c>
      <c r="O119">
        <f>_xlfn.XLOOKUP(I119,Helper_Table!A:A,Helper_Table!B:B)</f>
        <v>1.2</v>
      </c>
      <c r="P119" s="1">
        <f t="shared" si="9"/>
        <v>11070</v>
      </c>
      <c r="Q119" s="4">
        <f t="shared" si="10"/>
        <v>0.83333333333333337</v>
      </c>
      <c r="R119" t="str">
        <f t="shared" si="11"/>
        <v>Below Target</v>
      </c>
    </row>
    <row r="120" spans="1:18">
      <c r="A120" t="s">
        <v>35</v>
      </c>
      <c r="B120" t="s">
        <v>51</v>
      </c>
      <c r="C120" t="s">
        <v>59</v>
      </c>
      <c r="D120" t="s">
        <v>14</v>
      </c>
      <c r="E120" t="s">
        <v>38</v>
      </c>
      <c r="F120">
        <v>1863</v>
      </c>
      <c r="G120" s="1">
        <v>35677</v>
      </c>
      <c r="H120" s="2">
        <v>45362</v>
      </c>
      <c r="I120" t="s">
        <v>16</v>
      </c>
      <c r="J120" t="s">
        <v>162</v>
      </c>
      <c r="K120" t="s">
        <v>29</v>
      </c>
      <c r="L120" t="str">
        <f t="shared" si="6"/>
        <v>Mar</v>
      </c>
      <c r="M120" t="str">
        <f t="shared" si="7"/>
        <v>Q1</v>
      </c>
      <c r="N120" t="str">
        <f t="shared" si="8"/>
        <v>Medium</v>
      </c>
      <c r="O120">
        <f>_xlfn.XLOOKUP(I120,Helper_Table!A:A,Helper_Table!B:B)</f>
        <v>1.1000000000000001</v>
      </c>
      <c r="P120" s="1">
        <f t="shared" si="9"/>
        <v>39244.700000000004</v>
      </c>
      <c r="Q120" s="4">
        <f t="shared" si="10"/>
        <v>0.90909090909090895</v>
      </c>
      <c r="R120" t="str">
        <f t="shared" si="11"/>
        <v>Below Target</v>
      </c>
    </row>
    <row r="121" spans="1:18">
      <c r="A121" t="s">
        <v>24</v>
      </c>
      <c r="B121" t="s">
        <v>36</v>
      </c>
      <c r="C121" t="s">
        <v>59</v>
      </c>
      <c r="D121" t="s">
        <v>31</v>
      </c>
      <c r="E121" t="s">
        <v>22</v>
      </c>
      <c r="F121">
        <v>469</v>
      </c>
      <c r="G121" s="1">
        <v>9657</v>
      </c>
      <c r="H121" s="2">
        <v>45488</v>
      </c>
      <c r="I121" t="s">
        <v>16</v>
      </c>
      <c r="J121" t="s">
        <v>163</v>
      </c>
      <c r="K121" t="s">
        <v>18</v>
      </c>
      <c r="L121" t="str">
        <f t="shared" si="6"/>
        <v>Jul</v>
      </c>
      <c r="M121" t="str">
        <f t="shared" si="7"/>
        <v>Q3</v>
      </c>
      <c r="N121" t="str">
        <f t="shared" si="8"/>
        <v>Low</v>
      </c>
      <c r="O121">
        <f>_xlfn.XLOOKUP(I121,Helper_Table!A:A,Helper_Table!B:B)</f>
        <v>1.1000000000000001</v>
      </c>
      <c r="P121" s="1">
        <f t="shared" si="9"/>
        <v>10622.7</v>
      </c>
      <c r="Q121" s="4">
        <f t="shared" si="10"/>
        <v>0.90909090909090906</v>
      </c>
      <c r="R121" t="str">
        <f t="shared" si="11"/>
        <v>Below Target</v>
      </c>
    </row>
    <row r="122" spans="1:18">
      <c r="A122" t="s">
        <v>45</v>
      </c>
      <c r="B122" t="s">
        <v>49</v>
      </c>
      <c r="C122" t="s">
        <v>30</v>
      </c>
      <c r="D122" t="s">
        <v>26</v>
      </c>
      <c r="E122" t="s">
        <v>15</v>
      </c>
      <c r="F122">
        <v>1296</v>
      </c>
      <c r="G122" s="1">
        <v>14169</v>
      </c>
      <c r="H122" s="2">
        <v>45344</v>
      </c>
      <c r="I122" t="s">
        <v>39</v>
      </c>
      <c r="J122" t="s">
        <v>164</v>
      </c>
      <c r="K122" t="s">
        <v>29</v>
      </c>
      <c r="L122" t="str">
        <f t="shared" si="6"/>
        <v>Feb</v>
      </c>
      <c r="M122" t="str">
        <f t="shared" si="7"/>
        <v>Q1</v>
      </c>
      <c r="N122" t="str">
        <f t="shared" si="8"/>
        <v>Low</v>
      </c>
      <c r="O122">
        <f>_xlfn.XLOOKUP(I122,Helper_Table!A:A,Helper_Table!B:B)</f>
        <v>1.1000000000000001</v>
      </c>
      <c r="P122" s="1">
        <f t="shared" si="9"/>
        <v>15585.900000000001</v>
      </c>
      <c r="Q122" s="4">
        <f t="shared" si="10"/>
        <v>0.90909090909090906</v>
      </c>
      <c r="R122" t="str">
        <f t="shared" si="11"/>
        <v>Below Target</v>
      </c>
    </row>
    <row r="123" spans="1:18">
      <c r="A123" t="s">
        <v>64</v>
      </c>
      <c r="B123" t="s">
        <v>36</v>
      </c>
      <c r="C123" t="s">
        <v>13</v>
      </c>
      <c r="D123" t="s">
        <v>66</v>
      </c>
      <c r="E123">
        <v>60</v>
      </c>
      <c r="F123">
        <v>1350</v>
      </c>
      <c r="G123" s="1">
        <v>24407</v>
      </c>
      <c r="H123" s="2">
        <v>45425</v>
      </c>
      <c r="I123" t="s">
        <v>16</v>
      </c>
      <c r="J123" t="s">
        <v>165</v>
      </c>
      <c r="K123" t="s">
        <v>29</v>
      </c>
      <c r="L123" t="str">
        <f t="shared" si="6"/>
        <v>May</v>
      </c>
      <c r="M123" t="str">
        <f t="shared" si="7"/>
        <v>Q2</v>
      </c>
      <c r="N123" t="str">
        <f t="shared" si="8"/>
        <v>Medium</v>
      </c>
      <c r="O123">
        <f>_xlfn.XLOOKUP(I123,Helper_Table!A:A,Helper_Table!B:B)</f>
        <v>1.1000000000000001</v>
      </c>
      <c r="P123" s="1">
        <f t="shared" si="9"/>
        <v>26847.7</v>
      </c>
      <c r="Q123" s="4">
        <f t="shared" si="10"/>
        <v>0.90909090909090906</v>
      </c>
      <c r="R123" t="str">
        <f t="shared" si="11"/>
        <v>Below Target</v>
      </c>
    </row>
    <row r="124" spans="1:18">
      <c r="A124" t="s">
        <v>11</v>
      </c>
      <c r="B124" t="s">
        <v>36</v>
      </c>
      <c r="C124" t="s">
        <v>13</v>
      </c>
      <c r="D124" t="s">
        <v>31</v>
      </c>
      <c r="E124" t="s">
        <v>15</v>
      </c>
      <c r="F124">
        <v>930</v>
      </c>
      <c r="G124" s="1">
        <v>3721</v>
      </c>
      <c r="H124" s="2">
        <v>45333</v>
      </c>
      <c r="I124" t="s">
        <v>39</v>
      </c>
      <c r="J124" t="s">
        <v>166</v>
      </c>
      <c r="K124" t="s">
        <v>44</v>
      </c>
      <c r="L124" t="str">
        <f t="shared" si="6"/>
        <v>Feb</v>
      </c>
      <c r="M124" t="str">
        <f t="shared" si="7"/>
        <v>Q1</v>
      </c>
      <c r="N124" t="str">
        <f t="shared" si="8"/>
        <v>Low</v>
      </c>
      <c r="O124">
        <f>_xlfn.XLOOKUP(I124,Helper_Table!A:A,Helper_Table!B:B)</f>
        <v>1.1000000000000001</v>
      </c>
      <c r="P124" s="1">
        <f t="shared" si="9"/>
        <v>4093.1000000000004</v>
      </c>
      <c r="Q124" s="4">
        <f t="shared" si="10"/>
        <v>0.90909090909090906</v>
      </c>
      <c r="R124" t="str">
        <f t="shared" si="11"/>
        <v>Below Target</v>
      </c>
    </row>
    <row r="125" spans="1:18">
      <c r="A125" t="s">
        <v>35</v>
      </c>
      <c r="B125" t="s">
        <v>36</v>
      </c>
      <c r="C125" t="s">
        <v>25</v>
      </c>
      <c r="D125" t="s">
        <v>31</v>
      </c>
      <c r="E125" t="s">
        <v>38</v>
      </c>
      <c r="F125">
        <v>1185</v>
      </c>
      <c r="G125" s="1">
        <v>43131</v>
      </c>
      <c r="H125" s="2">
        <v>45354</v>
      </c>
      <c r="I125" t="s">
        <v>32</v>
      </c>
      <c r="J125" t="s">
        <v>167</v>
      </c>
      <c r="K125" t="s">
        <v>18</v>
      </c>
      <c r="L125" t="str">
        <f t="shared" si="6"/>
        <v>Mar</v>
      </c>
      <c r="M125" t="str">
        <f t="shared" si="7"/>
        <v>Q1</v>
      </c>
      <c r="N125" t="str">
        <f t="shared" si="8"/>
        <v>High</v>
      </c>
      <c r="O125">
        <f>_xlfn.XLOOKUP(I125,Helper_Table!A:A,Helper_Table!B:B)</f>
        <v>0.95</v>
      </c>
      <c r="P125" s="1">
        <f t="shared" si="9"/>
        <v>40974.449999999997</v>
      </c>
      <c r="Q125" s="4">
        <f t="shared" si="10"/>
        <v>1.0526315789473686</v>
      </c>
      <c r="R125" t="str">
        <f t="shared" si="11"/>
        <v>Achieved</v>
      </c>
    </row>
    <row r="126" spans="1:18">
      <c r="A126" t="s">
        <v>24</v>
      </c>
      <c r="B126" t="s">
        <v>36</v>
      </c>
      <c r="C126" t="s">
        <v>25</v>
      </c>
      <c r="D126" t="s">
        <v>26</v>
      </c>
      <c r="E126">
        <v>60</v>
      </c>
      <c r="F126">
        <v>179</v>
      </c>
      <c r="G126" s="1">
        <v>37526</v>
      </c>
      <c r="H126" s="2">
        <v>45219</v>
      </c>
      <c r="I126" t="s">
        <v>16</v>
      </c>
      <c r="J126" t="s">
        <v>168</v>
      </c>
      <c r="K126" t="s">
        <v>47</v>
      </c>
      <c r="L126" t="str">
        <f t="shared" si="6"/>
        <v>Oct</v>
      </c>
      <c r="M126" t="str">
        <f t="shared" si="7"/>
        <v>Q4</v>
      </c>
      <c r="N126" t="str">
        <f t="shared" si="8"/>
        <v>Medium</v>
      </c>
      <c r="O126">
        <f>_xlfn.XLOOKUP(I126,Helper_Table!A:A,Helper_Table!B:B)</f>
        <v>1.1000000000000001</v>
      </c>
      <c r="P126" s="1">
        <f t="shared" si="9"/>
        <v>41278.600000000006</v>
      </c>
      <c r="Q126" s="4">
        <f t="shared" si="10"/>
        <v>0.90909090909090895</v>
      </c>
      <c r="R126" t="str">
        <f t="shared" si="11"/>
        <v>Below Target</v>
      </c>
    </row>
    <row r="127" spans="1:18">
      <c r="A127" t="s">
        <v>11</v>
      </c>
      <c r="B127" t="s">
        <v>49</v>
      </c>
      <c r="C127" t="s">
        <v>30</v>
      </c>
      <c r="D127" t="s">
        <v>31</v>
      </c>
      <c r="E127">
        <v>30</v>
      </c>
      <c r="F127">
        <v>1859</v>
      </c>
      <c r="G127" s="1">
        <v>27781</v>
      </c>
      <c r="H127" s="2">
        <v>45300</v>
      </c>
      <c r="I127" t="s">
        <v>16</v>
      </c>
      <c r="J127" t="s">
        <v>169</v>
      </c>
      <c r="K127" t="s">
        <v>34</v>
      </c>
      <c r="L127" t="str">
        <f t="shared" si="6"/>
        <v>Jan</v>
      </c>
      <c r="M127" t="str">
        <f t="shared" si="7"/>
        <v>Q1</v>
      </c>
      <c r="N127" t="str">
        <f t="shared" si="8"/>
        <v>Medium</v>
      </c>
      <c r="O127">
        <f>_xlfn.XLOOKUP(I127,Helper_Table!A:A,Helper_Table!B:B)</f>
        <v>1.1000000000000001</v>
      </c>
      <c r="P127" s="1">
        <f t="shared" si="9"/>
        <v>30559.100000000002</v>
      </c>
      <c r="Q127" s="4">
        <f t="shared" si="10"/>
        <v>0.90909090909090906</v>
      </c>
      <c r="R127" t="str">
        <f t="shared" si="11"/>
        <v>Below Target</v>
      </c>
    </row>
    <row r="128" spans="1:18">
      <c r="A128" t="s">
        <v>64</v>
      </c>
      <c r="B128" t="s">
        <v>36</v>
      </c>
      <c r="C128" t="s">
        <v>25</v>
      </c>
      <c r="D128" t="s">
        <v>26</v>
      </c>
      <c r="E128">
        <v>60</v>
      </c>
      <c r="F128">
        <v>1089</v>
      </c>
      <c r="G128" s="1">
        <v>6993</v>
      </c>
      <c r="H128" s="2">
        <v>45185</v>
      </c>
      <c r="I128" t="s">
        <v>27</v>
      </c>
      <c r="J128" t="s">
        <v>170</v>
      </c>
      <c r="K128" t="s">
        <v>44</v>
      </c>
      <c r="L128" t="str">
        <f t="shared" si="6"/>
        <v>Sep</v>
      </c>
      <c r="M128" t="str">
        <f t="shared" si="7"/>
        <v>Q3</v>
      </c>
      <c r="N128" t="str">
        <f t="shared" si="8"/>
        <v>Low</v>
      </c>
      <c r="O128">
        <f>_xlfn.XLOOKUP(I128,Helper_Table!A:A,Helper_Table!B:B)</f>
        <v>0.9</v>
      </c>
      <c r="P128" s="1">
        <f t="shared" si="9"/>
        <v>6293.7</v>
      </c>
      <c r="Q128" s="4">
        <f t="shared" si="10"/>
        <v>1.1111111111111112</v>
      </c>
      <c r="R128" t="str">
        <f t="shared" si="11"/>
        <v>Achieved</v>
      </c>
    </row>
    <row r="129" spans="1:18">
      <c r="A129" t="s">
        <v>45</v>
      </c>
      <c r="B129" t="s">
        <v>49</v>
      </c>
      <c r="C129" t="s">
        <v>13</v>
      </c>
      <c r="D129" t="s">
        <v>31</v>
      </c>
      <c r="E129" t="s">
        <v>38</v>
      </c>
      <c r="F129">
        <v>1428</v>
      </c>
      <c r="G129" s="1">
        <v>38657</v>
      </c>
      <c r="H129" s="2">
        <v>45208</v>
      </c>
      <c r="I129" t="s">
        <v>27</v>
      </c>
      <c r="J129" t="s">
        <v>171</v>
      </c>
      <c r="K129" t="s">
        <v>44</v>
      </c>
      <c r="L129" t="str">
        <f t="shared" si="6"/>
        <v>Oct</v>
      </c>
      <c r="M129" t="str">
        <f t="shared" si="7"/>
        <v>Q4</v>
      </c>
      <c r="N129" t="str">
        <f t="shared" si="8"/>
        <v>Medium</v>
      </c>
      <c r="O129">
        <f>_xlfn.XLOOKUP(I129,Helper_Table!A:A,Helper_Table!B:B)</f>
        <v>0.9</v>
      </c>
      <c r="P129" s="1">
        <f t="shared" si="9"/>
        <v>34791.300000000003</v>
      </c>
      <c r="Q129" s="4">
        <f t="shared" si="10"/>
        <v>1.1111111111111109</v>
      </c>
      <c r="R129" t="str">
        <f t="shared" si="11"/>
        <v>Achieved</v>
      </c>
    </row>
    <row r="130" spans="1:18">
      <c r="A130" t="s">
        <v>45</v>
      </c>
      <c r="B130" t="s">
        <v>19</v>
      </c>
      <c r="C130" t="s">
        <v>59</v>
      </c>
      <c r="D130" t="s">
        <v>21</v>
      </c>
      <c r="E130" t="s">
        <v>38</v>
      </c>
      <c r="F130">
        <v>431</v>
      </c>
      <c r="G130" s="1">
        <v>42644</v>
      </c>
      <c r="H130" s="2">
        <v>45333</v>
      </c>
      <c r="I130" t="s">
        <v>27</v>
      </c>
      <c r="J130" t="s">
        <v>172</v>
      </c>
      <c r="K130" t="s">
        <v>47</v>
      </c>
      <c r="L130" t="str">
        <f t="shared" ref="L130:L193" si="12">TEXT(H130,"MMM")</f>
        <v>Feb</v>
      </c>
      <c r="M130" t="str">
        <f t="shared" ref="M130:M193" si="13">"Q"&amp;ROUNDUP(MONTH(H130)/3,0)</f>
        <v>Q1</v>
      </c>
      <c r="N130" t="str">
        <f t="shared" ref="N130:N193" si="14">IF(G130&gt;40000,"High",
IF(G130&gt;20000,"Medium","Low"))</f>
        <v>High</v>
      </c>
      <c r="O130">
        <f>_xlfn.XLOOKUP(I130,Helper_Table!A:A,Helper_Table!B:B)</f>
        <v>0.9</v>
      </c>
      <c r="P130" s="1">
        <f t="shared" ref="P130:P193" si="15">G130*O130</f>
        <v>38379.599999999999</v>
      </c>
      <c r="Q130" s="4">
        <f t="shared" ref="Q130:Q193" si="16">G130/P130</f>
        <v>1.1111111111111112</v>
      </c>
      <c r="R130" t="str">
        <f t="shared" ref="R130:R193" si="17">IF(Q130&gt;=1,"Achieved","Below Target")</f>
        <v>Achieved</v>
      </c>
    </row>
    <row r="131" spans="1:18">
      <c r="A131" t="s">
        <v>11</v>
      </c>
      <c r="B131" t="s">
        <v>51</v>
      </c>
      <c r="C131" t="s">
        <v>25</v>
      </c>
      <c r="D131" t="s">
        <v>26</v>
      </c>
      <c r="E131" t="s">
        <v>15</v>
      </c>
      <c r="F131">
        <v>1670</v>
      </c>
      <c r="G131" s="1">
        <v>44138</v>
      </c>
      <c r="H131" s="2">
        <v>45361</v>
      </c>
      <c r="I131" t="s">
        <v>27</v>
      </c>
      <c r="J131" t="s">
        <v>173</v>
      </c>
      <c r="K131" t="s">
        <v>29</v>
      </c>
      <c r="L131" t="str">
        <f t="shared" si="12"/>
        <v>Mar</v>
      </c>
      <c r="M131" t="str">
        <f t="shared" si="13"/>
        <v>Q1</v>
      </c>
      <c r="N131" t="str">
        <f t="shared" si="14"/>
        <v>High</v>
      </c>
      <c r="O131">
        <f>_xlfn.XLOOKUP(I131,Helper_Table!A:A,Helper_Table!B:B)</f>
        <v>0.9</v>
      </c>
      <c r="P131" s="1">
        <f t="shared" si="15"/>
        <v>39724.200000000004</v>
      </c>
      <c r="Q131" s="4">
        <f t="shared" si="16"/>
        <v>1.1111111111111109</v>
      </c>
      <c r="R131" t="str">
        <f t="shared" si="17"/>
        <v>Achieved</v>
      </c>
    </row>
    <row r="132" spans="1:18">
      <c r="A132" t="s">
        <v>64</v>
      </c>
      <c r="B132" t="s">
        <v>49</v>
      </c>
      <c r="C132" t="s">
        <v>13</v>
      </c>
      <c r="D132" t="s">
        <v>14</v>
      </c>
      <c r="E132" t="s">
        <v>22</v>
      </c>
      <c r="F132">
        <v>206</v>
      </c>
      <c r="G132" s="1">
        <v>5211</v>
      </c>
      <c r="H132" s="2">
        <v>45417</v>
      </c>
      <c r="I132" t="s">
        <v>41</v>
      </c>
      <c r="J132" t="s">
        <v>174</v>
      </c>
      <c r="K132" t="s">
        <v>29</v>
      </c>
      <c r="L132" t="str">
        <f t="shared" si="12"/>
        <v>May</v>
      </c>
      <c r="M132" t="str">
        <f t="shared" si="13"/>
        <v>Q2</v>
      </c>
      <c r="N132" t="str">
        <f t="shared" si="14"/>
        <v>Low</v>
      </c>
      <c r="O132">
        <f>_xlfn.XLOOKUP(I132,Helper_Table!A:A,Helper_Table!B:B)</f>
        <v>1.2</v>
      </c>
      <c r="P132" s="1">
        <f t="shared" si="15"/>
        <v>6253.2</v>
      </c>
      <c r="Q132" s="4">
        <f t="shared" si="16"/>
        <v>0.83333333333333337</v>
      </c>
      <c r="R132" t="str">
        <f t="shared" si="17"/>
        <v>Below Target</v>
      </c>
    </row>
    <row r="133" spans="1:18">
      <c r="A133" t="s">
        <v>45</v>
      </c>
      <c r="B133" t="s">
        <v>19</v>
      </c>
      <c r="C133" t="s">
        <v>20</v>
      </c>
      <c r="D133" t="s">
        <v>14</v>
      </c>
      <c r="E133" t="s">
        <v>22</v>
      </c>
      <c r="F133">
        <v>1499</v>
      </c>
      <c r="G133" s="1">
        <v>42504</v>
      </c>
      <c r="H133" s="2">
        <v>45232</v>
      </c>
      <c r="I133" t="s">
        <v>16</v>
      </c>
      <c r="J133" t="s">
        <v>175</v>
      </c>
      <c r="K133" t="s">
        <v>34</v>
      </c>
      <c r="L133" t="str">
        <f t="shared" si="12"/>
        <v>Nov</v>
      </c>
      <c r="M133" t="str">
        <f t="shared" si="13"/>
        <v>Q4</v>
      </c>
      <c r="N133" t="str">
        <f t="shared" si="14"/>
        <v>High</v>
      </c>
      <c r="O133">
        <f>_xlfn.XLOOKUP(I133,Helper_Table!A:A,Helper_Table!B:B)</f>
        <v>1.1000000000000001</v>
      </c>
      <c r="P133" s="1">
        <f t="shared" si="15"/>
        <v>46754.400000000001</v>
      </c>
      <c r="Q133" s="4">
        <f t="shared" si="16"/>
        <v>0.90909090909090906</v>
      </c>
      <c r="R133" t="str">
        <f t="shared" si="17"/>
        <v>Below Target</v>
      </c>
    </row>
    <row r="134" spans="1:18">
      <c r="A134" t="s">
        <v>11</v>
      </c>
      <c r="B134" t="s">
        <v>19</v>
      </c>
      <c r="C134" t="s">
        <v>20</v>
      </c>
      <c r="D134" t="s">
        <v>21</v>
      </c>
      <c r="E134">
        <v>60</v>
      </c>
      <c r="F134">
        <v>1503</v>
      </c>
      <c r="G134" s="1">
        <v>24284</v>
      </c>
      <c r="H134" s="2">
        <v>45457</v>
      </c>
      <c r="I134" t="s">
        <v>41</v>
      </c>
      <c r="J134" t="s">
        <v>176</v>
      </c>
      <c r="K134" t="s">
        <v>44</v>
      </c>
      <c r="L134" t="str">
        <f t="shared" si="12"/>
        <v>Jun</v>
      </c>
      <c r="M134" t="str">
        <f t="shared" si="13"/>
        <v>Q2</v>
      </c>
      <c r="N134" t="str">
        <f t="shared" si="14"/>
        <v>Medium</v>
      </c>
      <c r="O134">
        <f>_xlfn.XLOOKUP(I134,Helper_Table!A:A,Helper_Table!B:B)</f>
        <v>1.2</v>
      </c>
      <c r="P134" s="1">
        <f t="shared" si="15"/>
        <v>29140.799999999999</v>
      </c>
      <c r="Q134" s="4">
        <f t="shared" si="16"/>
        <v>0.83333333333333337</v>
      </c>
      <c r="R134" t="str">
        <f t="shared" si="17"/>
        <v>Below Target</v>
      </c>
    </row>
    <row r="135" spans="1:18">
      <c r="A135" t="s">
        <v>45</v>
      </c>
      <c r="B135" t="s">
        <v>51</v>
      </c>
      <c r="C135" t="s">
        <v>59</v>
      </c>
      <c r="D135" t="s">
        <v>66</v>
      </c>
      <c r="E135">
        <v>60</v>
      </c>
      <c r="F135">
        <v>1473</v>
      </c>
      <c r="G135" s="1">
        <v>49653</v>
      </c>
      <c r="H135" s="2">
        <v>45192</v>
      </c>
      <c r="I135" t="s">
        <v>41</v>
      </c>
      <c r="J135" t="s">
        <v>177</v>
      </c>
      <c r="K135" t="s">
        <v>44</v>
      </c>
      <c r="L135" t="str">
        <f t="shared" si="12"/>
        <v>Sep</v>
      </c>
      <c r="M135" t="str">
        <f t="shared" si="13"/>
        <v>Q3</v>
      </c>
      <c r="N135" t="str">
        <f t="shared" si="14"/>
        <v>High</v>
      </c>
      <c r="O135">
        <f>_xlfn.XLOOKUP(I135,Helper_Table!A:A,Helper_Table!B:B)</f>
        <v>1.2</v>
      </c>
      <c r="P135" s="1">
        <f t="shared" si="15"/>
        <v>59583.6</v>
      </c>
      <c r="Q135" s="4">
        <f t="shared" si="16"/>
        <v>0.83333333333333337</v>
      </c>
      <c r="R135" t="str">
        <f t="shared" si="17"/>
        <v>Below Target</v>
      </c>
    </row>
    <row r="136" spans="1:18">
      <c r="A136" t="s">
        <v>64</v>
      </c>
      <c r="B136" t="s">
        <v>36</v>
      </c>
      <c r="C136" t="s">
        <v>25</v>
      </c>
      <c r="D136" t="s">
        <v>14</v>
      </c>
      <c r="E136" t="s">
        <v>38</v>
      </c>
      <c r="F136">
        <v>1294</v>
      </c>
      <c r="G136" s="1">
        <v>14645</v>
      </c>
      <c r="H136" s="2">
        <v>45458</v>
      </c>
      <c r="I136" t="s">
        <v>16</v>
      </c>
      <c r="J136" t="s">
        <v>178</v>
      </c>
      <c r="K136" t="s">
        <v>34</v>
      </c>
      <c r="L136" t="str">
        <f t="shared" si="12"/>
        <v>Jun</v>
      </c>
      <c r="M136" t="str">
        <f t="shared" si="13"/>
        <v>Q2</v>
      </c>
      <c r="N136" t="str">
        <f t="shared" si="14"/>
        <v>Low</v>
      </c>
      <c r="O136">
        <f>_xlfn.XLOOKUP(I136,Helper_Table!A:A,Helper_Table!B:B)</f>
        <v>1.1000000000000001</v>
      </c>
      <c r="P136" s="1">
        <f t="shared" si="15"/>
        <v>16109.500000000002</v>
      </c>
      <c r="Q136" s="4">
        <f t="shared" si="16"/>
        <v>0.90909090909090895</v>
      </c>
      <c r="R136" t="str">
        <f t="shared" si="17"/>
        <v>Below Target</v>
      </c>
    </row>
    <row r="137" spans="1:18">
      <c r="A137" t="s">
        <v>24</v>
      </c>
      <c r="B137" t="s">
        <v>49</v>
      </c>
      <c r="C137" t="s">
        <v>59</v>
      </c>
      <c r="D137" t="s">
        <v>21</v>
      </c>
      <c r="E137" t="s">
        <v>22</v>
      </c>
      <c r="F137">
        <v>1337</v>
      </c>
      <c r="G137" s="1">
        <v>21269</v>
      </c>
      <c r="H137" s="2">
        <v>45304</v>
      </c>
      <c r="I137" t="s">
        <v>39</v>
      </c>
      <c r="J137" t="s">
        <v>179</v>
      </c>
      <c r="K137" t="s">
        <v>18</v>
      </c>
      <c r="L137" t="str">
        <f t="shared" si="12"/>
        <v>Jan</v>
      </c>
      <c r="M137" t="str">
        <f t="shared" si="13"/>
        <v>Q1</v>
      </c>
      <c r="N137" t="str">
        <f t="shared" si="14"/>
        <v>Medium</v>
      </c>
      <c r="O137">
        <f>_xlfn.XLOOKUP(I137,Helper_Table!A:A,Helper_Table!B:B)</f>
        <v>1.1000000000000001</v>
      </c>
      <c r="P137" s="1">
        <f t="shared" si="15"/>
        <v>23395.9</v>
      </c>
      <c r="Q137" s="4">
        <f t="shared" si="16"/>
        <v>0.90909090909090906</v>
      </c>
      <c r="R137" t="str">
        <f t="shared" si="17"/>
        <v>Below Target</v>
      </c>
    </row>
    <row r="138" spans="1:18">
      <c r="A138" t="s">
        <v>11</v>
      </c>
      <c r="B138" t="s">
        <v>19</v>
      </c>
      <c r="C138" t="s">
        <v>13</v>
      </c>
      <c r="D138" t="s">
        <v>14</v>
      </c>
      <c r="E138" t="s">
        <v>15</v>
      </c>
      <c r="F138">
        <v>580</v>
      </c>
      <c r="G138" s="1">
        <v>15529</v>
      </c>
      <c r="H138" s="2">
        <v>45491</v>
      </c>
      <c r="I138" t="s">
        <v>16</v>
      </c>
      <c r="J138" t="s">
        <v>180</v>
      </c>
      <c r="K138" t="s">
        <v>29</v>
      </c>
      <c r="L138" t="str">
        <f t="shared" si="12"/>
        <v>Jul</v>
      </c>
      <c r="M138" t="str">
        <f t="shared" si="13"/>
        <v>Q3</v>
      </c>
      <c r="N138" t="str">
        <f t="shared" si="14"/>
        <v>Low</v>
      </c>
      <c r="O138">
        <f>_xlfn.XLOOKUP(I138,Helper_Table!A:A,Helper_Table!B:B)</f>
        <v>1.1000000000000001</v>
      </c>
      <c r="P138" s="1">
        <f t="shared" si="15"/>
        <v>17081.900000000001</v>
      </c>
      <c r="Q138" s="4">
        <f t="shared" si="16"/>
        <v>0.90909090909090906</v>
      </c>
      <c r="R138" t="str">
        <f t="shared" si="17"/>
        <v>Below Target</v>
      </c>
    </row>
    <row r="139" spans="1:18">
      <c r="A139" t="s">
        <v>64</v>
      </c>
      <c r="B139" t="s">
        <v>36</v>
      </c>
      <c r="C139" t="s">
        <v>13</v>
      </c>
      <c r="D139" t="s">
        <v>21</v>
      </c>
      <c r="E139">
        <v>60</v>
      </c>
      <c r="F139">
        <v>1872</v>
      </c>
      <c r="G139" s="1">
        <v>30435</v>
      </c>
      <c r="H139" s="2">
        <v>45150</v>
      </c>
      <c r="I139" t="s">
        <v>27</v>
      </c>
      <c r="J139" t="s">
        <v>181</v>
      </c>
      <c r="K139" t="s">
        <v>34</v>
      </c>
      <c r="L139" t="str">
        <f t="shared" si="12"/>
        <v>Aug</v>
      </c>
      <c r="M139" t="str">
        <f t="shared" si="13"/>
        <v>Q3</v>
      </c>
      <c r="N139" t="str">
        <f t="shared" si="14"/>
        <v>Medium</v>
      </c>
      <c r="O139">
        <f>_xlfn.XLOOKUP(I139,Helper_Table!A:A,Helper_Table!B:B)</f>
        <v>0.9</v>
      </c>
      <c r="P139" s="1">
        <f t="shared" si="15"/>
        <v>27391.5</v>
      </c>
      <c r="Q139" s="4">
        <f t="shared" si="16"/>
        <v>1.1111111111111112</v>
      </c>
      <c r="R139" t="str">
        <f t="shared" si="17"/>
        <v>Achieved</v>
      </c>
    </row>
    <row r="140" spans="1:18">
      <c r="A140" t="s">
        <v>45</v>
      </c>
      <c r="B140" t="s">
        <v>12</v>
      </c>
      <c r="C140" t="s">
        <v>25</v>
      </c>
      <c r="D140" t="s">
        <v>21</v>
      </c>
      <c r="E140" t="s">
        <v>38</v>
      </c>
      <c r="F140">
        <v>532</v>
      </c>
      <c r="G140" s="1">
        <v>28042</v>
      </c>
      <c r="H140" s="2">
        <v>45143</v>
      </c>
      <c r="I140" t="s">
        <v>16</v>
      </c>
      <c r="J140" t="s">
        <v>182</v>
      </c>
      <c r="K140" t="s">
        <v>18</v>
      </c>
      <c r="L140" t="str">
        <f t="shared" si="12"/>
        <v>Aug</v>
      </c>
      <c r="M140" t="str">
        <f t="shared" si="13"/>
        <v>Q3</v>
      </c>
      <c r="N140" t="str">
        <f t="shared" si="14"/>
        <v>Medium</v>
      </c>
      <c r="O140">
        <f>_xlfn.XLOOKUP(I140,Helper_Table!A:A,Helper_Table!B:B)</f>
        <v>1.1000000000000001</v>
      </c>
      <c r="P140" s="1">
        <f t="shared" si="15"/>
        <v>30846.2</v>
      </c>
      <c r="Q140" s="4">
        <f t="shared" si="16"/>
        <v>0.90909090909090906</v>
      </c>
      <c r="R140" t="str">
        <f t="shared" si="17"/>
        <v>Below Target</v>
      </c>
    </row>
    <row r="141" spans="1:18">
      <c r="A141" t="s">
        <v>45</v>
      </c>
      <c r="B141" t="s">
        <v>51</v>
      </c>
      <c r="C141" t="s">
        <v>13</v>
      </c>
      <c r="D141" t="s">
        <v>14</v>
      </c>
      <c r="E141" t="s">
        <v>22</v>
      </c>
      <c r="F141">
        <v>181</v>
      </c>
      <c r="G141" s="1">
        <v>32650</v>
      </c>
      <c r="H141" s="2">
        <v>45430</v>
      </c>
      <c r="I141" t="s">
        <v>41</v>
      </c>
      <c r="J141" t="s">
        <v>183</v>
      </c>
      <c r="K141" t="s">
        <v>47</v>
      </c>
      <c r="L141" t="str">
        <f t="shared" si="12"/>
        <v>May</v>
      </c>
      <c r="M141" t="str">
        <f t="shared" si="13"/>
        <v>Q2</v>
      </c>
      <c r="N141" t="str">
        <f t="shared" si="14"/>
        <v>Medium</v>
      </c>
      <c r="O141">
        <f>_xlfn.XLOOKUP(I141,Helper_Table!A:A,Helper_Table!B:B)</f>
        <v>1.2</v>
      </c>
      <c r="P141" s="1">
        <f t="shared" si="15"/>
        <v>39180</v>
      </c>
      <c r="Q141" s="4">
        <f t="shared" si="16"/>
        <v>0.83333333333333337</v>
      </c>
      <c r="R141" t="str">
        <f t="shared" si="17"/>
        <v>Below Target</v>
      </c>
    </row>
    <row r="142" spans="1:18">
      <c r="A142" t="s">
        <v>11</v>
      </c>
      <c r="B142" t="s">
        <v>36</v>
      </c>
      <c r="C142" t="s">
        <v>25</v>
      </c>
      <c r="D142" t="s">
        <v>21</v>
      </c>
      <c r="E142" t="s">
        <v>38</v>
      </c>
      <c r="F142">
        <v>422</v>
      </c>
      <c r="G142" s="1">
        <v>32388</v>
      </c>
      <c r="H142" s="2">
        <v>45262</v>
      </c>
      <c r="I142" t="s">
        <v>39</v>
      </c>
      <c r="J142" t="s">
        <v>184</v>
      </c>
      <c r="K142" t="s">
        <v>44</v>
      </c>
      <c r="L142" t="str">
        <f t="shared" si="12"/>
        <v>Dec</v>
      </c>
      <c r="M142" t="str">
        <f t="shared" si="13"/>
        <v>Q4</v>
      </c>
      <c r="N142" t="str">
        <f t="shared" si="14"/>
        <v>Medium</v>
      </c>
      <c r="O142">
        <f>_xlfn.XLOOKUP(I142,Helper_Table!A:A,Helper_Table!B:B)</f>
        <v>1.1000000000000001</v>
      </c>
      <c r="P142" s="1">
        <f t="shared" si="15"/>
        <v>35626.800000000003</v>
      </c>
      <c r="Q142" s="4">
        <f t="shared" si="16"/>
        <v>0.90909090909090906</v>
      </c>
      <c r="R142" t="str">
        <f t="shared" si="17"/>
        <v>Below Target</v>
      </c>
    </row>
    <row r="143" spans="1:18">
      <c r="A143" t="s">
        <v>64</v>
      </c>
      <c r="B143" t="s">
        <v>36</v>
      </c>
      <c r="C143" t="s">
        <v>20</v>
      </c>
      <c r="D143" t="s">
        <v>21</v>
      </c>
      <c r="E143" t="s">
        <v>22</v>
      </c>
      <c r="F143">
        <v>892</v>
      </c>
      <c r="G143" s="1">
        <v>9396</v>
      </c>
      <c r="H143" s="2">
        <v>45274</v>
      </c>
      <c r="I143" t="s">
        <v>16</v>
      </c>
      <c r="J143" t="s">
        <v>185</v>
      </c>
      <c r="K143" t="s">
        <v>18</v>
      </c>
      <c r="L143" t="str">
        <f t="shared" si="12"/>
        <v>Dec</v>
      </c>
      <c r="M143" t="str">
        <f t="shared" si="13"/>
        <v>Q4</v>
      </c>
      <c r="N143" t="str">
        <f t="shared" si="14"/>
        <v>Low</v>
      </c>
      <c r="O143">
        <f>_xlfn.XLOOKUP(I143,Helper_Table!A:A,Helper_Table!B:B)</f>
        <v>1.1000000000000001</v>
      </c>
      <c r="P143" s="1">
        <f t="shared" si="15"/>
        <v>10335.6</v>
      </c>
      <c r="Q143" s="4">
        <f t="shared" si="16"/>
        <v>0.90909090909090906</v>
      </c>
      <c r="R143" t="str">
        <f t="shared" si="17"/>
        <v>Below Target</v>
      </c>
    </row>
    <row r="144" spans="1:18">
      <c r="A144" t="s">
        <v>45</v>
      </c>
      <c r="B144" t="s">
        <v>19</v>
      </c>
      <c r="C144" t="s">
        <v>20</v>
      </c>
      <c r="D144" t="s">
        <v>66</v>
      </c>
      <c r="E144">
        <v>30</v>
      </c>
      <c r="F144">
        <v>1964</v>
      </c>
      <c r="G144" s="1">
        <v>11786</v>
      </c>
      <c r="H144" s="2">
        <v>45433</v>
      </c>
      <c r="I144" t="s">
        <v>32</v>
      </c>
      <c r="J144" t="s">
        <v>186</v>
      </c>
      <c r="K144" t="s">
        <v>47</v>
      </c>
      <c r="L144" t="str">
        <f t="shared" si="12"/>
        <v>May</v>
      </c>
      <c r="M144" t="str">
        <f t="shared" si="13"/>
        <v>Q2</v>
      </c>
      <c r="N144" t="str">
        <f t="shared" si="14"/>
        <v>Low</v>
      </c>
      <c r="O144">
        <f>_xlfn.XLOOKUP(I144,Helper_Table!A:A,Helper_Table!B:B)</f>
        <v>0.95</v>
      </c>
      <c r="P144" s="1">
        <f t="shared" si="15"/>
        <v>11196.699999999999</v>
      </c>
      <c r="Q144" s="4">
        <f t="shared" si="16"/>
        <v>1.0526315789473686</v>
      </c>
      <c r="R144" t="str">
        <f t="shared" si="17"/>
        <v>Achieved</v>
      </c>
    </row>
    <row r="145" spans="1:18">
      <c r="A145" t="s">
        <v>35</v>
      </c>
      <c r="B145" t="s">
        <v>51</v>
      </c>
      <c r="C145" t="s">
        <v>13</v>
      </c>
      <c r="D145" t="s">
        <v>66</v>
      </c>
      <c r="E145">
        <v>30</v>
      </c>
      <c r="F145">
        <v>1698</v>
      </c>
      <c r="G145" s="1">
        <v>19170</v>
      </c>
      <c r="H145" s="2">
        <v>45136</v>
      </c>
      <c r="I145" t="s">
        <v>39</v>
      </c>
      <c r="J145" t="s">
        <v>187</v>
      </c>
      <c r="K145" t="s">
        <v>34</v>
      </c>
      <c r="L145" t="str">
        <f t="shared" si="12"/>
        <v>Jul</v>
      </c>
      <c r="M145" t="str">
        <f t="shared" si="13"/>
        <v>Q3</v>
      </c>
      <c r="N145" t="str">
        <f t="shared" si="14"/>
        <v>Low</v>
      </c>
      <c r="O145">
        <f>_xlfn.XLOOKUP(I145,Helper_Table!A:A,Helper_Table!B:B)</f>
        <v>1.1000000000000001</v>
      </c>
      <c r="P145" s="1">
        <f t="shared" si="15"/>
        <v>21087</v>
      </c>
      <c r="Q145" s="4">
        <f t="shared" si="16"/>
        <v>0.90909090909090906</v>
      </c>
      <c r="R145" t="str">
        <f t="shared" si="17"/>
        <v>Below Target</v>
      </c>
    </row>
    <row r="146" spans="1:18">
      <c r="A146" t="s">
        <v>11</v>
      </c>
      <c r="B146" t="s">
        <v>19</v>
      </c>
      <c r="C146" t="s">
        <v>20</v>
      </c>
      <c r="D146" t="s">
        <v>21</v>
      </c>
      <c r="E146">
        <v>60</v>
      </c>
      <c r="F146">
        <v>1222</v>
      </c>
      <c r="G146" s="1">
        <v>28574</v>
      </c>
      <c r="H146" s="2">
        <v>45279</v>
      </c>
      <c r="I146" t="s">
        <v>41</v>
      </c>
      <c r="J146" t="s">
        <v>188</v>
      </c>
      <c r="K146" t="s">
        <v>18</v>
      </c>
      <c r="L146" t="str">
        <f t="shared" si="12"/>
        <v>Dec</v>
      </c>
      <c r="M146" t="str">
        <f t="shared" si="13"/>
        <v>Q4</v>
      </c>
      <c r="N146" t="str">
        <f t="shared" si="14"/>
        <v>Medium</v>
      </c>
      <c r="O146">
        <f>_xlfn.XLOOKUP(I146,Helper_Table!A:A,Helper_Table!B:B)</f>
        <v>1.2</v>
      </c>
      <c r="P146" s="1">
        <f t="shared" si="15"/>
        <v>34288.799999999996</v>
      </c>
      <c r="Q146" s="4">
        <f t="shared" si="16"/>
        <v>0.83333333333333348</v>
      </c>
      <c r="R146" t="str">
        <f t="shared" si="17"/>
        <v>Below Target</v>
      </c>
    </row>
    <row r="147" spans="1:18">
      <c r="A147" t="s">
        <v>11</v>
      </c>
      <c r="B147" t="s">
        <v>36</v>
      </c>
      <c r="C147" t="s">
        <v>59</v>
      </c>
      <c r="D147" t="s">
        <v>26</v>
      </c>
      <c r="E147" t="s">
        <v>38</v>
      </c>
      <c r="F147">
        <v>604</v>
      </c>
      <c r="G147" s="1">
        <v>38185</v>
      </c>
      <c r="H147" s="2">
        <v>45361</v>
      </c>
      <c r="I147" t="s">
        <v>16</v>
      </c>
      <c r="J147" t="s">
        <v>189</v>
      </c>
      <c r="K147" t="s">
        <v>47</v>
      </c>
      <c r="L147" t="str">
        <f t="shared" si="12"/>
        <v>Mar</v>
      </c>
      <c r="M147" t="str">
        <f t="shared" si="13"/>
        <v>Q1</v>
      </c>
      <c r="N147" t="str">
        <f t="shared" si="14"/>
        <v>Medium</v>
      </c>
      <c r="O147">
        <f>_xlfn.XLOOKUP(I147,Helper_Table!A:A,Helper_Table!B:B)</f>
        <v>1.1000000000000001</v>
      </c>
      <c r="P147" s="1">
        <f t="shared" si="15"/>
        <v>42003.5</v>
      </c>
      <c r="Q147" s="4">
        <f t="shared" si="16"/>
        <v>0.90909090909090906</v>
      </c>
      <c r="R147" t="str">
        <f t="shared" si="17"/>
        <v>Below Target</v>
      </c>
    </row>
    <row r="148" spans="1:18">
      <c r="A148" t="s">
        <v>24</v>
      </c>
      <c r="B148" t="s">
        <v>51</v>
      </c>
      <c r="C148" t="s">
        <v>20</v>
      </c>
      <c r="D148" t="s">
        <v>66</v>
      </c>
      <c r="E148" t="s">
        <v>15</v>
      </c>
      <c r="F148">
        <v>1811</v>
      </c>
      <c r="G148" s="1">
        <v>42397</v>
      </c>
      <c r="H148" s="2">
        <v>45146</v>
      </c>
      <c r="I148" t="s">
        <v>32</v>
      </c>
      <c r="J148" t="s">
        <v>190</v>
      </c>
      <c r="K148" t="s">
        <v>44</v>
      </c>
      <c r="L148" t="str">
        <f t="shared" si="12"/>
        <v>Aug</v>
      </c>
      <c r="M148" t="str">
        <f t="shared" si="13"/>
        <v>Q3</v>
      </c>
      <c r="N148" t="str">
        <f t="shared" si="14"/>
        <v>High</v>
      </c>
      <c r="O148">
        <f>_xlfn.XLOOKUP(I148,Helper_Table!A:A,Helper_Table!B:B)</f>
        <v>0.95</v>
      </c>
      <c r="P148" s="1">
        <f t="shared" si="15"/>
        <v>40277.15</v>
      </c>
      <c r="Q148" s="4">
        <f t="shared" si="16"/>
        <v>1.0526315789473684</v>
      </c>
      <c r="R148" t="str">
        <f t="shared" si="17"/>
        <v>Achieved</v>
      </c>
    </row>
    <row r="149" spans="1:18">
      <c r="A149" t="s">
        <v>35</v>
      </c>
      <c r="B149" t="s">
        <v>49</v>
      </c>
      <c r="C149" t="s">
        <v>30</v>
      </c>
      <c r="D149" t="s">
        <v>66</v>
      </c>
      <c r="E149">
        <v>60</v>
      </c>
      <c r="F149">
        <v>560</v>
      </c>
      <c r="G149" s="1">
        <v>42407</v>
      </c>
      <c r="H149" s="2">
        <v>45426</v>
      </c>
      <c r="I149" t="s">
        <v>39</v>
      </c>
      <c r="J149" t="s">
        <v>191</v>
      </c>
      <c r="K149" t="s">
        <v>34</v>
      </c>
      <c r="L149" t="str">
        <f t="shared" si="12"/>
        <v>May</v>
      </c>
      <c r="M149" t="str">
        <f t="shared" si="13"/>
        <v>Q2</v>
      </c>
      <c r="N149" t="str">
        <f t="shared" si="14"/>
        <v>High</v>
      </c>
      <c r="O149">
        <f>_xlfn.XLOOKUP(I149,Helper_Table!A:A,Helper_Table!B:B)</f>
        <v>1.1000000000000001</v>
      </c>
      <c r="P149" s="1">
        <f t="shared" si="15"/>
        <v>46647.700000000004</v>
      </c>
      <c r="Q149" s="4">
        <f t="shared" si="16"/>
        <v>0.90909090909090906</v>
      </c>
      <c r="R149" t="str">
        <f t="shared" si="17"/>
        <v>Below Target</v>
      </c>
    </row>
    <row r="150" spans="1:18">
      <c r="A150" t="s">
        <v>35</v>
      </c>
      <c r="B150" t="s">
        <v>19</v>
      </c>
      <c r="C150" t="s">
        <v>13</v>
      </c>
      <c r="D150" t="s">
        <v>66</v>
      </c>
      <c r="E150" t="s">
        <v>38</v>
      </c>
      <c r="F150">
        <v>862</v>
      </c>
      <c r="G150" s="1">
        <v>49311</v>
      </c>
      <c r="H150" s="2">
        <v>45376</v>
      </c>
      <c r="I150" t="s">
        <v>39</v>
      </c>
      <c r="J150" t="s">
        <v>192</v>
      </c>
      <c r="K150" t="s">
        <v>44</v>
      </c>
      <c r="L150" t="str">
        <f t="shared" si="12"/>
        <v>Mar</v>
      </c>
      <c r="M150" t="str">
        <f t="shared" si="13"/>
        <v>Q1</v>
      </c>
      <c r="N150" t="str">
        <f t="shared" si="14"/>
        <v>High</v>
      </c>
      <c r="O150">
        <f>_xlfn.XLOOKUP(I150,Helper_Table!A:A,Helper_Table!B:B)</f>
        <v>1.1000000000000001</v>
      </c>
      <c r="P150" s="1">
        <f t="shared" si="15"/>
        <v>54242.100000000006</v>
      </c>
      <c r="Q150" s="4">
        <f t="shared" si="16"/>
        <v>0.90909090909090895</v>
      </c>
      <c r="R150" t="str">
        <f t="shared" si="17"/>
        <v>Below Target</v>
      </c>
    </row>
    <row r="151" spans="1:18">
      <c r="A151" t="s">
        <v>24</v>
      </c>
      <c r="B151" t="s">
        <v>51</v>
      </c>
      <c r="C151" t="s">
        <v>13</v>
      </c>
      <c r="D151" t="s">
        <v>21</v>
      </c>
      <c r="E151" t="s">
        <v>15</v>
      </c>
      <c r="F151">
        <v>1017</v>
      </c>
      <c r="G151" s="1">
        <v>21123</v>
      </c>
      <c r="H151" s="2">
        <v>45365</v>
      </c>
      <c r="I151" t="s">
        <v>27</v>
      </c>
      <c r="J151" t="s">
        <v>193</v>
      </c>
      <c r="K151" t="s">
        <v>18</v>
      </c>
      <c r="L151" t="str">
        <f t="shared" si="12"/>
        <v>Mar</v>
      </c>
      <c r="M151" t="str">
        <f t="shared" si="13"/>
        <v>Q1</v>
      </c>
      <c r="N151" t="str">
        <f t="shared" si="14"/>
        <v>Medium</v>
      </c>
      <c r="O151">
        <f>_xlfn.XLOOKUP(I151,Helper_Table!A:A,Helper_Table!B:B)</f>
        <v>0.9</v>
      </c>
      <c r="P151" s="1">
        <f t="shared" si="15"/>
        <v>19010.7</v>
      </c>
      <c r="Q151" s="4">
        <f t="shared" si="16"/>
        <v>1.1111111111111112</v>
      </c>
      <c r="R151" t="str">
        <f t="shared" si="17"/>
        <v>Achieved</v>
      </c>
    </row>
    <row r="152" spans="1:18">
      <c r="A152" t="s">
        <v>35</v>
      </c>
      <c r="B152" t="s">
        <v>12</v>
      </c>
      <c r="C152" t="s">
        <v>20</v>
      </c>
      <c r="D152" t="s">
        <v>66</v>
      </c>
      <c r="E152">
        <v>30</v>
      </c>
      <c r="F152">
        <v>1468</v>
      </c>
      <c r="G152" s="1">
        <v>32204</v>
      </c>
      <c r="H152" s="2">
        <v>45378</v>
      </c>
      <c r="I152" t="s">
        <v>16</v>
      </c>
      <c r="J152" t="s">
        <v>194</v>
      </c>
      <c r="K152" t="s">
        <v>44</v>
      </c>
      <c r="L152" t="str">
        <f t="shared" si="12"/>
        <v>Mar</v>
      </c>
      <c r="M152" t="str">
        <f t="shared" si="13"/>
        <v>Q1</v>
      </c>
      <c r="N152" t="str">
        <f t="shared" si="14"/>
        <v>Medium</v>
      </c>
      <c r="O152">
        <f>_xlfn.XLOOKUP(I152,Helper_Table!A:A,Helper_Table!B:B)</f>
        <v>1.1000000000000001</v>
      </c>
      <c r="P152" s="1">
        <f t="shared" si="15"/>
        <v>35424.400000000001</v>
      </c>
      <c r="Q152" s="4">
        <f t="shared" si="16"/>
        <v>0.90909090909090906</v>
      </c>
      <c r="R152" t="str">
        <f t="shared" si="17"/>
        <v>Below Target</v>
      </c>
    </row>
    <row r="153" spans="1:18">
      <c r="A153" t="s">
        <v>24</v>
      </c>
      <c r="B153" t="s">
        <v>12</v>
      </c>
      <c r="C153" t="s">
        <v>59</v>
      </c>
      <c r="D153" t="s">
        <v>31</v>
      </c>
      <c r="E153">
        <v>30</v>
      </c>
      <c r="F153">
        <v>1647</v>
      </c>
      <c r="G153" s="1">
        <v>21201</v>
      </c>
      <c r="H153" s="2">
        <v>45330</v>
      </c>
      <c r="I153" t="s">
        <v>41</v>
      </c>
      <c r="J153" t="s">
        <v>195</v>
      </c>
      <c r="K153" t="s">
        <v>18</v>
      </c>
      <c r="L153" t="str">
        <f t="shared" si="12"/>
        <v>Feb</v>
      </c>
      <c r="M153" t="str">
        <f t="shared" si="13"/>
        <v>Q1</v>
      </c>
      <c r="N153" t="str">
        <f t="shared" si="14"/>
        <v>Medium</v>
      </c>
      <c r="O153">
        <f>_xlfn.XLOOKUP(I153,Helper_Table!A:A,Helper_Table!B:B)</f>
        <v>1.2</v>
      </c>
      <c r="P153" s="1">
        <f t="shared" si="15"/>
        <v>25441.200000000001</v>
      </c>
      <c r="Q153" s="4">
        <f t="shared" si="16"/>
        <v>0.83333333333333326</v>
      </c>
      <c r="R153" t="str">
        <f t="shared" si="17"/>
        <v>Below Target</v>
      </c>
    </row>
    <row r="154" spans="1:18">
      <c r="A154" t="s">
        <v>45</v>
      </c>
      <c r="B154" t="s">
        <v>36</v>
      </c>
      <c r="C154" t="s">
        <v>13</v>
      </c>
      <c r="D154" t="s">
        <v>66</v>
      </c>
      <c r="E154">
        <v>30</v>
      </c>
      <c r="F154">
        <v>254</v>
      </c>
      <c r="G154" s="1">
        <v>43256</v>
      </c>
      <c r="H154" s="2">
        <v>45169</v>
      </c>
      <c r="I154" t="s">
        <v>27</v>
      </c>
      <c r="J154" t="s">
        <v>196</v>
      </c>
      <c r="K154" t="s">
        <v>34</v>
      </c>
      <c r="L154" t="str">
        <f t="shared" si="12"/>
        <v>Aug</v>
      </c>
      <c r="M154" t="str">
        <f t="shared" si="13"/>
        <v>Q3</v>
      </c>
      <c r="N154" t="str">
        <f t="shared" si="14"/>
        <v>High</v>
      </c>
      <c r="O154">
        <f>_xlfn.XLOOKUP(I154,Helper_Table!A:A,Helper_Table!B:B)</f>
        <v>0.9</v>
      </c>
      <c r="P154" s="1">
        <f t="shared" si="15"/>
        <v>38930.400000000001</v>
      </c>
      <c r="Q154" s="4">
        <f t="shared" si="16"/>
        <v>1.1111111111111112</v>
      </c>
      <c r="R154" t="str">
        <f t="shared" si="17"/>
        <v>Achieved</v>
      </c>
    </row>
    <row r="155" spans="1:18">
      <c r="A155" t="s">
        <v>64</v>
      </c>
      <c r="B155" t="s">
        <v>51</v>
      </c>
      <c r="C155" t="s">
        <v>59</v>
      </c>
      <c r="D155" t="s">
        <v>26</v>
      </c>
      <c r="E155" t="s">
        <v>38</v>
      </c>
      <c r="F155">
        <v>1661</v>
      </c>
      <c r="G155" s="1">
        <v>8678</v>
      </c>
      <c r="H155" s="2">
        <v>45388</v>
      </c>
      <c r="I155" t="s">
        <v>27</v>
      </c>
      <c r="J155" t="s">
        <v>197</v>
      </c>
      <c r="K155" t="s">
        <v>18</v>
      </c>
      <c r="L155" t="str">
        <f t="shared" si="12"/>
        <v>Apr</v>
      </c>
      <c r="M155" t="str">
        <f t="shared" si="13"/>
        <v>Q2</v>
      </c>
      <c r="N155" t="str">
        <f t="shared" si="14"/>
        <v>Low</v>
      </c>
      <c r="O155">
        <f>_xlfn.XLOOKUP(I155,Helper_Table!A:A,Helper_Table!B:B)</f>
        <v>0.9</v>
      </c>
      <c r="P155" s="1">
        <f t="shared" si="15"/>
        <v>7810.2</v>
      </c>
      <c r="Q155" s="4">
        <f t="shared" si="16"/>
        <v>1.1111111111111112</v>
      </c>
      <c r="R155" t="str">
        <f t="shared" si="17"/>
        <v>Achieved</v>
      </c>
    </row>
    <row r="156" spans="1:18">
      <c r="A156" t="s">
        <v>11</v>
      </c>
      <c r="B156" t="s">
        <v>49</v>
      </c>
      <c r="C156" t="s">
        <v>59</v>
      </c>
      <c r="D156" t="s">
        <v>31</v>
      </c>
      <c r="E156" t="s">
        <v>22</v>
      </c>
      <c r="F156">
        <v>1446</v>
      </c>
      <c r="G156" s="1">
        <v>49381</v>
      </c>
      <c r="H156" s="2">
        <v>45367</v>
      </c>
      <c r="I156" t="s">
        <v>32</v>
      </c>
      <c r="J156" t="s">
        <v>198</v>
      </c>
      <c r="K156" t="s">
        <v>47</v>
      </c>
      <c r="L156" t="str">
        <f t="shared" si="12"/>
        <v>Mar</v>
      </c>
      <c r="M156" t="str">
        <f t="shared" si="13"/>
        <v>Q1</v>
      </c>
      <c r="N156" t="str">
        <f t="shared" si="14"/>
        <v>High</v>
      </c>
      <c r="O156">
        <f>_xlfn.XLOOKUP(I156,Helper_Table!A:A,Helper_Table!B:B)</f>
        <v>0.95</v>
      </c>
      <c r="P156" s="1">
        <f t="shared" si="15"/>
        <v>46911.95</v>
      </c>
      <c r="Q156" s="4">
        <f t="shared" si="16"/>
        <v>1.0526315789473686</v>
      </c>
      <c r="R156" t="str">
        <f t="shared" si="17"/>
        <v>Achieved</v>
      </c>
    </row>
    <row r="157" spans="1:18">
      <c r="A157" t="s">
        <v>64</v>
      </c>
      <c r="B157" t="s">
        <v>36</v>
      </c>
      <c r="C157" t="s">
        <v>59</v>
      </c>
      <c r="D157" t="s">
        <v>31</v>
      </c>
      <c r="E157" t="s">
        <v>22</v>
      </c>
      <c r="F157">
        <v>936</v>
      </c>
      <c r="G157" s="1">
        <v>48645</v>
      </c>
      <c r="H157" s="2">
        <v>45136</v>
      </c>
      <c r="I157" t="s">
        <v>32</v>
      </c>
      <c r="J157" t="s">
        <v>199</v>
      </c>
      <c r="K157" t="s">
        <v>47</v>
      </c>
      <c r="L157" t="str">
        <f t="shared" si="12"/>
        <v>Jul</v>
      </c>
      <c r="M157" t="str">
        <f t="shared" si="13"/>
        <v>Q3</v>
      </c>
      <c r="N157" t="str">
        <f t="shared" si="14"/>
        <v>High</v>
      </c>
      <c r="O157">
        <f>_xlfn.XLOOKUP(I157,Helper_Table!A:A,Helper_Table!B:B)</f>
        <v>0.95</v>
      </c>
      <c r="P157" s="1">
        <f t="shared" si="15"/>
        <v>46212.75</v>
      </c>
      <c r="Q157" s="4">
        <f t="shared" si="16"/>
        <v>1.0526315789473684</v>
      </c>
      <c r="R157" t="str">
        <f t="shared" si="17"/>
        <v>Achieved</v>
      </c>
    </row>
    <row r="158" spans="1:18">
      <c r="A158" t="s">
        <v>11</v>
      </c>
      <c r="B158" t="s">
        <v>12</v>
      </c>
      <c r="C158" t="s">
        <v>30</v>
      </c>
      <c r="D158" t="s">
        <v>21</v>
      </c>
      <c r="E158">
        <v>30</v>
      </c>
      <c r="F158">
        <v>1623</v>
      </c>
      <c r="G158" s="1">
        <v>21818</v>
      </c>
      <c r="H158" s="2">
        <v>45426</v>
      </c>
      <c r="I158" t="s">
        <v>16</v>
      </c>
      <c r="J158" t="s">
        <v>200</v>
      </c>
      <c r="K158" t="s">
        <v>34</v>
      </c>
      <c r="L158" t="str">
        <f t="shared" si="12"/>
        <v>May</v>
      </c>
      <c r="M158" t="str">
        <f t="shared" si="13"/>
        <v>Q2</v>
      </c>
      <c r="N158" t="str">
        <f t="shared" si="14"/>
        <v>Medium</v>
      </c>
      <c r="O158">
        <f>_xlfn.XLOOKUP(I158,Helper_Table!A:A,Helper_Table!B:B)</f>
        <v>1.1000000000000001</v>
      </c>
      <c r="P158" s="1">
        <f t="shared" si="15"/>
        <v>23999.800000000003</v>
      </c>
      <c r="Q158" s="4">
        <f t="shared" si="16"/>
        <v>0.90909090909090895</v>
      </c>
      <c r="R158" t="str">
        <f t="shared" si="17"/>
        <v>Below Target</v>
      </c>
    </row>
    <row r="159" spans="1:18">
      <c r="A159" t="s">
        <v>45</v>
      </c>
      <c r="B159" t="s">
        <v>36</v>
      </c>
      <c r="C159" t="s">
        <v>20</v>
      </c>
      <c r="D159" t="s">
        <v>26</v>
      </c>
      <c r="E159">
        <v>30</v>
      </c>
      <c r="F159">
        <v>1318</v>
      </c>
      <c r="G159" s="1">
        <v>7513</v>
      </c>
      <c r="H159" s="2">
        <v>45476</v>
      </c>
      <c r="I159" t="s">
        <v>16</v>
      </c>
      <c r="J159" t="s">
        <v>201</v>
      </c>
      <c r="K159" t="s">
        <v>47</v>
      </c>
      <c r="L159" t="str">
        <f t="shared" si="12"/>
        <v>Jul</v>
      </c>
      <c r="M159" t="str">
        <f t="shared" si="13"/>
        <v>Q3</v>
      </c>
      <c r="N159" t="str">
        <f t="shared" si="14"/>
        <v>Low</v>
      </c>
      <c r="O159">
        <f>_xlfn.XLOOKUP(I159,Helper_Table!A:A,Helper_Table!B:B)</f>
        <v>1.1000000000000001</v>
      </c>
      <c r="P159" s="1">
        <f t="shared" si="15"/>
        <v>8264.3000000000011</v>
      </c>
      <c r="Q159" s="4">
        <f t="shared" si="16"/>
        <v>0.90909090909090895</v>
      </c>
      <c r="R159" t="str">
        <f t="shared" si="17"/>
        <v>Below Target</v>
      </c>
    </row>
    <row r="160" spans="1:18">
      <c r="A160" t="s">
        <v>35</v>
      </c>
      <c r="B160" t="s">
        <v>36</v>
      </c>
      <c r="C160" t="s">
        <v>30</v>
      </c>
      <c r="D160" t="s">
        <v>14</v>
      </c>
      <c r="E160">
        <v>30</v>
      </c>
      <c r="F160">
        <v>123</v>
      </c>
      <c r="G160" s="1">
        <v>4294</v>
      </c>
      <c r="H160" s="2">
        <v>45300</v>
      </c>
      <c r="I160" t="s">
        <v>32</v>
      </c>
      <c r="J160" t="s">
        <v>202</v>
      </c>
      <c r="K160" t="s">
        <v>29</v>
      </c>
      <c r="L160" t="str">
        <f t="shared" si="12"/>
        <v>Jan</v>
      </c>
      <c r="M160" t="str">
        <f t="shared" si="13"/>
        <v>Q1</v>
      </c>
      <c r="N160" t="str">
        <f t="shared" si="14"/>
        <v>Low</v>
      </c>
      <c r="O160">
        <f>_xlfn.XLOOKUP(I160,Helper_Table!A:A,Helper_Table!B:B)</f>
        <v>0.95</v>
      </c>
      <c r="P160" s="1">
        <f t="shared" si="15"/>
        <v>4079.2999999999997</v>
      </c>
      <c r="Q160" s="4">
        <f t="shared" si="16"/>
        <v>1.0526315789473686</v>
      </c>
      <c r="R160" t="str">
        <f t="shared" si="17"/>
        <v>Achieved</v>
      </c>
    </row>
    <row r="161" spans="1:18">
      <c r="A161" t="s">
        <v>64</v>
      </c>
      <c r="B161" t="s">
        <v>49</v>
      </c>
      <c r="C161" t="s">
        <v>13</v>
      </c>
      <c r="D161" t="s">
        <v>26</v>
      </c>
      <c r="E161">
        <v>30</v>
      </c>
      <c r="F161">
        <v>1466</v>
      </c>
      <c r="G161" s="1">
        <v>24941</v>
      </c>
      <c r="H161" s="2">
        <v>45495</v>
      </c>
      <c r="I161" t="s">
        <v>27</v>
      </c>
      <c r="J161" t="s">
        <v>203</v>
      </c>
      <c r="K161" t="s">
        <v>47</v>
      </c>
      <c r="L161" t="str">
        <f t="shared" si="12"/>
        <v>Jul</v>
      </c>
      <c r="M161" t="str">
        <f t="shared" si="13"/>
        <v>Q3</v>
      </c>
      <c r="N161" t="str">
        <f t="shared" si="14"/>
        <v>Medium</v>
      </c>
      <c r="O161">
        <f>_xlfn.XLOOKUP(I161,Helper_Table!A:A,Helper_Table!B:B)</f>
        <v>0.9</v>
      </c>
      <c r="P161" s="1">
        <f t="shared" si="15"/>
        <v>22446.9</v>
      </c>
      <c r="Q161" s="4">
        <f t="shared" si="16"/>
        <v>1.1111111111111109</v>
      </c>
      <c r="R161" t="str">
        <f t="shared" si="17"/>
        <v>Achieved</v>
      </c>
    </row>
    <row r="162" spans="1:18">
      <c r="A162" t="s">
        <v>64</v>
      </c>
      <c r="B162" t="s">
        <v>51</v>
      </c>
      <c r="C162" t="s">
        <v>20</v>
      </c>
      <c r="D162" t="s">
        <v>26</v>
      </c>
      <c r="E162">
        <v>60</v>
      </c>
      <c r="F162">
        <v>390</v>
      </c>
      <c r="G162" s="1">
        <v>46339</v>
      </c>
      <c r="H162" s="2">
        <v>45148</v>
      </c>
      <c r="I162" t="s">
        <v>27</v>
      </c>
      <c r="J162" t="s">
        <v>204</v>
      </c>
      <c r="K162" t="s">
        <v>18</v>
      </c>
      <c r="L162" t="str">
        <f t="shared" si="12"/>
        <v>Aug</v>
      </c>
      <c r="M162" t="str">
        <f t="shared" si="13"/>
        <v>Q3</v>
      </c>
      <c r="N162" t="str">
        <f t="shared" si="14"/>
        <v>High</v>
      </c>
      <c r="O162">
        <f>_xlfn.XLOOKUP(I162,Helper_Table!A:A,Helper_Table!B:B)</f>
        <v>0.9</v>
      </c>
      <c r="P162" s="1">
        <f t="shared" si="15"/>
        <v>41705.1</v>
      </c>
      <c r="Q162" s="4">
        <f t="shared" si="16"/>
        <v>1.1111111111111112</v>
      </c>
      <c r="R162" t="str">
        <f t="shared" si="17"/>
        <v>Achieved</v>
      </c>
    </row>
    <row r="163" spans="1:18">
      <c r="A163" t="s">
        <v>35</v>
      </c>
      <c r="B163" t="s">
        <v>36</v>
      </c>
      <c r="C163" t="s">
        <v>59</v>
      </c>
      <c r="D163" t="s">
        <v>66</v>
      </c>
      <c r="E163" t="s">
        <v>15</v>
      </c>
      <c r="F163">
        <v>1586</v>
      </c>
      <c r="G163" s="1">
        <v>9800</v>
      </c>
      <c r="H163" s="2">
        <v>45425</v>
      </c>
      <c r="I163" t="s">
        <v>32</v>
      </c>
      <c r="J163" t="s">
        <v>205</v>
      </c>
      <c r="K163" t="s">
        <v>47</v>
      </c>
      <c r="L163" t="str">
        <f t="shared" si="12"/>
        <v>May</v>
      </c>
      <c r="M163" t="str">
        <f t="shared" si="13"/>
        <v>Q2</v>
      </c>
      <c r="N163" t="str">
        <f t="shared" si="14"/>
        <v>Low</v>
      </c>
      <c r="O163">
        <f>_xlfn.XLOOKUP(I163,Helper_Table!A:A,Helper_Table!B:B)</f>
        <v>0.95</v>
      </c>
      <c r="P163" s="1">
        <f t="shared" si="15"/>
        <v>9310</v>
      </c>
      <c r="Q163" s="4">
        <f t="shared" si="16"/>
        <v>1.0526315789473684</v>
      </c>
      <c r="R163" t="str">
        <f t="shared" si="17"/>
        <v>Achieved</v>
      </c>
    </row>
    <row r="164" spans="1:18">
      <c r="A164" t="s">
        <v>64</v>
      </c>
      <c r="B164" t="s">
        <v>49</v>
      </c>
      <c r="C164" t="s">
        <v>59</v>
      </c>
      <c r="D164" t="s">
        <v>21</v>
      </c>
      <c r="E164" t="s">
        <v>38</v>
      </c>
      <c r="F164">
        <v>739</v>
      </c>
      <c r="G164" s="1">
        <v>48204</v>
      </c>
      <c r="H164" s="2">
        <v>45328</v>
      </c>
      <c r="I164" t="s">
        <v>41</v>
      </c>
      <c r="J164" t="s">
        <v>206</v>
      </c>
      <c r="K164" t="s">
        <v>34</v>
      </c>
      <c r="L164" t="str">
        <f t="shared" si="12"/>
        <v>Feb</v>
      </c>
      <c r="M164" t="str">
        <f t="shared" si="13"/>
        <v>Q1</v>
      </c>
      <c r="N164" t="str">
        <f t="shared" si="14"/>
        <v>High</v>
      </c>
      <c r="O164">
        <f>_xlfn.XLOOKUP(I164,Helper_Table!A:A,Helper_Table!B:B)</f>
        <v>1.2</v>
      </c>
      <c r="P164" s="1">
        <f t="shared" si="15"/>
        <v>57844.799999999996</v>
      </c>
      <c r="Q164" s="4">
        <f t="shared" si="16"/>
        <v>0.83333333333333337</v>
      </c>
      <c r="R164" t="str">
        <f t="shared" si="17"/>
        <v>Below Target</v>
      </c>
    </row>
    <row r="165" spans="1:18">
      <c r="A165" t="s">
        <v>35</v>
      </c>
      <c r="B165" t="s">
        <v>49</v>
      </c>
      <c r="C165" t="s">
        <v>25</v>
      </c>
      <c r="D165" t="s">
        <v>31</v>
      </c>
      <c r="E165" t="s">
        <v>38</v>
      </c>
      <c r="F165">
        <v>1267</v>
      </c>
      <c r="G165" s="1">
        <v>19752</v>
      </c>
      <c r="H165" s="2">
        <v>45400</v>
      </c>
      <c r="I165" t="s">
        <v>39</v>
      </c>
      <c r="J165" t="s">
        <v>207</v>
      </c>
      <c r="K165" t="s">
        <v>44</v>
      </c>
      <c r="L165" t="str">
        <f t="shared" si="12"/>
        <v>Apr</v>
      </c>
      <c r="M165" t="str">
        <f t="shared" si="13"/>
        <v>Q2</v>
      </c>
      <c r="N165" t="str">
        <f t="shared" si="14"/>
        <v>Low</v>
      </c>
      <c r="O165">
        <f>_xlfn.XLOOKUP(I165,Helper_Table!A:A,Helper_Table!B:B)</f>
        <v>1.1000000000000001</v>
      </c>
      <c r="P165" s="1">
        <f t="shared" si="15"/>
        <v>21727.200000000001</v>
      </c>
      <c r="Q165" s="4">
        <f t="shared" si="16"/>
        <v>0.90909090909090906</v>
      </c>
      <c r="R165" t="str">
        <f t="shared" si="17"/>
        <v>Below Target</v>
      </c>
    </row>
    <row r="166" spans="1:18">
      <c r="A166" t="s">
        <v>35</v>
      </c>
      <c r="B166" t="s">
        <v>36</v>
      </c>
      <c r="C166" t="s">
        <v>13</v>
      </c>
      <c r="D166" t="s">
        <v>66</v>
      </c>
      <c r="E166">
        <v>30</v>
      </c>
      <c r="F166">
        <v>1834</v>
      </c>
      <c r="G166" s="1">
        <v>37074</v>
      </c>
      <c r="H166" s="2">
        <v>45485</v>
      </c>
      <c r="I166" t="s">
        <v>32</v>
      </c>
      <c r="J166" t="s">
        <v>208</v>
      </c>
      <c r="K166" t="s">
        <v>44</v>
      </c>
      <c r="L166" t="str">
        <f t="shared" si="12"/>
        <v>Jul</v>
      </c>
      <c r="M166" t="str">
        <f t="shared" si="13"/>
        <v>Q3</v>
      </c>
      <c r="N166" t="str">
        <f t="shared" si="14"/>
        <v>Medium</v>
      </c>
      <c r="O166">
        <f>_xlfn.XLOOKUP(I166,Helper_Table!A:A,Helper_Table!B:B)</f>
        <v>0.95</v>
      </c>
      <c r="P166" s="1">
        <f t="shared" si="15"/>
        <v>35220.299999999996</v>
      </c>
      <c r="Q166" s="4">
        <f t="shared" si="16"/>
        <v>1.0526315789473686</v>
      </c>
      <c r="R166" t="str">
        <f t="shared" si="17"/>
        <v>Achieved</v>
      </c>
    </row>
    <row r="167" spans="1:18">
      <c r="A167" t="s">
        <v>45</v>
      </c>
      <c r="B167" t="s">
        <v>49</v>
      </c>
      <c r="C167" t="s">
        <v>20</v>
      </c>
      <c r="D167" t="s">
        <v>66</v>
      </c>
      <c r="E167" t="s">
        <v>38</v>
      </c>
      <c r="F167">
        <v>667</v>
      </c>
      <c r="G167" s="1">
        <v>7794</v>
      </c>
      <c r="H167" s="2">
        <v>45384</v>
      </c>
      <c r="I167" t="s">
        <v>27</v>
      </c>
      <c r="J167" t="s">
        <v>209</v>
      </c>
      <c r="K167" t="s">
        <v>29</v>
      </c>
      <c r="L167" t="str">
        <f t="shared" si="12"/>
        <v>Apr</v>
      </c>
      <c r="M167" t="str">
        <f t="shared" si="13"/>
        <v>Q2</v>
      </c>
      <c r="N167" t="str">
        <f t="shared" si="14"/>
        <v>Low</v>
      </c>
      <c r="O167">
        <f>_xlfn.XLOOKUP(I167,Helper_Table!A:A,Helper_Table!B:B)</f>
        <v>0.9</v>
      </c>
      <c r="P167" s="1">
        <f t="shared" si="15"/>
        <v>7014.6</v>
      </c>
      <c r="Q167" s="4">
        <f t="shared" si="16"/>
        <v>1.1111111111111112</v>
      </c>
      <c r="R167" t="str">
        <f t="shared" si="17"/>
        <v>Achieved</v>
      </c>
    </row>
    <row r="168" spans="1:18">
      <c r="A168" t="s">
        <v>64</v>
      </c>
      <c r="B168" t="s">
        <v>51</v>
      </c>
      <c r="C168" t="s">
        <v>30</v>
      </c>
      <c r="D168" t="s">
        <v>31</v>
      </c>
      <c r="E168">
        <v>60</v>
      </c>
      <c r="F168">
        <v>1360</v>
      </c>
      <c r="G168" s="1">
        <v>33904</v>
      </c>
      <c r="H168" s="2">
        <v>45168</v>
      </c>
      <c r="I168" t="s">
        <v>27</v>
      </c>
      <c r="J168" t="s">
        <v>210</v>
      </c>
      <c r="K168" t="s">
        <v>34</v>
      </c>
      <c r="L168" t="str">
        <f t="shared" si="12"/>
        <v>Aug</v>
      </c>
      <c r="M168" t="str">
        <f t="shared" si="13"/>
        <v>Q3</v>
      </c>
      <c r="N168" t="str">
        <f t="shared" si="14"/>
        <v>Medium</v>
      </c>
      <c r="O168">
        <f>_xlfn.XLOOKUP(I168,Helper_Table!A:A,Helper_Table!B:B)</f>
        <v>0.9</v>
      </c>
      <c r="P168" s="1">
        <f t="shared" si="15"/>
        <v>30513.600000000002</v>
      </c>
      <c r="Q168" s="4">
        <f t="shared" si="16"/>
        <v>1.1111111111111109</v>
      </c>
      <c r="R168" t="str">
        <f t="shared" si="17"/>
        <v>Achieved</v>
      </c>
    </row>
    <row r="169" spans="1:18">
      <c r="A169" t="s">
        <v>24</v>
      </c>
      <c r="B169" t="s">
        <v>19</v>
      </c>
      <c r="C169" t="s">
        <v>13</v>
      </c>
      <c r="D169" t="s">
        <v>26</v>
      </c>
      <c r="E169">
        <v>60</v>
      </c>
      <c r="F169">
        <v>1124</v>
      </c>
      <c r="G169" s="1">
        <v>15758</v>
      </c>
      <c r="H169" s="2">
        <v>45231</v>
      </c>
      <c r="I169" t="s">
        <v>41</v>
      </c>
      <c r="J169" t="s">
        <v>211</v>
      </c>
      <c r="K169" t="s">
        <v>34</v>
      </c>
      <c r="L169" t="str">
        <f t="shared" si="12"/>
        <v>Nov</v>
      </c>
      <c r="M169" t="str">
        <f t="shared" si="13"/>
        <v>Q4</v>
      </c>
      <c r="N169" t="str">
        <f t="shared" si="14"/>
        <v>Low</v>
      </c>
      <c r="O169">
        <f>_xlfn.XLOOKUP(I169,Helper_Table!A:A,Helper_Table!B:B)</f>
        <v>1.2</v>
      </c>
      <c r="P169" s="1">
        <f t="shared" si="15"/>
        <v>18909.599999999999</v>
      </c>
      <c r="Q169" s="4">
        <f t="shared" si="16"/>
        <v>0.83333333333333337</v>
      </c>
      <c r="R169" t="str">
        <f t="shared" si="17"/>
        <v>Below Target</v>
      </c>
    </row>
    <row r="170" spans="1:18">
      <c r="A170" t="s">
        <v>24</v>
      </c>
      <c r="B170" t="s">
        <v>12</v>
      </c>
      <c r="C170" t="s">
        <v>13</v>
      </c>
      <c r="D170" t="s">
        <v>66</v>
      </c>
      <c r="E170">
        <v>60</v>
      </c>
      <c r="F170">
        <v>236</v>
      </c>
      <c r="G170" s="1">
        <v>46906</v>
      </c>
      <c r="H170" s="2">
        <v>45164</v>
      </c>
      <c r="I170" t="s">
        <v>39</v>
      </c>
      <c r="J170" t="s">
        <v>212</v>
      </c>
      <c r="K170" t="s">
        <v>29</v>
      </c>
      <c r="L170" t="str">
        <f t="shared" si="12"/>
        <v>Aug</v>
      </c>
      <c r="M170" t="str">
        <f t="shared" si="13"/>
        <v>Q3</v>
      </c>
      <c r="N170" t="str">
        <f t="shared" si="14"/>
        <v>High</v>
      </c>
      <c r="O170">
        <f>_xlfn.XLOOKUP(I170,Helper_Table!A:A,Helper_Table!B:B)</f>
        <v>1.1000000000000001</v>
      </c>
      <c r="P170" s="1">
        <f t="shared" si="15"/>
        <v>51596.600000000006</v>
      </c>
      <c r="Q170" s="4">
        <f t="shared" si="16"/>
        <v>0.90909090909090895</v>
      </c>
      <c r="R170" t="str">
        <f t="shared" si="17"/>
        <v>Below Target</v>
      </c>
    </row>
    <row r="171" spans="1:18">
      <c r="A171" t="s">
        <v>35</v>
      </c>
      <c r="B171" t="s">
        <v>19</v>
      </c>
      <c r="C171" t="s">
        <v>13</v>
      </c>
      <c r="D171" t="s">
        <v>26</v>
      </c>
      <c r="E171">
        <v>60</v>
      </c>
      <c r="F171">
        <v>1134</v>
      </c>
      <c r="G171" s="1">
        <v>13081</v>
      </c>
      <c r="H171" s="2">
        <v>45368</v>
      </c>
      <c r="I171" t="s">
        <v>27</v>
      </c>
      <c r="J171" t="s">
        <v>213</v>
      </c>
      <c r="K171" t="s">
        <v>18</v>
      </c>
      <c r="L171" t="str">
        <f t="shared" si="12"/>
        <v>Mar</v>
      </c>
      <c r="M171" t="str">
        <f t="shared" si="13"/>
        <v>Q1</v>
      </c>
      <c r="N171" t="str">
        <f t="shared" si="14"/>
        <v>Low</v>
      </c>
      <c r="O171">
        <f>_xlfn.XLOOKUP(I171,Helper_Table!A:A,Helper_Table!B:B)</f>
        <v>0.9</v>
      </c>
      <c r="P171" s="1">
        <f t="shared" si="15"/>
        <v>11772.9</v>
      </c>
      <c r="Q171" s="4">
        <f t="shared" si="16"/>
        <v>1.1111111111111112</v>
      </c>
      <c r="R171" t="str">
        <f t="shared" si="17"/>
        <v>Achieved</v>
      </c>
    </row>
    <row r="172" spans="1:18">
      <c r="A172" t="s">
        <v>35</v>
      </c>
      <c r="B172" t="s">
        <v>51</v>
      </c>
      <c r="C172" t="s">
        <v>30</v>
      </c>
      <c r="D172" t="s">
        <v>66</v>
      </c>
      <c r="E172" t="s">
        <v>22</v>
      </c>
      <c r="F172">
        <v>1262</v>
      </c>
      <c r="G172" s="1">
        <v>23680</v>
      </c>
      <c r="H172" s="2">
        <v>45143</v>
      </c>
      <c r="I172" t="s">
        <v>27</v>
      </c>
      <c r="J172" t="s">
        <v>214</v>
      </c>
      <c r="K172" t="s">
        <v>47</v>
      </c>
      <c r="L172" t="str">
        <f t="shared" si="12"/>
        <v>Aug</v>
      </c>
      <c r="M172" t="str">
        <f t="shared" si="13"/>
        <v>Q3</v>
      </c>
      <c r="N172" t="str">
        <f t="shared" si="14"/>
        <v>Medium</v>
      </c>
      <c r="O172">
        <f>_xlfn.XLOOKUP(I172,Helper_Table!A:A,Helper_Table!B:B)</f>
        <v>0.9</v>
      </c>
      <c r="P172" s="1">
        <f t="shared" si="15"/>
        <v>21312</v>
      </c>
      <c r="Q172" s="4">
        <f t="shared" si="16"/>
        <v>1.1111111111111112</v>
      </c>
      <c r="R172" t="str">
        <f t="shared" si="17"/>
        <v>Achieved</v>
      </c>
    </row>
    <row r="173" spans="1:18">
      <c r="A173" t="s">
        <v>11</v>
      </c>
      <c r="B173" t="s">
        <v>51</v>
      </c>
      <c r="C173" t="s">
        <v>25</v>
      </c>
      <c r="D173" t="s">
        <v>14</v>
      </c>
      <c r="E173" t="s">
        <v>38</v>
      </c>
      <c r="F173">
        <v>153</v>
      </c>
      <c r="G173" s="1">
        <v>19965</v>
      </c>
      <c r="H173" s="2">
        <v>45209</v>
      </c>
      <c r="I173" t="s">
        <v>41</v>
      </c>
      <c r="J173" t="s">
        <v>215</v>
      </c>
      <c r="K173" t="s">
        <v>34</v>
      </c>
      <c r="L173" t="str">
        <f t="shared" si="12"/>
        <v>Oct</v>
      </c>
      <c r="M173" t="str">
        <f t="shared" si="13"/>
        <v>Q4</v>
      </c>
      <c r="N173" t="str">
        <f t="shared" si="14"/>
        <v>Low</v>
      </c>
      <c r="O173">
        <f>_xlfn.XLOOKUP(I173,Helper_Table!A:A,Helper_Table!B:B)</f>
        <v>1.2</v>
      </c>
      <c r="P173" s="1">
        <f t="shared" si="15"/>
        <v>23958</v>
      </c>
      <c r="Q173" s="4">
        <f t="shared" si="16"/>
        <v>0.83333333333333337</v>
      </c>
      <c r="R173" t="str">
        <f t="shared" si="17"/>
        <v>Below Target</v>
      </c>
    </row>
    <row r="174" spans="1:18">
      <c r="A174" t="s">
        <v>45</v>
      </c>
      <c r="B174" t="s">
        <v>12</v>
      </c>
      <c r="C174" t="s">
        <v>30</v>
      </c>
      <c r="D174" t="s">
        <v>21</v>
      </c>
      <c r="E174" t="s">
        <v>15</v>
      </c>
      <c r="F174">
        <v>1159</v>
      </c>
      <c r="G174" s="1">
        <v>49694</v>
      </c>
      <c r="H174" s="2">
        <v>45411</v>
      </c>
      <c r="I174" t="s">
        <v>16</v>
      </c>
      <c r="J174" t="s">
        <v>216</v>
      </c>
      <c r="K174" t="s">
        <v>47</v>
      </c>
      <c r="L174" t="str">
        <f t="shared" si="12"/>
        <v>Apr</v>
      </c>
      <c r="M174" t="str">
        <f t="shared" si="13"/>
        <v>Q2</v>
      </c>
      <c r="N174" t="str">
        <f t="shared" si="14"/>
        <v>High</v>
      </c>
      <c r="O174">
        <f>_xlfn.XLOOKUP(I174,Helper_Table!A:A,Helper_Table!B:B)</f>
        <v>1.1000000000000001</v>
      </c>
      <c r="P174" s="1">
        <f t="shared" si="15"/>
        <v>54663.4</v>
      </c>
      <c r="Q174" s="4">
        <f t="shared" si="16"/>
        <v>0.90909090909090906</v>
      </c>
      <c r="R174" t="str">
        <f t="shared" si="17"/>
        <v>Below Target</v>
      </c>
    </row>
    <row r="175" spans="1:18">
      <c r="A175" t="s">
        <v>24</v>
      </c>
      <c r="B175" t="s">
        <v>51</v>
      </c>
      <c r="C175" t="s">
        <v>30</v>
      </c>
      <c r="D175" t="s">
        <v>21</v>
      </c>
      <c r="E175">
        <v>30</v>
      </c>
      <c r="F175">
        <v>575</v>
      </c>
      <c r="G175" s="1">
        <v>42355</v>
      </c>
      <c r="H175" s="2">
        <v>45156</v>
      </c>
      <c r="I175" t="s">
        <v>16</v>
      </c>
      <c r="J175" t="s">
        <v>217</v>
      </c>
      <c r="K175" t="s">
        <v>34</v>
      </c>
      <c r="L175" t="str">
        <f t="shared" si="12"/>
        <v>Aug</v>
      </c>
      <c r="M175" t="str">
        <f t="shared" si="13"/>
        <v>Q3</v>
      </c>
      <c r="N175" t="str">
        <f t="shared" si="14"/>
        <v>High</v>
      </c>
      <c r="O175">
        <f>_xlfn.XLOOKUP(I175,Helper_Table!A:A,Helper_Table!B:B)</f>
        <v>1.1000000000000001</v>
      </c>
      <c r="P175" s="1">
        <f t="shared" si="15"/>
        <v>46590.500000000007</v>
      </c>
      <c r="Q175" s="4">
        <f t="shared" si="16"/>
        <v>0.90909090909090895</v>
      </c>
      <c r="R175" t="str">
        <f t="shared" si="17"/>
        <v>Below Target</v>
      </c>
    </row>
    <row r="176" spans="1:18">
      <c r="A176" t="s">
        <v>45</v>
      </c>
      <c r="B176" t="s">
        <v>19</v>
      </c>
      <c r="C176" t="s">
        <v>25</v>
      </c>
      <c r="D176" t="s">
        <v>66</v>
      </c>
      <c r="E176">
        <v>60</v>
      </c>
      <c r="F176">
        <v>189</v>
      </c>
      <c r="G176" s="1">
        <v>45637</v>
      </c>
      <c r="H176" s="2">
        <v>45142</v>
      </c>
      <c r="I176" t="s">
        <v>27</v>
      </c>
      <c r="J176" t="s">
        <v>218</v>
      </c>
      <c r="K176" t="s">
        <v>34</v>
      </c>
      <c r="L176" t="str">
        <f t="shared" si="12"/>
        <v>Aug</v>
      </c>
      <c r="M176" t="str">
        <f t="shared" si="13"/>
        <v>Q3</v>
      </c>
      <c r="N176" t="str">
        <f t="shared" si="14"/>
        <v>High</v>
      </c>
      <c r="O176">
        <f>_xlfn.XLOOKUP(I176,Helper_Table!A:A,Helper_Table!B:B)</f>
        <v>0.9</v>
      </c>
      <c r="P176" s="1">
        <f t="shared" si="15"/>
        <v>41073.300000000003</v>
      </c>
      <c r="Q176" s="4">
        <f t="shared" si="16"/>
        <v>1.1111111111111109</v>
      </c>
      <c r="R176" t="str">
        <f t="shared" si="17"/>
        <v>Achieved</v>
      </c>
    </row>
    <row r="177" spans="1:18">
      <c r="A177" t="s">
        <v>24</v>
      </c>
      <c r="B177" t="s">
        <v>12</v>
      </c>
      <c r="C177" t="s">
        <v>25</v>
      </c>
      <c r="D177" t="s">
        <v>66</v>
      </c>
      <c r="E177">
        <v>60</v>
      </c>
      <c r="F177">
        <v>1132</v>
      </c>
      <c r="G177" s="1">
        <v>46407</v>
      </c>
      <c r="H177" s="2">
        <v>45303</v>
      </c>
      <c r="I177" t="s">
        <v>39</v>
      </c>
      <c r="J177" t="s">
        <v>219</v>
      </c>
      <c r="K177" t="s">
        <v>18</v>
      </c>
      <c r="L177" t="str">
        <f t="shared" si="12"/>
        <v>Jan</v>
      </c>
      <c r="M177" t="str">
        <f t="shared" si="13"/>
        <v>Q1</v>
      </c>
      <c r="N177" t="str">
        <f t="shared" si="14"/>
        <v>High</v>
      </c>
      <c r="O177">
        <f>_xlfn.XLOOKUP(I177,Helper_Table!A:A,Helper_Table!B:B)</f>
        <v>1.1000000000000001</v>
      </c>
      <c r="P177" s="1">
        <f t="shared" si="15"/>
        <v>51047.700000000004</v>
      </c>
      <c r="Q177" s="4">
        <f t="shared" si="16"/>
        <v>0.90909090909090906</v>
      </c>
      <c r="R177" t="str">
        <f t="shared" si="17"/>
        <v>Below Target</v>
      </c>
    </row>
    <row r="178" spans="1:18">
      <c r="A178" t="s">
        <v>35</v>
      </c>
      <c r="B178" t="s">
        <v>19</v>
      </c>
      <c r="C178" t="s">
        <v>30</v>
      </c>
      <c r="D178" t="s">
        <v>14</v>
      </c>
      <c r="E178" t="s">
        <v>22</v>
      </c>
      <c r="F178">
        <v>411</v>
      </c>
      <c r="G178" s="1">
        <v>37320</v>
      </c>
      <c r="H178" s="2">
        <v>45431</v>
      </c>
      <c r="I178" t="s">
        <v>41</v>
      </c>
      <c r="J178" t="s">
        <v>220</v>
      </c>
      <c r="K178" t="s">
        <v>18</v>
      </c>
      <c r="L178" t="str">
        <f t="shared" si="12"/>
        <v>May</v>
      </c>
      <c r="M178" t="str">
        <f t="shared" si="13"/>
        <v>Q2</v>
      </c>
      <c r="N178" t="str">
        <f t="shared" si="14"/>
        <v>Medium</v>
      </c>
      <c r="O178">
        <f>_xlfn.XLOOKUP(I178,Helper_Table!A:A,Helper_Table!B:B)</f>
        <v>1.2</v>
      </c>
      <c r="P178" s="1">
        <f t="shared" si="15"/>
        <v>44784</v>
      </c>
      <c r="Q178" s="4">
        <f t="shared" si="16"/>
        <v>0.83333333333333337</v>
      </c>
      <c r="R178" t="str">
        <f t="shared" si="17"/>
        <v>Below Target</v>
      </c>
    </row>
    <row r="179" spans="1:18">
      <c r="A179" t="s">
        <v>64</v>
      </c>
      <c r="B179" t="s">
        <v>51</v>
      </c>
      <c r="C179" t="s">
        <v>59</v>
      </c>
      <c r="D179" t="s">
        <v>26</v>
      </c>
      <c r="E179" t="s">
        <v>22</v>
      </c>
      <c r="F179">
        <v>165</v>
      </c>
      <c r="G179" s="1">
        <v>26575</v>
      </c>
      <c r="H179" s="2">
        <v>45273</v>
      </c>
      <c r="I179" t="s">
        <v>16</v>
      </c>
      <c r="J179" t="s">
        <v>221</v>
      </c>
      <c r="K179" t="s">
        <v>34</v>
      </c>
      <c r="L179" t="str">
        <f t="shared" si="12"/>
        <v>Dec</v>
      </c>
      <c r="M179" t="str">
        <f t="shared" si="13"/>
        <v>Q4</v>
      </c>
      <c r="N179" t="str">
        <f t="shared" si="14"/>
        <v>Medium</v>
      </c>
      <c r="O179">
        <f>_xlfn.XLOOKUP(I179,Helper_Table!A:A,Helper_Table!B:B)</f>
        <v>1.1000000000000001</v>
      </c>
      <c r="P179" s="1">
        <f t="shared" si="15"/>
        <v>29232.500000000004</v>
      </c>
      <c r="Q179" s="4">
        <f t="shared" si="16"/>
        <v>0.90909090909090895</v>
      </c>
      <c r="R179" t="str">
        <f t="shared" si="17"/>
        <v>Below Target</v>
      </c>
    </row>
    <row r="180" spans="1:18">
      <c r="A180" t="s">
        <v>45</v>
      </c>
      <c r="B180" t="s">
        <v>49</v>
      </c>
      <c r="C180" t="s">
        <v>30</v>
      </c>
      <c r="D180" t="s">
        <v>14</v>
      </c>
      <c r="E180" t="s">
        <v>22</v>
      </c>
      <c r="F180">
        <v>1178</v>
      </c>
      <c r="G180" s="1">
        <v>33005</v>
      </c>
      <c r="H180" s="2">
        <v>45184</v>
      </c>
      <c r="I180" t="s">
        <v>39</v>
      </c>
      <c r="J180" t="s">
        <v>222</v>
      </c>
      <c r="K180" t="s">
        <v>47</v>
      </c>
      <c r="L180" t="str">
        <f t="shared" si="12"/>
        <v>Sep</v>
      </c>
      <c r="M180" t="str">
        <f t="shared" si="13"/>
        <v>Q3</v>
      </c>
      <c r="N180" t="str">
        <f t="shared" si="14"/>
        <v>Medium</v>
      </c>
      <c r="O180">
        <f>_xlfn.XLOOKUP(I180,Helper_Table!A:A,Helper_Table!B:B)</f>
        <v>1.1000000000000001</v>
      </c>
      <c r="P180" s="1">
        <f t="shared" si="15"/>
        <v>36305.5</v>
      </c>
      <c r="Q180" s="4">
        <f t="shared" si="16"/>
        <v>0.90909090909090906</v>
      </c>
      <c r="R180" t="str">
        <f t="shared" si="17"/>
        <v>Below Target</v>
      </c>
    </row>
    <row r="181" spans="1:18">
      <c r="A181" t="s">
        <v>35</v>
      </c>
      <c r="B181" t="s">
        <v>49</v>
      </c>
      <c r="C181" t="s">
        <v>13</v>
      </c>
      <c r="D181" t="s">
        <v>14</v>
      </c>
      <c r="E181" t="s">
        <v>22</v>
      </c>
      <c r="F181">
        <v>526</v>
      </c>
      <c r="G181" s="1">
        <v>43392</v>
      </c>
      <c r="H181" s="2">
        <v>45301</v>
      </c>
      <c r="I181" t="s">
        <v>27</v>
      </c>
      <c r="J181" t="s">
        <v>223</v>
      </c>
      <c r="K181" t="s">
        <v>47</v>
      </c>
      <c r="L181" t="str">
        <f t="shared" si="12"/>
        <v>Jan</v>
      </c>
      <c r="M181" t="str">
        <f t="shared" si="13"/>
        <v>Q1</v>
      </c>
      <c r="N181" t="str">
        <f t="shared" si="14"/>
        <v>High</v>
      </c>
      <c r="O181">
        <f>_xlfn.XLOOKUP(I181,Helper_Table!A:A,Helper_Table!B:B)</f>
        <v>0.9</v>
      </c>
      <c r="P181" s="1">
        <f t="shared" si="15"/>
        <v>39052.800000000003</v>
      </c>
      <c r="Q181" s="4">
        <f t="shared" si="16"/>
        <v>1.1111111111111109</v>
      </c>
      <c r="R181" t="str">
        <f t="shared" si="17"/>
        <v>Achieved</v>
      </c>
    </row>
    <row r="182" spans="1:18">
      <c r="A182" t="s">
        <v>64</v>
      </c>
      <c r="B182" t="s">
        <v>49</v>
      </c>
      <c r="C182" t="s">
        <v>59</v>
      </c>
      <c r="D182" t="s">
        <v>66</v>
      </c>
      <c r="E182" t="s">
        <v>22</v>
      </c>
      <c r="F182">
        <v>1084</v>
      </c>
      <c r="G182" s="1">
        <v>34603</v>
      </c>
      <c r="H182" s="2">
        <v>45250</v>
      </c>
      <c r="I182" t="s">
        <v>16</v>
      </c>
      <c r="J182" t="s">
        <v>224</v>
      </c>
      <c r="K182" t="s">
        <v>34</v>
      </c>
      <c r="L182" t="str">
        <f t="shared" si="12"/>
        <v>Nov</v>
      </c>
      <c r="M182" t="str">
        <f t="shared" si="13"/>
        <v>Q4</v>
      </c>
      <c r="N182" t="str">
        <f t="shared" si="14"/>
        <v>Medium</v>
      </c>
      <c r="O182">
        <f>_xlfn.XLOOKUP(I182,Helper_Table!A:A,Helper_Table!B:B)</f>
        <v>1.1000000000000001</v>
      </c>
      <c r="P182" s="1">
        <f t="shared" si="15"/>
        <v>38063.300000000003</v>
      </c>
      <c r="Q182" s="4">
        <f t="shared" si="16"/>
        <v>0.90909090909090906</v>
      </c>
      <c r="R182" t="str">
        <f t="shared" si="17"/>
        <v>Below Target</v>
      </c>
    </row>
    <row r="183" spans="1:18">
      <c r="A183" t="s">
        <v>64</v>
      </c>
      <c r="B183" t="s">
        <v>49</v>
      </c>
      <c r="C183" t="s">
        <v>25</v>
      </c>
      <c r="D183" t="s">
        <v>26</v>
      </c>
      <c r="E183" t="s">
        <v>15</v>
      </c>
      <c r="F183">
        <v>574</v>
      </c>
      <c r="G183" s="1">
        <v>27787</v>
      </c>
      <c r="H183" s="2">
        <v>45195</v>
      </c>
      <c r="I183" t="s">
        <v>41</v>
      </c>
      <c r="J183" t="s">
        <v>225</v>
      </c>
      <c r="K183" t="s">
        <v>34</v>
      </c>
      <c r="L183" t="str">
        <f t="shared" si="12"/>
        <v>Sep</v>
      </c>
      <c r="M183" t="str">
        <f t="shared" si="13"/>
        <v>Q3</v>
      </c>
      <c r="N183" t="str">
        <f t="shared" si="14"/>
        <v>Medium</v>
      </c>
      <c r="O183">
        <f>_xlfn.XLOOKUP(I183,Helper_Table!A:A,Helper_Table!B:B)</f>
        <v>1.2</v>
      </c>
      <c r="P183" s="1">
        <f t="shared" si="15"/>
        <v>33344.400000000001</v>
      </c>
      <c r="Q183" s="4">
        <f t="shared" si="16"/>
        <v>0.83333333333333326</v>
      </c>
      <c r="R183" t="str">
        <f t="shared" si="17"/>
        <v>Below Target</v>
      </c>
    </row>
    <row r="184" spans="1:18">
      <c r="A184" t="s">
        <v>45</v>
      </c>
      <c r="B184" t="s">
        <v>49</v>
      </c>
      <c r="C184" t="s">
        <v>13</v>
      </c>
      <c r="D184" t="s">
        <v>14</v>
      </c>
      <c r="E184" t="s">
        <v>22</v>
      </c>
      <c r="F184">
        <v>1915</v>
      </c>
      <c r="G184" s="1">
        <v>41152</v>
      </c>
      <c r="H184" s="2">
        <v>45248</v>
      </c>
      <c r="I184" t="s">
        <v>41</v>
      </c>
      <c r="J184" t="s">
        <v>226</v>
      </c>
      <c r="K184" t="s">
        <v>44</v>
      </c>
      <c r="L184" t="str">
        <f t="shared" si="12"/>
        <v>Nov</v>
      </c>
      <c r="M184" t="str">
        <f t="shared" si="13"/>
        <v>Q4</v>
      </c>
      <c r="N184" t="str">
        <f t="shared" si="14"/>
        <v>High</v>
      </c>
      <c r="O184">
        <f>_xlfn.XLOOKUP(I184,Helper_Table!A:A,Helper_Table!B:B)</f>
        <v>1.2</v>
      </c>
      <c r="P184" s="1">
        <f t="shared" si="15"/>
        <v>49382.400000000001</v>
      </c>
      <c r="Q184" s="4">
        <f t="shared" si="16"/>
        <v>0.83333333333333326</v>
      </c>
      <c r="R184" t="str">
        <f t="shared" si="17"/>
        <v>Below Target</v>
      </c>
    </row>
    <row r="185" spans="1:18">
      <c r="A185" t="s">
        <v>24</v>
      </c>
      <c r="B185" t="s">
        <v>36</v>
      </c>
      <c r="C185" t="s">
        <v>20</v>
      </c>
      <c r="D185" t="s">
        <v>26</v>
      </c>
      <c r="E185" t="s">
        <v>22</v>
      </c>
      <c r="F185">
        <v>686</v>
      </c>
      <c r="G185" s="1">
        <v>47207</v>
      </c>
      <c r="H185" s="2">
        <v>45420</v>
      </c>
      <c r="I185" t="s">
        <v>16</v>
      </c>
      <c r="J185" t="s">
        <v>227</v>
      </c>
      <c r="K185" t="s">
        <v>29</v>
      </c>
      <c r="L185" t="str">
        <f t="shared" si="12"/>
        <v>May</v>
      </c>
      <c r="M185" t="str">
        <f t="shared" si="13"/>
        <v>Q2</v>
      </c>
      <c r="N185" t="str">
        <f t="shared" si="14"/>
        <v>High</v>
      </c>
      <c r="O185">
        <f>_xlfn.XLOOKUP(I185,Helper_Table!A:A,Helper_Table!B:B)</f>
        <v>1.1000000000000001</v>
      </c>
      <c r="P185" s="1">
        <f t="shared" si="15"/>
        <v>51927.700000000004</v>
      </c>
      <c r="Q185" s="4">
        <f t="shared" si="16"/>
        <v>0.90909090909090906</v>
      </c>
      <c r="R185" t="str">
        <f t="shared" si="17"/>
        <v>Below Target</v>
      </c>
    </row>
    <row r="186" spans="1:18">
      <c r="A186" t="s">
        <v>35</v>
      </c>
      <c r="B186" t="s">
        <v>36</v>
      </c>
      <c r="C186" t="s">
        <v>30</v>
      </c>
      <c r="D186" t="s">
        <v>14</v>
      </c>
      <c r="E186" t="s">
        <v>38</v>
      </c>
      <c r="F186">
        <v>489</v>
      </c>
      <c r="G186" s="1">
        <v>31891</v>
      </c>
      <c r="H186" s="2">
        <v>45481</v>
      </c>
      <c r="I186" t="s">
        <v>16</v>
      </c>
      <c r="J186" t="s">
        <v>228</v>
      </c>
      <c r="K186" t="s">
        <v>47</v>
      </c>
      <c r="L186" t="str">
        <f t="shared" si="12"/>
        <v>Jul</v>
      </c>
      <c r="M186" t="str">
        <f t="shared" si="13"/>
        <v>Q3</v>
      </c>
      <c r="N186" t="str">
        <f t="shared" si="14"/>
        <v>Medium</v>
      </c>
      <c r="O186">
        <f>_xlfn.XLOOKUP(I186,Helper_Table!A:A,Helper_Table!B:B)</f>
        <v>1.1000000000000001</v>
      </c>
      <c r="P186" s="1">
        <f t="shared" si="15"/>
        <v>35080.100000000006</v>
      </c>
      <c r="Q186" s="4">
        <f t="shared" si="16"/>
        <v>0.90909090909090895</v>
      </c>
      <c r="R186" t="str">
        <f t="shared" si="17"/>
        <v>Below Target</v>
      </c>
    </row>
    <row r="187" spans="1:18">
      <c r="A187" t="s">
        <v>45</v>
      </c>
      <c r="B187" t="s">
        <v>49</v>
      </c>
      <c r="C187" t="s">
        <v>59</v>
      </c>
      <c r="D187" t="s">
        <v>21</v>
      </c>
      <c r="E187">
        <v>60</v>
      </c>
      <c r="F187">
        <v>1995</v>
      </c>
      <c r="G187" s="1">
        <v>25257</v>
      </c>
      <c r="H187" s="2">
        <v>45253</v>
      </c>
      <c r="I187" t="s">
        <v>16</v>
      </c>
      <c r="J187" t="s">
        <v>229</v>
      </c>
      <c r="K187" t="s">
        <v>34</v>
      </c>
      <c r="L187" t="str">
        <f t="shared" si="12"/>
        <v>Nov</v>
      </c>
      <c r="M187" t="str">
        <f t="shared" si="13"/>
        <v>Q4</v>
      </c>
      <c r="N187" t="str">
        <f t="shared" si="14"/>
        <v>Medium</v>
      </c>
      <c r="O187">
        <f>_xlfn.XLOOKUP(I187,Helper_Table!A:A,Helper_Table!B:B)</f>
        <v>1.1000000000000001</v>
      </c>
      <c r="P187" s="1">
        <f t="shared" si="15"/>
        <v>27782.7</v>
      </c>
      <c r="Q187" s="4">
        <f t="shared" si="16"/>
        <v>0.90909090909090906</v>
      </c>
      <c r="R187" t="str">
        <f t="shared" si="17"/>
        <v>Below Target</v>
      </c>
    </row>
    <row r="188" spans="1:18">
      <c r="A188" t="s">
        <v>24</v>
      </c>
      <c r="B188" t="s">
        <v>19</v>
      </c>
      <c r="C188" t="s">
        <v>59</v>
      </c>
      <c r="D188" t="s">
        <v>21</v>
      </c>
      <c r="E188" t="s">
        <v>22</v>
      </c>
      <c r="F188">
        <v>1454</v>
      </c>
      <c r="G188" s="1">
        <v>28319</v>
      </c>
      <c r="H188" s="2">
        <v>45408</v>
      </c>
      <c r="I188" t="s">
        <v>32</v>
      </c>
      <c r="J188" t="s">
        <v>230</v>
      </c>
      <c r="K188" t="s">
        <v>18</v>
      </c>
      <c r="L188" t="str">
        <f t="shared" si="12"/>
        <v>Apr</v>
      </c>
      <c r="M188" t="str">
        <f t="shared" si="13"/>
        <v>Q2</v>
      </c>
      <c r="N188" t="str">
        <f t="shared" si="14"/>
        <v>Medium</v>
      </c>
      <c r="O188">
        <f>_xlfn.XLOOKUP(I188,Helper_Table!A:A,Helper_Table!B:B)</f>
        <v>0.95</v>
      </c>
      <c r="P188" s="1">
        <f t="shared" si="15"/>
        <v>26903.05</v>
      </c>
      <c r="Q188" s="4">
        <f t="shared" si="16"/>
        <v>1.0526315789473684</v>
      </c>
      <c r="R188" t="str">
        <f t="shared" si="17"/>
        <v>Achieved</v>
      </c>
    </row>
    <row r="189" spans="1:18">
      <c r="A189" t="s">
        <v>35</v>
      </c>
      <c r="B189" t="s">
        <v>12</v>
      </c>
      <c r="C189" t="s">
        <v>13</v>
      </c>
      <c r="D189" t="s">
        <v>31</v>
      </c>
      <c r="E189" t="s">
        <v>38</v>
      </c>
      <c r="F189">
        <v>221</v>
      </c>
      <c r="G189" s="1">
        <v>20149</v>
      </c>
      <c r="H189" s="2">
        <v>45185</v>
      </c>
      <c r="I189" t="s">
        <v>39</v>
      </c>
      <c r="J189" t="s">
        <v>231</v>
      </c>
      <c r="K189" t="s">
        <v>34</v>
      </c>
      <c r="L189" t="str">
        <f t="shared" si="12"/>
        <v>Sep</v>
      </c>
      <c r="M189" t="str">
        <f t="shared" si="13"/>
        <v>Q3</v>
      </c>
      <c r="N189" t="str">
        <f t="shared" si="14"/>
        <v>Medium</v>
      </c>
      <c r="O189">
        <f>_xlfn.XLOOKUP(I189,Helper_Table!A:A,Helper_Table!B:B)</f>
        <v>1.1000000000000001</v>
      </c>
      <c r="P189" s="1">
        <f t="shared" si="15"/>
        <v>22163.9</v>
      </c>
      <c r="Q189" s="4">
        <f t="shared" si="16"/>
        <v>0.90909090909090906</v>
      </c>
      <c r="R189" t="str">
        <f t="shared" si="17"/>
        <v>Below Target</v>
      </c>
    </row>
    <row r="190" spans="1:18">
      <c r="A190" t="s">
        <v>11</v>
      </c>
      <c r="B190" t="s">
        <v>12</v>
      </c>
      <c r="C190" t="s">
        <v>13</v>
      </c>
      <c r="D190" t="s">
        <v>14</v>
      </c>
      <c r="E190" t="s">
        <v>22</v>
      </c>
      <c r="F190">
        <v>449</v>
      </c>
      <c r="G190" s="1">
        <v>20979</v>
      </c>
      <c r="H190" s="2">
        <v>45303</v>
      </c>
      <c r="I190" t="s">
        <v>39</v>
      </c>
      <c r="J190" t="s">
        <v>232</v>
      </c>
      <c r="K190" t="s">
        <v>34</v>
      </c>
      <c r="L190" t="str">
        <f t="shared" si="12"/>
        <v>Jan</v>
      </c>
      <c r="M190" t="str">
        <f t="shared" si="13"/>
        <v>Q1</v>
      </c>
      <c r="N190" t="str">
        <f t="shared" si="14"/>
        <v>Medium</v>
      </c>
      <c r="O190">
        <f>_xlfn.XLOOKUP(I190,Helper_Table!A:A,Helper_Table!B:B)</f>
        <v>1.1000000000000001</v>
      </c>
      <c r="P190" s="1">
        <f t="shared" si="15"/>
        <v>23076.9</v>
      </c>
      <c r="Q190" s="4">
        <f t="shared" si="16"/>
        <v>0.90909090909090906</v>
      </c>
      <c r="R190" t="str">
        <f t="shared" si="17"/>
        <v>Below Target</v>
      </c>
    </row>
    <row r="191" spans="1:18">
      <c r="A191" t="s">
        <v>11</v>
      </c>
      <c r="B191" t="s">
        <v>51</v>
      </c>
      <c r="C191" t="s">
        <v>30</v>
      </c>
      <c r="D191" t="s">
        <v>21</v>
      </c>
      <c r="E191">
        <v>60</v>
      </c>
      <c r="F191">
        <v>1180</v>
      </c>
      <c r="G191" s="1">
        <v>24090</v>
      </c>
      <c r="H191" s="2">
        <v>45357</v>
      </c>
      <c r="I191" t="s">
        <v>16</v>
      </c>
      <c r="J191" t="s">
        <v>233</v>
      </c>
      <c r="K191" t="s">
        <v>47</v>
      </c>
      <c r="L191" t="str">
        <f t="shared" si="12"/>
        <v>Mar</v>
      </c>
      <c r="M191" t="str">
        <f t="shared" si="13"/>
        <v>Q1</v>
      </c>
      <c r="N191" t="str">
        <f t="shared" si="14"/>
        <v>Medium</v>
      </c>
      <c r="O191">
        <f>_xlfn.XLOOKUP(I191,Helper_Table!A:A,Helper_Table!B:B)</f>
        <v>1.1000000000000001</v>
      </c>
      <c r="P191" s="1">
        <f t="shared" si="15"/>
        <v>26499.000000000004</v>
      </c>
      <c r="Q191" s="4">
        <f t="shared" si="16"/>
        <v>0.90909090909090895</v>
      </c>
      <c r="R191" t="str">
        <f t="shared" si="17"/>
        <v>Below Target</v>
      </c>
    </row>
    <row r="192" spans="1:18">
      <c r="A192" t="s">
        <v>45</v>
      </c>
      <c r="B192" t="s">
        <v>12</v>
      </c>
      <c r="C192" t="s">
        <v>13</v>
      </c>
      <c r="D192" t="s">
        <v>26</v>
      </c>
      <c r="E192">
        <v>30</v>
      </c>
      <c r="F192">
        <v>898</v>
      </c>
      <c r="G192" s="1">
        <v>10545</v>
      </c>
      <c r="H192" s="2">
        <v>45159</v>
      </c>
      <c r="I192" t="s">
        <v>32</v>
      </c>
      <c r="J192" t="s">
        <v>234</v>
      </c>
      <c r="K192" t="s">
        <v>34</v>
      </c>
      <c r="L192" t="str">
        <f t="shared" si="12"/>
        <v>Aug</v>
      </c>
      <c r="M192" t="str">
        <f t="shared" si="13"/>
        <v>Q3</v>
      </c>
      <c r="N192" t="str">
        <f t="shared" si="14"/>
        <v>Low</v>
      </c>
      <c r="O192">
        <f>_xlfn.XLOOKUP(I192,Helper_Table!A:A,Helper_Table!B:B)</f>
        <v>0.95</v>
      </c>
      <c r="P192" s="1">
        <f t="shared" si="15"/>
        <v>10017.75</v>
      </c>
      <c r="Q192" s="4">
        <f t="shared" si="16"/>
        <v>1.0526315789473684</v>
      </c>
      <c r="R192" t="str">
        <f t="shared" si="17"/>
        <v>Achieved</v>
      </c>
    </row>
    <row r="193" spans="1:18">
      <c r="A193" t="s">
        <v>45</v>
      </c>
      <c r="B193" t="s">
        <v>12</v>
      </c>
      <c r="C193" t="s">
        <v>20</v>
      </c>
      <c r="D193" t="s">
        <v>31</v>
      </c>
      <c r="E193">
        <v>60</v>
      </c>
      <c r="F193">
        <v>967</v>
      </c>
      <c r="G193" s="1">
        <v>37020</v>
      </c>
      <c r="H193" s="2">
        <v>45422</v>
      </c>
      <c r="I193" t="s">
        <v>32</v>
      </c>
      <c r="J193" t="s">
        <v>235</v>
      </c>
      <c r="K193" t="s">
        <v>47</v>
      </c>
      <c r="L193" t="str">
        <f t="shared" si="12"/>
        <v>May</v>
      </c>
      <c r="M193" t="str">
        <f t="shared" si="13"/>
        <v>Q2</v>
      </c>
      <c r="N193" t="str">
        <f t="shared" si="14"/>
        <v>Medium</v>
      </c>
      <c r="O193">
        <f>_xlfn.XLOOKUP(I193,Helper_Table!A:A,Helper_Table!B:B)</f>
        <v>0.95</v>
      </c>
      <c r="P193" s="1">
        <f t="shared" si="15"/>
        <v>35169</v>
      </c>
      <c r="Q193" s="4">
        <f t="shared" si="16"/>
        <v>1.0526315789473684</v>
      </c>
      <c r="R193" t="str">
        <f t="shared" si="17"/>
        <v>Achieved</v>
      </c>
    </row>
    <row r="194" spans="1:18">
      <c r="A194" t="s">
        <v>45</v>
      </c>
      <c r="B194" t="s">
        <v>12</v>
      </c>
      <c r="C194" t="s">
        <v>30</v>
      </c>
      <c r="D194" t="s">
        <v>26</v>
      </c>
      <c r="E194">
        <v>60</v>
      </c>
      <c r="F194">
        <v>909</v>
      </c>
      <c r="G194" s="1">
        <v>12714</v>
      </c>
      <c r="H194" s="2">
        <v>45340</v>
      </c>
      <c r="I194" t="s">
        <v>27</v>
      </c>
      <c r="J194" t="s">
        <v>236</v>
      </c>
      <c r="K194" t="s">
        <v>44</v>
      </c>
      <c r="L194" t="str">
        <f t="shared" ref="L194:L257" si="18">TEXT(H194,"MMM")</f>
        <v>Feb</v>
      </c>
      <c r="M194" t="str">
        <f t="shared" ref="M194:M257" si="19">"Q"&amp;ROUNDUP(MONTH(H194)/3,0)</f>
        <v>Q1</v>
      </c>
      <c r="N194" t="str">
        <f t="shared" ref="N194:N257" si="20">IF(G194&gt;40000,"High",
IF(G194&gt;20000,"Medium","Low"))</f>
        <v>Low</v>
      </c>
      <c r="O194">
        <f>_xlfn.XLOOKUP(I194,Helper_Table!A:A,Helper_Table!B:B)</f>
        <v>0.9</v>
      </c>
      <c r="P194" s="1">
        <f t="shared" ref="P194:P257" si="21">G194*O194</f>
        <v>11442.6</v>
      </c>
      <c r="Q194" s="4">
        <f t="shared" ref="Q194:Q257" si="22">G194/P194</f>
        <v>1.1111111111111112</v>
      </c>
      <c r="R194" t="str">
        <f t="shared" ref="R194:R257" si="23">IF(Q194&gt;=1,"Achieved","Below Target")</f>
        <v>Achieved</v>
      </c>
    </row>
    <row r="195" spans="1:18">
      <c r="A195" t="s">
        <v>45</v>
      </c>
      <c r="B195" t="s">
        <v>51</v>
      </c>
      <c r="C195" t="s">
        <v>25</v>
      </c>
      <c r="D195" t="s">
        <v>14</v>
      </c>
      <c r="E195" t="s">
        <v>22</v>
      </c>
      <c r="F195">
        <v>654</v>
      </c>
      <c r="G195" s="1">
        <v>8859</v>
      </c>
      <c r="H195" s="2">
        <v>45261</v>
      </c>
      <c r="I195" t="s">
        <v>32</v>
      </c>
      <c r="J195" t="s">
        <v>237</v>
      </c>
      <c r="K195" t="s">
        <v>29</v>
      </c>
      <c r="L195" t="str">
        <f t="shared" si="18"/>
        <v>Dec</v>
      </c>
      <c r="M195" t="str">
        <f t="shared" si="19"/>
        <v>Q4</v>
      </c>
      <c r="N195" t="str">
        <f t="shared" si="20"/>
        <v>Low</v>
      </c>
      <c r="O195">
        <f>_xlfn.XLOOKUP(I195,Helper_Table!A:A,Helper_Table!B:B)</f>
        <v>0.95</v>
      </c>
      <c r="P195" s="1">
        <f t="shared" si="21"/>
        <v>8416.0499999999993</v>
      </c>
      <c r="Q195" s="4">
        <f t="shared" si="22"/>
        <v>1.0526315789473686</v>
      </c>
      <c r="R195" t="str">
        <f t="shared" si="23"/>
        <v>Achieved</v>
      </c>
    </row>
    <row r="196" spans="1:18">
      <c r="A196" t="s">
        <v>35</v>
      </c>
      <c r="B196" t="s">
        <v>36</v>
      </c>
      <c r="C196" t="s">
        <v>30</v>
      </c>
      <c r="D196" t="s">
        <v>21</v>
      </c>
      <c r="E196">
        <v>30</v>
      </c>
      <c r="F196">
        <v>883</v>
      </c>
      <c r="G196" s="1">
        <v>14721</v>
      </c>
      <c r="H196" s="2">
        <v>45193</v>
      </c>
      <c r="I196" t="s">
        <v>16</v>
      </c>
      <c r="J196" t="s">
        <v>238</v>
      </c>
      <c r="K196" t="s">
        <v>18</v>
      </c>
      <c r="L196" t="str">
        <f t="shared" si="18"/>
        <v>Sep</v>
      </c>
      <c r="M196" t="str">
        <f t="shared" si="19"/>
        <v>Q3</v>
      </c>
      <c r="N196" t="str">
        <f t="shared" si="20"/>
        <v>Low</v>
      </c>
      <c r="O196">
        <f>_xlfn.XLOOKUP(I196,Helper_Table!A:A,Helper_Table!B:B)</f>
        <v>1.1000000000000001</v>
      </c>
      <c r="P196" s="1">
        <f t="shared" si="21"/>
        <v>16193.100000000002</v>
      </c>
      <c r="Q196" s="4">
        <f t="shared" si="22"/>
        <v>0.90909090909090895</v>
      </c>
      <c r="R196" t="str">
        <f t="shared" si="23"/>
        <v>Below Target</v>
      </c>
    </row>
    <row r="197" spans="1:18">
      <c r="A197" t="s">
        <v>11</v>
      </c>
      <c r="B197" t="s">
        <v>12</v>
      </c>
      <c r="C197" t="s">
        <v>20</v>
      </c>
      <c r="D197" t="s">
        <v>14</v>
      </c>
      <c r="E197" t="s">
        <v>22</v>
      </c>
      <c r="F197">
        <v>565</v>
      </c>
      <c r="G197" s="1">
        <v>4821</v>
      </c>
      <c r="H197" s="2">
        <v>45321</v>
      </c>
      <c r="I197" t="s">
        <v>39</v>
      </c>
      <c r="J197" t="s">
        <v>239</v>
      </c>
      <c r="K197" t="s">
        <v>18</v>
      </c>
      <c r="L197" t="str">
        <f t="shared" si="18"/>
        <v>Jan</v>
      </c>
      <c r="M197" t="str">
        <f t="shared" si="19"/>
        <v>Q1</v>
      </c>
      <c r="N197" t="str">
        <f t="shared" si="20"/>
        <v>Low</v>
      </c>
      <c r="O197">
        <f>_xlfn.XLOOKUP(I197,Helper_Table!A:A,Helper_Table!B:B)</f>
        <v>1.1000000000000001</v>
      </c>
      <c r="P197" s="1">
        <f t="shared" si="21"/>
        <v>5303.1</v>
      </c>
      <c r="Q197" s="4">
        <f t="shared" si="22"/>
        <v>0.90909090909090906</v>
      </c>
      <c r="R197" t="str">
        <f t="shared" si="23"/>
        <v>Below Target</v>
      </c>
    </row>
    <row r="198" spans="1:18">
      <c r="A198" t="s">
        <v>11</v>
      </c>
      <c r="B198" t="s">
        <v>36</v>
      </c>
      <c r="C198" t="s">
        <v>25</v>
      </c>
      <c r="D198" t="s">
        <v>66</v>
      </c>
      <c r="E198" t="s">
        <v>15</v>
      </c>
      <c r="F198">
        <v>933</v>
      </c>
      <c r="G198" s="1">
        <v>26268</v>
      </c>
      <c r="H198" s="2">
        <v>45419</v>
      </c>
      <c r="I198" t="s">
        <v>41</v>
      </c>
      <c r="J198" t="s">
        <v>240</v>
      </c>
      <c r="K198" t="s">
        <v>29</v>
      </c>
      <c r="L198" t="str">
        <f t="shared" si="18"/>
        <v>May</v>
      </c>
      <c r="M198" t="str">
        <f t="shared" si="19"/>
        <v>Q2</v>
      </c>
      <c r="N198" t="str">
        <f t="shared" si="20"/>
        <v>Medium</v>
      </c>
      <c r="O198">
        <f>_xlfn.XLOOKUP(I198,Helper_Table!A:A,Helper_Table!B:B)</f>
        <v>1.2</v>
      </c>
      <c r="P198" s="1">
        <f t="shared" si="21"/>
        <v>31521.599999999999</v>
      </c>
      <c r="Q198" s="4">
        <f t="shared" si="22"/>
        <v>0.83333333333333337</v>
      </c>
      <c r="R198" t="str">
        <f t="shared" si="23"/>
        <v>Below Target</v>
      </c>
    </row>
    <row r="199" spans="1:18">
      <c r="A199" t="s">
        <v>35</v>
      </c>
      <c r="B199" t="s">
        <v>12</v>
      </c>
      <c r="C199" t="s">
        <v>30</v>
      </c>
      <c r="D199" t="s">
        <v>14</v>
      </c>
      <c r="E199" t="s">
        <v>38</v>
      </c>
      <c r="F199">
        <v>1793</v>
      </c>
      <c r="G199" s="1">
        <v>12451</v>
      </c>
      <c r="H199" s="2">
        <v>45467</v>
      </c>
      <c r="I199" t="s">
        <v>27</v>
      </c>
      <c r="J199" t="s">
        <v>241</v>
      </c>
      <c r="K199" t="s">
        <v>44</v>
      </c>
      <c r="L199" t="str">
        <f t="shared" si="18"/>
        <v>Jun</v>
      </c>
      <c r="M199" t="str">
        <f t="shared" si="19"/>
        <v>Q2</v>
      </c>
      <c r="N199" t="str">
        <f t="shared" si="20"/>
        <v>Low</v>
      </c>
      <c r="O199">
        <f>_xlfn.XLOOKUP(I199,Helper_Table!A:A,Helper_Table!B:B)</f>
        <v>0.9</v>
      </c>
      <c r="P199" s="1">
        <f t="shared" si="21"/>
        <v>11205.9</v>
      </c>
      <c r="Q199" s="4">
        <f t="shared" si="22"/>
        <v>1.1111111111111112</v>
      </c>
      <c r="R199" t="str">
        <f t="shared" si="23"/>
        <v>Achieved</v>
      </c>
    </row>
    <row r="200" spans="1:18">
      <c r="A200" t="s">
        <v>24</v>
      </c>
      <c r="B200" t="s">
        <v>36</v>
      </c>
      <c r="C200" t="s">
        <v>59</v>
      </c>
      <c r="D200" t="s">
        <v>21</v>
      </c>
      <c r="E200" t="s">
        <v>22</v>
      </c>
      <c r="F200">
        <v>697</v>
      </c>
      <c r="G200" s="1">
        <v>19171</v>
      </c>
      <c r="H200" s="2">
        <v>45347</v>
      </c>
      <c r="I200" t="s">
        <v>32</v>
      </c>
      <c r="J200" t="s">
        <v>242</v>
      </c>
      <c r="K200" t="s">
        <v>34</v>
      </c>
      <c r="L200" t="str">
        <f t="shared" si="18"/>
        <v>Feb</v>
      </c>
      <c r="M200" t="str">
        <f t="shared" si="19"/>
        <v>Q1</v>
      </c>
      <c r="N200" t="str">
        <f t="shared" si="20"/>
        <v>Low</v>
      </c>
      <c r="O200">
        <f>_xlfn.XLOOKUP(I200,Helper_Table!A:A,Helper_Table!B:B)</f>
        <v>0.95</v>
      </c>
      <c r="P200" s="1">
        <f t="shared" si="21"/>
        <v>18212.45</v>
      </c>
      <c r="Q200" s="4">
        <f t="shared" si="22"/>
        <v>1.0526315789473684</v>
      </c>
      <c r="R200" t="str">
        <f t="shared" si="23"/>
        <v>Achieved</v>
      </c>
    </row>
    <row r="201" spans="1:18">
      <c r="A201" t="s">
        <v>64</v>
      </c>
      <c r="B201" t="s">
        <v>36</v>
      </c>
      <c r="C201" t="s">
        <v>20</v>
      </c>
      <c r="D201" t="s">
        <v>66</v>
      </c>
      <c r="E201">
        <v>30</v>
      </c>
      <c r="F201">
        <v>379</v>
      </c>
      <c r="G201" s="1">
        <v>45953</v>
      </c>
      <c r="H201" s="2">
        <v>45231</v>
      </c>
      <c r="I201" t="s">
        <v>32</v>
      </c>
      <c r="J201" t="s">
        <v>243</v>
      </c>
      <c r="K201" t="s">
        <v>47</v>
      </c>
      <c r="L201" t="str">
        <f t="shared" si="18"/>
        <v>Nov</v>
      </c>
      <c r="M201" t="str">
        <f t="shared" si="19"/>
        <v>Q4</v>
      </c>
      <c r="N201" t="str">
        <f t="shared" si="20"/>
        <v>High</v>
      </c>
      <c r="O201">
        <f>_xlfn.XLOOKUP(I201,Helper_Table!A:A,Helper_Table!B:B)</f>
        <v>0.95</v>
      </c>
      <c r="P201" s="1">
        <f t="shared" si="21"/>
        <v>43655.35</v>
      </c>
      <c r="Q201" s="4">
        <f t="shared" si="22"/>
        <v>1.0526315789473684</v>
      </c>
      <c r="R201" t="str">
        <f t="shared" si="23"/>
        <v>Achieved</v>
      </c>
    </row>
    <row r="202" spans="1:18">
      <c r="A202" t="s">
        <v>64</v>
      </c>
      <c r="B202" t="s">
        <v>49</v>
      </c>
      <c r="C202" t="s">
        <v>30</v>
      </c>
      <c r="D202" t="s">
        <v>31</v>
      </c>
      <c r="E202">
        <v>60</v>
      </c>
      <c r="F202">
        <v>1640</v>
      </c>
      <c r="G202" s="1">
        <v>18487</v>
      </c>
      <c r="H202" s="2">
        <v>45204</v>
      </c>
      <c r="I202" t="s">
        <v>16</v>
      </c>
      <c r="J202" t="s">
        <v>244</v>
      </c>
      <c r="K202" t="s">
        <v>18</v>
      </c>
      <c r="L202" t="str">
        <f t="shared" si="18"/>
        <v>Oct</v>
      </c>
      <c r="M202" t="str">
        <f t="shared" si="19"/>
        <v>Q4</v>
      </c>
      <c r="N202" t="str">
        <f t="shared" si="20"/>
        <v>Low</v>
      </c>
      <c r="O202">
        <f>_xlfn.XLOOKUP(I202,Helper_Table!A:A,Helper_Table!B:B)</f>
        <v>1.1000000000000001</v>
      </c>
      <c r="P202" s="1">
        <f t="shared" si="21"/>
        <v>20335.7</v>
      </c>
      <c r="Q202" s="4">
        <f t="shared" si="22"/>
        <v>0.90909090909090906</v>
      </c>
      <c r="R202" t="str">
        <f t="shared" si="23"/>
        <v>Below Target</v>
      </c>
    </row>
    <row r="203" spans="1:18">
      <c r="A203" t="s">
        <v>35</v>
      </c>
      <c r="B203" t="s">
        <v>19</v>
      </c>
      <c r="C203" t="s">
        <v>59</v>
      </c>
      <c r="D203" t="s">
        <v>21</v>
      </c>
      <c r="E203" t="s">
        <v>38</v>
      </c>
      <c r="F203">
        <v>244</v>
      </c>
      <c r="G203" s="1">
        <v>29056</v>
      </c>
      <c r="H203" s="2">
        <v>45298</v>
      </c>
      <c r="I203" t="s">
        <v>32</v>
      </c>
      <c r="J203" t="s">
        <v>245</v>
      </c>
      <c r="K203" t="s">
        <v>47</v>
      </c>
      <c r="L203" t="str">
        <f t="shared" si="18"/>
        <v>Jan</v>
      </c>
      <c r="M203" t="str">
        <f t="shared" si="19"/>
        <v>Q1</v>
      </c>
      <c r="N203" t="str">
        <f t="shared" si="20"/>
        <v>Medium</v>
      </c>
      <c r="O203">
        <f>_xlfn.XLOOKUP(I203,Helper_Table!A:A,Helper_Table!B:B)</f>
        <v>0.95</v>
      </c>
      <c r="P203" s="1">
        <f t="shared" si="21"/>
        <v>27603.199999999997</v>
      </c>
      <c r="Q203" s="4">
        <f t="shared" si="22"/>
        <v>1.0526315789473686</v>
      </c>
      <c r="R203" t="str">
        <f t="shared" si="23"/>
        <v>Achieved</v>
      </c>
    </row>
    <row r="204" spans="1:18">
      <c r="A204" t="s">
        <v>35</v>
      </c>
      <c r="B204" t="s">
        <v>51</v>
      </c>
      <c r="C204" t="s">
        <v>13</v>
      </c>
      <c r="D204" t="s">
        <v>31</v>
      </c>
      <c r="E204">
        <v>60</v>
      </c>
      <c r="F204">
        <v>482</v>
      </c>
      <c r="G204" s="1">
        <v>4566</v>
      </c>
      <c r="H204" s="2">
        <v>45199</v>
      </c>
      <c r="I204" t="s">
        <v>32</v>
      </c>
      <c r="J204" t="s">
        <v>246</v>
      </c>
      <c r="K204" t="s">
        <v>44</v>
      </c>
      <c r="L204" t="str">
        <f t="shared" si="18"/>
        <v>Sep</v>
      </c>
      <c r="M204" t="str">
        <f t="shared" si="19"/>
        <v>Q3</v>
      </c>
      <c r="N204" t="str">
        <f t="shared" si="20"/>
        <v>Low</v>
      </c>
      <c r="O204">
        <f>_xlfn.XLOOKUP(I204,Helper_Table!A:A,Helper_Table!B:B)</f>
        <v>0.95</v>
      </c>
      <c r="P204" s="1">
        <f t="shared" si="21"/>
        <v>4337.7</v>
      </c>
      <c r="Q204" s="4">
        <f t="shared" si="22"/>
        <v>1.0526315789473684</v>
      </c>
      <c r="R204" t="str">
        <f t="shared" si="23"/>
        <v>Achieved</v>
      </c>
    </row>
    <row r="205" spans="1:18">
      <c r="A205" t="s">
        <v>11</v>
      </c>
      <c r="B205" t="s">
        <v>49</v>
      </c>
      <c r="C205" t="s">
        <v>30</v>
      </c>
      <c r="D205" t="s">
        <v>21</v>
      </c>
      <c r="E205">
        <v>60</v>
      </c>
      <c r="F205">
        <v>982</v>
      </c>
      <c r="G205" s="1">
        <v>5040</v>
      </c>
      <c r="H205" s="2">
        <v>45290</v>
      </c>
      <c r="I205" t="s">
        <v>32</v>
      </c>
      <c r="J205" t="s">
        <v>247</v>
      </c>
      <c r="K205" t="s">
        <v>29</v>
      </c>
      <c r="L205" t="str">
        <f t="shared" si="18"/>
        <v>Dec</v>
      </c>
      <c r="M205" t="str">
        <f t="shared" si="19"/>
        <v>Q4</v>
      </c>
      <c r="N205" t="str">
        <f t="shared" si="20"/>
        <v>Low</v>
      </c>
      <c r="O205">
        <f>_xlfn.XLOOKUP(I205,Helper_Table!A:A,Helper_Table!B:B)</f>
        <v>0.95</v>
      </c>
      <c r="P205" s="1">
        <f t="shared" si="21"/>
        <v>4788</v>
      </c>
      <c r="Q205" s="4">
        <f t="shared" si="22"/>
        <v>1.0526315789473684</v>
      </c>
      <c r="R205" t="str">
        <f t="shared" si="23"/>
        <v>Achieved</v>
      </c>
    </row>
    <row r="206" spans="1:18">
      <c r="A206" t="s">
        <v>64</v>
      </c>
      <c r="B206" t="s">
        <v>19</v>
      </c>
      <c r="C206" t="s">
        <v>13</v>
      </c>
      <c r="D206" t="s">
        <v>14</v>
      </c>
      <c r="E206" t="s">
        <v>22</v>
      </c>
      <c r="F206">
        <v>401</v>
      </c>
      <c r="G206" s="1">
        <v>33003</v>
      </c>
      <c r="H206" s="2">
        <v>45240</v>
      </c>
      <c r="I206" t="s">
        <v>32</v>
      </c>
      <c r="J206" t="s">
        <v>248</v>
      </c>
      <c r="K206" t="s">
        <v>29</v>
      </c>
      <c r="L206" t="str">
        <f t="shared" si="18"/>
        <v>Nov</v>
      </c>
      <c r="M206" t="str">
        <f t="shared" si="19"/>
        <v>Q4</v>
      </c>
      <c r="N206" t="str">
        <f t="shared" si="20"/>
        <v>Medium</v>
      </c>
      <c r="O206">
        <f>_xlfn.XLOOKUP(I206,Helper_Table!A:A,Helper_Table!B:B)</f>
        <v>0.95</v>
      </c>
      <c r="P206" s="1">
        <f t="shared" si="21"/>
        <v>31352.85</v>
      </c>
      <c r="Q206" s="4">
        <f t="shared" si="22"/>
        <v>1.0526315789473684</v>
      </c>
      <c r="R206" t="str">
        <f t="shared" si="23"/>
        <v>Achieved</v>
      </c>
    </row>
    <row r="207" spans="1:18">
      <c r="A207" t="s">
        <v>35</v>
      </c>
      <c r="B207" t="s">
        <v>19</v>
      </c>
      <c r="C207" t="s">
        <v>25</v>
      </c>
      <c r="D207" t="s">
        <v>14</v>
      </c>
      <c r="E207">
        <v>60</v>
      </c>
      <c r="F207">
        <v>1315</v>
      </c>
      <c r="G207" s="1">
        <v>13838</v>
      </c>
      <c r="H207" s="2">
        <v>45329</v>
      </c>
      <c r="I207" t="s">
        <v>16</v>
      </c>
      <c r="J207" t="s">
        <v>249</v>
      </c>
      <c r="K207" t="s">
        <v>18</v>
      </c>
      <c r="L207" t="str">
        <f t="shared" si="18"/>
        <v>Feb</v>
      </c>
      <c r="M207" t="str">
        <f t="shared" si="19"/>
        <v>Q1</v>
      </c>
      <c r="N207" t="str">
        <f t="shared" si="20"/>
        <v>Low</v>
      </c>
      <c r="O207">
        <f>_xlfn.XLOOKUP(I207,Helper_Table!A:A,Helper_Table!B:B)</f>
        <v>1.1000000000000001</v>
      </c>
      <c r="P207" s="1">
        <f t="shared" si="21"/>
        <v>15221.800000000001</v>
      </c>
      <c r="Q207" s="4">
        <f t="shared" si="22"/>
        <v>0.90909090909090906</v>
      </c>
      <c r="R207" t="str">
        <f t="shared" si="23"/>
        <v>Below Target</v>
      </c>
    </row>
    <row r="208" spans="1:18">
      <c r="A208" t="s">
        <v>11</v>
      </c>
      <c r="B208" t="s">
        <v>12</v>
      </c>
      <c r="C208" t="s">
        <v>25</v>
      </c>
      <c r="D208" t="s">
        <v>21</v>
      </c>
      <c r="E208" t="s">
        <v>38</v>
      </c>
      <c r="F208">
        <v>1986</v>
      </c>
      <c r="G208" s="1">
        <v>21856</v>
      </c>
      <c r="H208" s="2">
        <v>45306</v>
      </c>
      <c r="I208" t="s">
        <v>16</v>
      </c>
      <c r="J208" t="s">
        <v>250</v>
      </c>
      <c r="K208" t="s">
        <v>34</v>
      </c>
      <c r="L208" t="str">
        <f t="shared" si="18"/>
        <v>Jan</v>
      </c>
      <c r="M208" t="str">
        <f t="shared" si="19"/>
        <v>Q1</v>
      </c>
      <c r="N208" t="str">
        <f t="shared" si="20"/>
        <v>Medium</v>
      </c>
      <c r="O208">
        <f>_xlfn.XLOOKUP(I208,Helper_Table!A:A,Helper_Table!B:B)</f>
        <v>1.1000000000000001</v>
      </c>
      <c r="P208" s="1">
        <f t="shared" si="21"/>
        <v>24041.600000000002</v>
      </c>
      <c r="Q208" s="4">
        <f t="shared" si="22"/>
        <v>0.90909090909090906</v>
      </c>
      <c r="R208" t="str">
        <f t="shared" si="23"/>
        <v>Below Target</v>
      </c>
    </row>
    <row r="209" spans="1:18">
      <c r="A209" t="s">
        <v>45</v>
      </c>
      <c r="B209" t="s">
        <v>12</v>
      </c>
      <c r="C209" t="s">
        <v>20</v>
      </c>
      <c r="D209" t="s">
        <v>31</v>
      </c>
      <c r="E209" t="s">
        <v>22</v>
      </c>
      <c r="F209">
        <v>626</v>
      </c>
      <c r="G209" s="1">
        <v>41156</v>
      </c>
      <c r="H209" s="2">
        <v>45253</v>
      </c>
      <c r="I209" t="s">
        <v>41</v>
      </c>
      <c r="J209" t="s">
        <v>251</v>
      </c>
      <c r="K209" t="s">
        <v>34</v>
      </c>
      <c r="L209" t="str">
        <f t="shared" si="18"/>
        <v>Nov</v>
      </c>
      <c r="M209" t="str">
        <f t="shared" si="19"/>
        <v>Q4</v>
      </c>
      <c r="N209" t="str">
        <f t="shared" si="20"/>
        <v>High</v>
      </c>
      <c r="O209">
        <f>_xlfn.XLOOKUP(I209,Helper_Table!A:A,Helper_Table!B:B)</f>
        <v>1.2</v>
      </c>
      <c r="P209" s="1">
        <f t="shared" si="21"/>
        <v>49387.199999999997</v>
      </c>
      <c r="Q209" s="4">
        <f t="shared" si="22"/>
        <v>0.83333333333333337</v>
      </c>
      <c r="R209" t="str">
        <f t="shared" si="23"/>
        <v>Below Target</v>
      </c>
    </row>
    <row r="210" spans="1:18">
      <c r="A210" t="s">
        <v>64</v>
      </c>
      <c r="B210" t="s">
        <v>36</v>
      </c>
      <c r="C210" t="s">
        <v>13</v>
      </c>
      <c r="D210" t="s">
        <v>26</v>
      </c>
      <c r="E210">
        <v>30</v>
      </c>
      <c r="F210">
        <v>817</v>
      </c>
      <c r="G210" s="1">
        <v>41978</v>
      </c>
      <c r="H210" s="2">
        <v>45223</v>
      </c>
      <c r="I210" t="s">
        <v>39</v>
      </c>
      <c r="J210" t="s">
        <v>252</v>
      </c>
      <c r="K210" t="s">
        <v>18</v>
      </c>
      <c r="L210" t="str">
        <f t="shared" si="18"/>
        <v>Oct</v>
      </c>
      <c r="M210" t="str">
        <f t="shared" si="19"/>
        <v>Q4</v>
      </c>
      <c r="N210" t="str">
        <f t="shared" si="20"/>
        <v>High</v>
      </c>
      <c r="O210">
        <f>_xlfn.XLOOKUP(I210,Helper_Table!A:A,Helper_Table!B:B)</f>
        <v>1.1000000000000001</v>
      </c>
      <c r="P210" s="1">
        <f t="shared" si="21"/>
        <v>46175.8</v>
      </c>
      <c r="Q210" s="4">
        <f t="shared" si="22"/>
        <v>0.90909090909090906</v>
      </c>
      <c r="R210" t="str">
        <f t="shared" si="23"/>
        <v>Below Target</v>
      </c>
    </row>
    <row r="211" spans="1:18">
      <c r="A211" t="s">
        <v>45</v>
      </c>
      <c r="B211" t="s">
        <v>12</v>
      </c>
      <c r="C211" t="s">
        <v>59</v>
      </c>
      <c r="D211" t="s">
        <v>26</v>
      </c>
      <c r="E211" t="s">
        <v>38</v>
      </c>
      <c r="F211">
        <v>1540</v>
      </c>
      <c r="G211" s="1">
        <v>46616</v>
      </c>
      <c r="H211" s="2">
        <v>45424</v>
      </c>
      <c r="I211" t="s">
        <v>39</v>
      </c>
      <c r="J211" t="s">
        <v>253</v>
      </c>
      <c r="K211" t="s">
        <v>18</v>
      </c>
      <c r="L211" t="str">
        <f t="shared" si="18"/>
        <v>May</v>
      </c>
      <c r="M211" t="str">
        <f t="shared" si="19"/>
        <v>Q2</v>
      </c>
      <c r="N211" t="str">
        <f t="shared" si="20"/>
        <v>High</v>
      </c>
      <c r="O211">
        <f>_xlfn.XLOOKUP(I211,Helper_Table!A:A,Helper_Table!B:B)</f>
        <v>1.1000000000000001</v>
      </c>
      <c r="P211" s="1">
        <f t="shared" si="21"/>
        <v>51277.600000000006</v>
      </c>
      <c r="Q211" s="4">
        <f t="shared" si="22"/>
        <v>0.90909090909090895</v>
      </c>
      <c r="R211" t="str">
        <f t="shared" si="23"/>
        <v>Below Target</v>
      </c>
    </row>
    <row r="212" spans="1:18">
      <c r="A212" t="s">
        <v>11</v>
      </c>
      <c r="B212" t="s">
        <v>49</v>
      </c>
      <c r="C212" t="s">
        <v>20</v>
      </c>
      <c r="D212" t="s">
        <v>26</v>
      </c>
      <c r="E212">
        <v>60</v>
      </c>
      <c r="F212">
        <v>1352</v>
      </c>
      <c r="G212" s="1">
        <v>9133</v>
      </c>
      <c r="H212" s="2">
        <v>45302</v>
      </c>
      <c r="I212" t="s">
        <v>27</v>
      </c>
      <c r="J212" t="s">
        <v>254</v>
      </c>
      <c r="K212" t="s">
        <v>47</v>
      </c>
      <c r="L212" t="str">
        <f t="shared" si="18"/>
        <v>Jan</v>
      </c>
      <c r="M212" t="str">
        <f t="shared" si="19"/>
        <v>Q1</v>
      </c>
      <c r="N212" t="str">
        <f t="shared" si="20"/>
        <v>Low</v>
      </c>
      <c r="O212">
        <f>_xlfn.XLOOKUP(I212,Helper_Table!A:A,Helper_Table!B:B)</f>
        <v>0.9</v>
      </c>
      <c r="P212" s="1">
        <f t="shared" si="21"/>
        <v>8219.7000000000007</v>
      </c>
      <c r="Q212" s="4">
        <f t="shared" si="22"/>
        <v>1.1111111111111109</v>
      </c>
      <c r="R212" t="str">
        <f t="shared" si="23"/>
        <v>Achieved</v>
      </c>
    </row>
    <row r="213" spans="1:18">
      <c r="A213" t="s">
        <v>35</v>
      </c>
      <c r="B213" t="s">
        <v>19</v>
      </c>
      <c r="C213" t="s">
        <v>30</v>
      </c>
      <c r="D213" t="s">
        <v>14</v>
      </c>
      <c r="E213" t="s">
        <v>38</v>
      </c>
      <c r="F213">
        <v>428</v>
      </c>
      <c r="G213" s="1">
        <v>26054</v>
      </c>
      <c r="H213" s="2">
        <v>45179</v>
      </c>
      <c r="I213" t="s">
        <v>32</v>
      </c>
      <c r="J213" t="s">
        <v>255</v>
      </c>
      <c r="K213" t="s">
        <v>34</v>
      </c>
      <c r="L213" t="str">
        <f t="shared" si="18"/>
        <v>Sep</v>
      </c>
      <c r="M213" t="str">
        <f t="shared" si="19"/>
        <v>Q3</v>
      </c>
      <c r="N213" t="str">
        <f t="shared" si="20"/>
        <v>Medium</v>
      </c>
      <c r="O213">
        <f>_xlfn.XLOOKUP(I213,Helper_Table!A:A,Helper_Table!B:B)</f>
        <v>0.95</v>
      </c>
      <c r="P213" s="1">
        <f t="shared" si="21"/>
        <v>24751.3</v>
      </c>
      <c r="Q213" s="4">
        <f t="shared" si="22"/>
        <v>1.0526315789473684</v>
      </c>
      <c r="R213" t="str">
        <f t="shared" si="23"/>
        <v>Achieved</v>
      </c>
    </row>
    <row r="214" spans="1:18">
      <c r="A214" t="s">
        <v>64</v>
      </c>
      <c r="B214" t="s">
        <v>51</v>
      </c>
      <c r="C214" t="s">
        <v>30</v>
      </c>
      <c r="D214" t="s">
        <v>66</v>
      </c>
      <c r="E214">
        <v>60</v>
      </c>
      <c r="F214">
        <v>1934</v>
      </c>
      <c r="G214" s="1">
        <v>41356</v>
      </c>
      <c r="H214" s="2">
        <v>45403</v>
      </c>
      <c r="I214" t="s">
        <v>16</v>
      </c>
      <c r="J214" t="s">
        <v>256</v>
      </c>
      <c r="K214" t="s">
        <v>29</v>
      </c>
      <c r="L214" t="str">
        <f t="shared" si="18"/>
        <v>Apr</v>
      </c>
      <c r="M214" t="str">
        <f t="shared" si="19"/>
        <v>Q2</v>
      </c>
      <c r="N214" t="str">
        <f t="shared" si="20"/>
        <v>High</v>
      </c>
      <c r="O214">
        <f>_xlfn.XLOOKUP(I214,Helper_Table!A:A,Helper_Table!B:B)</f>
        <v>1.1000000000000001</v>
      </c>
      <c r="P214" s="1">
        <f t="shared" si="21"/>
        <v>45491.600000000006</v>
      </c>
      <c r="Q214" s="4">
        <f t="shared" si="22"/>
        <v>0.90909090909090895</v>
      </c>
      <c r="R214" t="str">
        <f t="shared" si="23"/>
        <v>Below Target</v>
      </c>
    </row>
    <row r="215" spans="1:18">
      <c r="A215" t="s">
        <v>35</v>
      </c>
      <c r="B215" t="s">
        <v>51</v>
      </c>
      <c r="C215" t="s">
        <v>25</v>
      </c>
      <c r="D215" t="s">
        <v>31</v>
      </c>
      <c r="E215" t="s">
        <v>15</v>
      </c>
      <c r="F215">
        <v>1826</v>
      </c>
      <c r="G215" s="1">
        <v>2719</v>
      </c>
      <c r="H215" s="2">
        <v>45297</v>
      </c>
      <c r="I215" t="s">
        <v>16</v>
      </c>
      <c r="J215" t="s">
        <v>257</v>
      </c>
      <c r="K215" t="s">
        <v>47</v>
      </c>
      <c r="L215" t="str">
        <f t="shared" si="18"/>
        <v>Jan</v>
      </c>
      <c r="M215" t="str">
        <f t="shared" si="19"/>
        <v>Q1</v>
      </c>
      <c r="N215" t="str">
        <f t="shared" si="20"/>
        <v>Low</v>
      </c>
      <c r="O215">
        <f>_xlfn.XLOOKUP(I215,Helper_Table!A:A,Helper_Table!B:B)</f>
        <v>1.1000000000000001</v>
      </c>
      <c r="P215" s="1">
        <f t="shared" si="21"/>
        <v>2990.9</v>
      </c>
      <c r="Q215" s="4">
        <f t="shared" si="22"/>
        <v>0.90909090909090906</v>
      </c>
      <c r="R215" t="str">
        <f t="shared" si="23"/>
        <v>Below Target</v>
      </c>
    </row>
    <row r="216" spans="1:18">
      <c r="A216" t="s">
        <v>24</v>
      </c>
      <c r="B216" t="s">
        <v>51</v>
      </c>
      <c r="C216" t="s">
        <v>13</v>
      </c>
      <c r="D216" t="s">
        <v>26</v>
      </c>
      <c r="E216" t="s">
        <v>38</v>
      </c>
      <c r="F216">
        <v>594</v>
      </c>
      <c r="G216" s="1">
        <v>11887</v>
      </c>
      <c r="H216" s="2">
        <v>45166</v>
      </c>
      <c r="I216" t="s">
        <v>27</v>
      </c>
      <c r="J216" t="s">
        <v>258</v>
      </c>
      <c r="K216" t="s">
        <v>44</v>
      </c>
      <c r="L216" t="str">
        <f t="shared" si="18"/>
        <v>Aug</v>
      </c>
      <c r="M216" t="str">
        <f t="shared" si="19"/>
        <v>Q3</v>
      </c>
      <c r="N216" t="str">
        <f t="shared" si="20"/>
        <v>Low</v>
      </c>
      <c r="O216">
        <f>_xlfn.XLOOKUP(I216,Helper_Table!A:A,Helper_Table!B:B)</f>
        <v>0.9</v>
      </c>
      <c r="P216" s="1">
        <f t="shared" si="21"/>
        <v>10698.300000000001</v>
      </c>
      <c r="Q216" s="4">
        <f t="shared" si="22"/>
        <v>1.1111111111111109</v>
      </c>
      <c r="R216" t="str">
        <f t="shared" si="23"/>
        <v>Achieved</v>
      </c>
    </row>
    <row r="217" spans="1:18">
      <c r="A217" t="s">
        <v>64</v>
      </c>
      <c r="B217" t="s">
        <v>12</v>
      </c>
      <c r="C217" t="s">
        <v>30</v>
      </c>
      <c r="D217" t="s">
        <v>66</v>
      </c>
      <c r="E217" t="s">
        <v>15</v>
      </c>
      <c r="F217">
        <v>105</v>
      </c>
      <c r="G217" s="1">
        <v>36153</v>
      </c>
      <c r="H217" s="2">
        <v>45499</v>
      </c>
      <c r="I217" t="s">
        <v>39</v>
      </c>
      <c r="J217" t="s">
        <v>259</v>
      </c>
      <c r="K217" t="s">
        <v>34</v>
      </c>
      <c r="L217" t="str">
        <f t="shared" si="18"/>
        <v>Jul</v>
      </c>
      <c r="M217" t="str">
        <f t="shared" si="19"/>
        <v>Q3</v>
      </c>
      <c r="N217" t="str">
        <f t="shared" si="20"/>
        <v>Medium</v>
      </c>
      <c r="O217">
        <f>_xlfn.XLOOKUP(I217,Helper_Table!A:A,Helper_Table!B:B)</f>
        <v>1.1000000000000001</v>
      </c>
      <c r="P217" s="1">
        <f t="shared" si="21"/>
        <v>39768.300000000003</v>
      </c>
      <c r="Q217" s="4">
        <f t="shared" si="22"/>
        <v>0.90909090909090906</v>
      </c>
      <c r="R217" t="str">
        <f t="shared" si="23"/>
        <v>Below Target</v>
      </c>
    </row>
    <row r="218" spans="1:18">
      <c r="A218" t="s">
        <v>35</v>
      </c>
      <c r="B218" t="s">
        <v>12</v>
      </c>
      <c r="C218" t="s">
        <v>13</v>
      </c>
      <c r="D218" t="s">
        <v>66</v>
      </c>
      <c r="E218" t="s">
        <v>15</v>
      </c>
      <c r="F218">
        <v>1169</v>
      </c>
      <c r="G218" s="1">
        <v>21685</v>
      </c>
      <c r="H218" s="2">
        <v>45252</v>
      </c>
      <c r="I218" t="s">
        <v>16</v>
      </c>
      <c r="J218" t="s">
        <v>260</v>
      </c>
      <c r="K218" t="s">
        <v>18</v>
      </c>
      <c r="L218" t="str">
        <f t="shared" si="18"/>
        <v>Nov</v>
      </c>
      <c r="M218" t="str">
        <f t="shared" si="19"/>
        <v>Q4</v>
      </c>
      <c r="N218" t="str">
        <f t="shared" si="20"/>
        <v>Medium</v>
      </c>
      <c r="O218">
        <f>_xlfn.XLOOKUP(I218,Helper_Table!A:A,Helper_Table!B:B)</f>
        <v>1.1000000000000001</v>
      </c>
      <c r="P218" s="1">
        <f t="shared" si="21"/>
        <v>23853.500000000004</v>
      </c>
      <c r="Q218" s="4">
        <f t="shared" si="22"/>
        <v>0.90909090909090895</v>
      </c>
      <c r="R218" t="str">
        <f t="shared" si="23"/>
        <v>Below Target</v>
      </c>
    </row>
    <row r="219" spans="1:18">
      <c r="A219" t="s">
        <v>45</v>
      </c>
      <c r="B219" t="s">
        <v>51</v>
      </c>
      <c r="C219" t="s">
        <v>13</v>
      </c>
      <c r="D219" t="s">
        <v>21</v>
      </c>
      <c r="E219">
        <v>30</v>
      </c>
      <c r="F219">
        <v>1463</v>
      </c>
      <c r="G219" s="1">
        <v>49601</v>
      </c>
      <c r="H219" s="2">
        <v>45200</v>
      </c>
      <c r="I219" t="s">
        <v>27</v>
      </c>
      <c r="J219" t="s">
        <v>261</v>
      </c>
      <c r="K219" t="s">
        <v>47</v>
      </c>
      <c r="L219" t="str">
        <f t="shared" si="18"/>
        <v>Oct</v>
      </c>
      <c r="M219" t="str">
        <f t="shared" si="19"/>
        <v>Q4</v>
      </c>
      <c r="N219" t="str">
        <f t="shared" si="20"/>
        <v>High</v>
      </c>
      <c r="O219">
        <f>_xlfn.XLOOKUP(I219,Helper_Table!A:A,Helper_Table!B:B)</f>
        <v>0.9</v>
      </c>
      <c r="P219" s="1">
        <f t="shared" si="21"/>
        <v>44640.9</v>
      </c>
      <c r="Q219" s="4">
        <f t="shared" si="22"/>
        <v>1.1111111111111112</v>
      </c>
      <c r="R219" t="str">
        <f t="shared" si="23"/>
        <v>Achieved</v>
      </c>
    </row>
    <row r="220" spans="1:18">
      <c r="A220" t="s">
        <v>35</v>
      </c>
      <c r="B220" t="s">
        <v>12</v>
      </c>
      <c r="C220" t="s">
        <v>13</v>
      </c>
      <c r="D220" t="s">
        <v>66</v>
      </c>
      <c r="E220" t="s">
        <v>15</v>
      </c>
      <c r="F220">
        <v>1091</v>
      </c>
      <c r="G220" s="1">
        <v>15021</v>
      </c>
      <c r="H220" s="2">
        <v>45458</v>
      </c>
      <c r="I220" t="s">
        <v>41</v>
      </c>
      <c r="J220" t="s">
        <v>262</v>
      </c>
      <c r="K220" t="s">
        <v>29</v>
      </c>
      <c r="L220" t="str">
        <f t="shared" si="18"/>
        <v>Jun</v>
      </c>
      <c r="M220" t="str">
        <f t="shared" si="19"/>
        <v>Q2</v>
      </c>
      <c r="N220" t="str">
        <f t="shared" si="20"/>
        <v>Low</v>
      </c>
      <c r="O220">
        <f>_xlfn.XLOOKUP(I220,Helper_Table!A:A,Helper_Table!B:B)</f>
        <v>1.2</v>
      </c>
      <c r="P220" s="1">
        <f t="shared" si="21"/>
        <v>18025.2</v>
      </c>
      <c r="Q220" s="4">
        <f t="shared" si="22"/>
        <v>0.83333333333333326</v>
      </c>
      <c r="R220" t="str">
        <f t="shared" si="23"/>
        <v>Below Target</v>
      </c>
    </row>
    <row r="221" spans="1:18">
      <c r="A221" t="s">
        <v>35</v>
      </c>
      <c r="B221" t="s">
        <v>51</v>
      </c>
      <c r="C221" t="s">
        <v>30</v>
      </c>
      <c r="D221" t="s">
        <v>26</v>
      </c>
      <c r="E221" t="s">
        <v>38</v>
      </c>
      <c r="F221">
        <v>230</v>
      </c>
      <c r="G221" s="1">
        <v>15353</v>
      </c>
      <c r="H221" s="2">
        <v>45414</v>
      </c>
      <c r="I221" t="s">
        <v>32</v>
      </c>
      <c r="J221" t="s">
        <v>263</v>
      </c>
      <c r="K221" t="s">
        <v>47</v>
      </c>
      <c r="L221" t="str">
        <f t="shared" si="18"/>
        <v>May</v>
      </c>
      <c r="M221" t="str">
        <f t="shared" si="19"/>
        <v>Q2</v>
      </c>
      <c r="N221" t="str">
        <f t="shared" si="20"/>
        <v>Low</v>
      </c>
      <c r="O221">
        <f>_xlfn.XLOOKUP(I221,Helper_Table!A:A,Helper_Table!B:B)</f>
        <v>0.95</v>
      </c>
      <c r="P221" s="1">
        <f t="shared" si="21"/>
        <v>14585.349999999999</v>
      </c>
      <c r="Q221" s="4">
        <f t="shared" si="22"/>
        <v>1.0526315789473686</v>
      </c>
      <c r="R221" t="str">
        <f t="shared" si="23"/>
        <v>Achieved</v>
      </c>
    </row>
    <row r="222" spans="1:18">
      <c r="A222" t="s">
        <v>24</v>
      </c>
      <c r="B222" t="s">
        <v>19</v>
      </c>
      <c r="C222" t="s">
        <v>20</v>
      </c>
      <c r="D222" t="s">
        <v>21</v>
      </c>
      <c r="E222">
        <v>30</v>
      </c>
      <c r="F222">
        <v>1603</v>
      </c>
      <c r="G222" s="1">
        <v>46470</v>
      </c>
      <c r="H222" s="2">
        <v>45274</v>
      </c>
      <c r="I222" t="s">
        <v>27</v>
      </c>
      <c r="J222" t="s">
        <v>264</v>
      </c>
      <c r="K222" t="s">
        <v>47</v>
      </c>
      <c r="L222" t="str">
        <f t="shared" si="18"/>
        <v>Dec</v>
      </c>
      <c r="M222" t="str">
        <f t="shared" si="19"/>
        <v>Q4</v>
      </c>
      <c r="N222" t="str">
        <f t="shared" si="20"/>
        <v>High</v>
      </c>
      <c r="O222">
        <f>_xlfn.XLOOKUP(I222,Helper_Table!A:A,Helper_Table!B:B)</f>
        <v>0.9</v>
      </c>
      <c r="P222" s="1">
        <f t="shared" si="21"/>
        <v>41823</v>
      </c>
      <c r="Q222" s="4">
        <f t="shared" si="22"/>
        <v>1.1111111111111112</v>
      </c>
      <c r="R222" t="str">
        <f t="shared" si="23"/>
        <v>Achieved</v>
      </c>
    </row>
    <row r="223" spans="1:18">
      <c r="A223" t="s">
        <v>35</v>
      </c>
      <c r="B223" t="s">
        <v>49</v>
      </c>
      <c r="C223" t="s">
        <v>25</v>
      </c>
      <c r="D223" t="s">
        <v>14</v>
      </c>
      <c r="E223">
        <v>60</v>
      </c>
      <c r="F223">
        <v>522</v>
      </c>
      <c r="G223" s="1">
        <v>32783</v>
      </c>
      <c r="H223" s="2">
        <v>45500</v>
      </c>
      <c r="I223" t="s">
        <v>27</v>
      </c>
      <c r="J223" t="s">
        <v>265</v>
      </c>
      <c r="K223" t="s">
        <v>47</v>
      </c>
      <c r="L223" t="str">
        <f t="shared" si="18"/>
        <v>Jul</v>
      </c>
      <c r="M223" t="str">
        <f t="shared" si="19"/>
        <v>Q3</v>
      </c>
      <c r="N223" t="str">
        <f t="shared" si="20"/>
        <v>Medium</v>
      </c>
      <c r="O223">
        <f>_xlfn.XLOOKUP(I223,Helper_Table!A:A,Helper_Table!B:B)</f>
        <v>0.9</v>
      </c>
      <c r="P223" s="1">
        <f t="shared" si="21"/>
        <v>29504.7</v>
      </c>
      <c r="Q223" s="4">
        <f t="shared" si="22"/>
        <v>1.1111111111111112</v>
      </c>
      <c r="R223" t="str">
        <f t="shared" si="23"/>
        <v>Achieved</v>
      </c>
    </row>
    <row r="224" spans="1:18">
      <c r="A224" t="s">
        <v>45</v>
      </c>
      <c r="B224" t="s">
        <v>12</v>
      </c>
      <c r="C224" t="s">
        <v>20</v>
      </c>
      <c r="D224" t="s">
        <v>26</v>
      </c>
      <c r="E224" t="s">
        <v>22</v>
      </c>
      <c r="F224">
        <v>302</v>
      </c>
      <c r="G224" s="1">
        <v>9722</v>
      </c>
      <c r="H224" s="2">
        <v>45362</v>
      </c>
      <c r="I224" t="s">
        <v>39</v>
      </c>
      <c r="J224" t="s">
        <v>266</v>
      </c>
      <c r="K224" t="s">
        <v>44</v>
      </c>
      <c r="L224" t="str">
        <f t="shared" si="18"/>
        <v>Mar</v>
      </c>
      <c r="M224" t="str">
        <f t="shared" si="19"/>
        <v>Q1</v>
      </c>
      <c r="N224" t="str">
        <f t="shared" si="20"/>
        <v>Low</v>
      </c>
      <c r="O224">
        <f>_xlfn.XLOOKUP(I224,Helper_Table!A:A,Helper_Table!B:B)</f>
        <v>1.1000000000000001</v>
      </c>
      <c r="P224" s="1">
        <f t="shared" si="21"/>
        <v>10694.2</v>
      </c>
      <c r="Q224" s="4">
        <f t="shared" si="22"/>
        <v>0.90909090909090906</v>
      </c>
      <c r="R224" t="str">
        <f t="shared" si="23"/>
        <v>Below Target</v>
      </c>
    </row>
    <row r="225" spans="1:18">
      <c r="A225" t="s">
        <v>24</v>
      </c>
      <c r="B225" t="s">
        <v>36</v>
      </c>
      <c r="C225" t="s">
        <v>13</v>
      </c>
      <c r="D225" t="s">
        <v>66</v>
      </c>
      <c r="E225" t="s">
        <v>38</v>
      </c>
      <c r="F225">
        <v>664</v>
      </c>
      <c r="G225" s="1">
        <v>32835</v>
      </c>
      <c r="H225" s="2">
        <v>45276</v>
      </c>
      <c r="I225" t="s">
        <v>41</v>
      </c>
      <c r="J225" t="s">
        <v>267</v>
      </c>
      <c r="K225" t="s">
        <v>34</v>
      </c>
      <c r="L225" t="str">
        <f t="shared" si="18"/>
        <v>Dec</v>
      </c>
      <c r="M225" t="str">
        <f t="shared" si="19"/>
        <v>Q4</v>
      </c>
      <c r="N225" t="str">
        <f t="shared" si="20"/>
        <v>Medium</v>
      </c>
      <c r="O225">
        <f>_xlfn.XLOOKUP(I225,Helper_Table!A:A,Helper_Table!B:B)</f>
        <v>1.2</v>
      </c>
      <c r="P225" s="1">
        <f t="shared" si="21"/>
        <v>39402</v>
      </c>
      <c r="Q225" s="4">
        <f t="shared" si="22"/>
        <v>0.83333333333333337</v>
      </c>
      <c r="R225" t="str">
        <f t="shared" si="23"/>
        <v>Below Target</v>
      </c>
    </row>
    <row r="226" spans="1:18">
      <c r="A226" t="s">
        <v>11</v>
      </c>
      <c r="B226" t="s">
        <v>36</v>
      </c>
      <c r="C226" t="s">
        <v>13</v>
      </c>
      <c r="D226" t="s">
        <v>21</v>
      </c>
      <c r="E226">
        <v>60</v>
      </c>
      <c r="F226">
        <v>1701</v>
      </c>
      <c r="G226" s="1">
        <v>36720</v>
      </c>
      <c r="H226" s="2">
        <v>45308</v>
      </c>
      <c r="I226" t="s">
        <v>32</v>
      </c>
      <c r="J226" t="s">
        <v>268</v>
      </c>
      <c r="K226" t="s">
        <v>47</v>
      </c>
      <c r="L226" t="str">
        <f t="shared" si="18"/>
        <v>Jan</v>
      </c>
      <c r="M226" t="str">
        <f t="shared" si="19"/>
        <v>Q1</v>
      </c>
      <c r="N226" t="str">
        <f t="shared" si="20"/>
        <v>Medium</v>
      </c>
      <c r="O226">
        <f>_xlfn.XLOOKUP(I226,Helper_Table!A:A,Helper_Table!B:B)</f>
        <v>0.95</v>
      </c>
      <c r="P226" s="1">
        <f t="shared" si="21"/>
        <v>34884</v>
      </c>
      <c r="Q226" s="4">
        <f t="shared" si="22"/>
        <v>1.0526315789473684</v>
      </c>
      <c r="R226" t="str">
        <f t="shared" si="23"/>
        <v>Achieved</v>
      </c>
    </row>
    <row r="227" spans="1:18">
      <c r="A227" t="s">
        <v>11</v>
      </c>
      <c r="B227" t="s">
        <v>12</v>
      </c>
      <c r="C227" t="s">
        <v>25</v>
      </c>
      <c r="D227" t="s">
        <v>21</v>
      </c>
      <c r="E227">
        <v>30</v>
      </c>
      <c r="F227">
        <v>1048</v>
      </c>
      <c r="G227" s="1">
        <v>1486</v>
      </c>
      <c r="H227" s="2">
        <v>45285</v>
      </c>
      <c r="I227" t="s">
        <v>27</v>
      </c>
      <c r="J227" t="s">
        <v>269</v>
      </c>
      <c r="K227" t="s">
        <v>47</v>
      </c>
      <c r="L227" t="str">
        <f t="shared" si="18"/>
        <v>Dec</v>
      </c>
      <c r="M227" t="str">
        <f t="shared" si="19"/>
        <v>Q4</v>
      </c>
      <c r="N227" t="str">
        <f t="shared" si="20"/>
        <v>Low</v>
      </c>
      <c r="O227">
        <f>_xlfn.XLOOKUP(I227,Helper_Table!A:A,Helper_Table!B:B)</f>
        <v>0.9</v>
      </c>
      <c r="P227" s="1">
        <f t="shared" si="21"/>
        <v>1337.4</v>
      </c>
      <c r="Q227" s="4">
        <f t="shared" si="22"/>
        <v>1.1111111111111109</v>
      </c>
      <c r="R227" t="str">
        <f t="shared" si="23"/>
        <v>Achieved</v>
      </c>
    </row>
    <row r="228" spans="1:18">
      <c r="A228" t="s">
        <v>64</v>
      </c>
      <c r="B228" t="s">
        <v>49</v>
      </c>
      <c r="C228" t="s">
        <v>13</v>
      </c>
      <c r="D228" t="s">
        <v>66</v>
      </c>
      <c r="E228" t="s">
        <v>38</v>
      </c>
      <c r="F228">
        <v>1570</v>
      </c>
      <c r="G228" s="1">
        <v>17354</v>
      </c>
      <c r="H228" s="2">
        <v>45147</v>
      </c>
      <c r="I228" t="s">
        <v>27</v>
      </c>
      <c r="J228" t="s">
        <v>270</v>
      </c>
      <c r="K228" t="s">
        <v>29</v>
      </c>
      <c r="L228" t="str">
        <f t="shared" si="18"/>
        <v>Aug</v>
      </c>
      <c r="M228" t="str">
        <f t="shared" si="19"/>
        <v>Q3</v>
      </c>
      <c r="N228" t="str">
        <f t="shared" si="20"/>
        <v>Low</v>
      </c>
      <c r="O228">
        <f>_xlfn.XLOOKUP(I228,Helper_Table!A:A,Helper_Table!B:B)</f>
        <v>0.9</v>
      </c>
      <c r="P228" s="1">
        <f t="shared" si="21"/>
        <v>15618.6</v>
      </c>
      <c r="Q228" s="4">
        <f t="shared" si="22"/>
        <v>1.1111111111111112</v>
      </c>
      <c r="R228" t="str">
        <f t="shared" si="23"/>
        <v>Achieved</v>
      </c>
    </row>
    <row r="229" spans="1:18">
      <c r="A229" t="s">
        <v>64</v>
      </c>
      <c r="B229" t="s">
        <v>19</v>
      </c>
      <c r="C229" t="s">
        <v>13</v>
      </c>
      <c r="D229" t="s">
        <v>21</v>
      </c>
      <c r="E229">
        <v>30</v>
      </c>
      <c r="F229">
        <v>109</v>
      </c>
      <c r="G229" s="1">
        <v>17302</v>
      </c>
      <c r="H229" s="2">
        <v>45137</v>
      </c>
      <c r="I229" t="s">
        <v>27</v>
      </c>
      <c r="J229" t="s">
        <v>271</v>
      </c>
      <c r="K229" t="s">
        <v>47</v>
      </c>
      <c r="L229" t="str">
        <f t="shared" si="18"/>
        <v>Jul</v>
      </c>
      <c r="M229" t="str">
        <f t="shared" si="19"/>
        <v>Q3</v>
      </c>
      <c r="N229" t="str">
        <f t="shared" si="20"/>
        <v>Low</v>
      </c>
      <c r="O229">
        <f>_xlfn.XLOOKUP(I229,Helper_Table!A:A,Helper_Table!B:B)</f>
        <v>0.9</v>
      </c>
      <c r="P229" s="1">
        <f t="shared" si="21"/>
        <v>15571.800000000001</v>
      </c>
      <c r="Q229" s="4">
        <f t="shared" si="22"/>
        <v>1.1111111111111109</v>
      </c>
      <c r="R229" t="str">
        <f t="shared" si="23"/>
        <v>Achieved</v>
      </c>
    </row>
    <row r="230" spans="1:18">
      <c r="A230" t="s">
        <v>64</v>
      </c>
      <c r="B230" t="s">
        <v>51</v>
      </c>
      <c r="C230" t="s">
        <v>25</v>
      </c>
      <c r="D230" t="s">
        <v>14</v>
      </c>
      <c r="E230" t="s">
        <v>38</v>
      </c>
      <c r="F230">
        <v>141</v>
      </c>
      <c r="G230" s="1">
        <v>19153</v>
      </c>
      <c r="H230" s="2">
        <v>45227</v>
      </c>
      <c r="I230" t="s">
        <v>39</v>
      </c>
      <c r="J230" t="s">
        <v>272</v>
      </c>
      <c r="K230" t="s">
        <v>47</v>
      </c>
      <c r="L230" t="str">
        <f t="shared" si="18"/>
        <v>Oct</v>
      </c>
      <c r="M230" t="str">
        <f t="shared" si="19"/>
        <v>Q4</v>
      </c>
      <c r="N230" t="str">
        <f t="shared" si="20"/>
        <v>Low</v>
      </c>
      <c r="O230">
        <f>_xlfn.XLOOKUP(I230,Helper_Table!A:A,Helper_Table!B:B)</f>
        <v>1.1000000000000001</v>
      </c>
      <c r="P230" s="1">
        <f t="shared" si="21"/>
        <v>21068.300000000003</v>
      </c>
      <c r="Q230" s="4">
        <f t="shared" si="22"/>
        <v>0.90909090909090895</v>
      </c>
      <c r="R230" t="str">
        <f t="shared" si="23"/>
        <v>Below Target</v>
      </c>
    </row>
    <row r="231" spans="1:18">
      <c r="A231" t="s">
        <v>11</v>
      </c>
      <c r="B231" t="s">
        <v>19</v>
      </c>
      <c r="C231" t="s">
        <v>20</v>
      </c>
      <c r="D231" t="s">
        <v>31</v>
      </c>
      <c r="E231">
        <v>60</v>
      </c>
      <c r="F231">
        <v>1239</v>
      </c>
      <c r="G231" s="1">
        <v>36616</v>
      </c>
      <c r="H231" s="2">
        <v>45297</v>
      </c>
      <c r="I231" t="s">
        <v>27</v>
      </c>
      <c r="J231" t="s">
        <v>273</v>
      </c>
      <c r="K231" t="s">
        <v>18</v>
      </c>
      <c r="L231" t="str">
        <f t="shared" si="18"/>
        <v>Jan</v>
      </c>
      <c r="M231" t="str">
        <f t="shared" si="19"/>
        <v>Q1</v>
      </c>
      <c r="N231" t="str">
        <f t="shared" si="20"/>
        <v>Medium</v>
      </c>
      <c r="O231">
        <f>_xlfn.XLOOKUP(I231,Helper_Table!A:A,Helper_Table!B:B)</f>
        <v>0.9</v>
      </c>
      <c r="P231" s="1">
        <f t="shared" si="21"/>
        <v>32954.400000000001</v>
      </c>
      <c r="Q231" s="4">
        <f t="shared" si="22"/>
        <v>1.1111111111111112</v>
      </c>
      <c r="R231" t="str">
        <f t="shared" si="23"/>
        <v>Achieved</v>
      </c>
    </row>
    <row r="232" spans="1:18">
      <c r="A232" t="s">
        <v>64</v>
      </c>
      <c r="B232" t="s">
        <v>19</v>
      </c>
      <c r="C232" t="s">
        <v>13</v>
      </c>
      <c r="D232" t="s">
        <v>26</v>
      </c>
      <c r="E232">
        <v>60</v>
      </c>
      <c r="F232">
        <v>1499</v>
      </c>
      <c r="G232" s="1">
        <v>4766</v>
      </c>
      <c r="H232" s="2">
        <v>45456</v>
      </c>
      <c r="I232" t="s">
        <v>27</v>
      </c>
      <c r="J232" t="s">
        <v>274</v>
      </c>
      <c r="K232" t="s">
        <v>44</v>
      </c>
      <c r="L232" t="str">
        <f t="shared" si="18"/>
        <v>Jun</v>
      </c>
      <c r="M232" t="str">
        <f t="shared" si="19"/>
        <v>Q2</v>
      </c>
      <c r="N232" t="str">
        <f t="shared" si="20"/>
        <v>Low</v>
      </c>
      <c r="O232">
        <f>_xlfn.XLOOKUP(I232,Helper_Table!A:A,Helper_Table!B:B)</f>
        <v>0.9</v>
      </c>
      <c r="P232" s="1">
        <f t="shared" si="21"/>
        <v>4289.4000000000005</v>
      </c>
      <c r="Q232" s="4">
        <f t="shared" si="22"/>
        <v>1.1111111111111109</v>
      </c>
      <c r="R232" t="str">
        <f t="shared" si="23"/>
        <v>Achieved</v>
      </c>
    </row>
    <row r="233" spans="1:18">
      <c r="A233" t="s">
        <v>64</v>
      </c>
      <c r="B233" t="s">
        <v>19</v>
      </c>
      <c r="C233" t="s">
        <v>13</v>
      </c>
      <c r="D233" t="s">
        <v>31</v>
      </c>
      <c r="E233">
        <v>60</v>
      </c>
      <c r="F233">
        <v>1869</v>
      </c>
      <c r="G233" s="1">
        <v>25748</v>
      </c>
      <c r="H233" s="2">
        <v>45235</v>
      </c>
      <c r="I233" t="s">
        <v>16</v>
      </c>
      <c r="J233" t="s">
        <v>275</v>
      </c>
      <c r="K233" t="s">
        <v>44</v>
      </c>
      <c r="L233" t="str">
        <f t="shared" si="18"/>
        <v>Nov</v>
      </c>
      <c r="M233" t="str">
        <f t="shared" si="19"/>
        <v>Q4</v>
      </c>
      <c r="N233" t="str">
        <f t="shared" si="20"/>
        <v>Medium</v>
      </c>
      <c r="O233">
        <f>_xlfn.XLOOKUP(I233,Helper_Table!A:A,Helper_Table!B:B)</f>
        <v>1.1000000000000001</v>
      </c>
      <c r="P233" s="1">
        <f t="shared" si="21"/>
        <v>28322.800000000003</v>
      </c>
      <c r="Q233" s="4">
        <f t="shared" si="22"/>
        <v>0.90909090909090895</v>
      </c>
      <c r="R233" t="str">
        <f t="shared" si="23"/>
        <v>Below Target</v>
      </c>
    </row>
    <row r="234" spans="1:18">
      <c r="A234" t="s">
        <v>35</v>
      </c>
      <c r="B234" t="s">
        <v>12</v>
      </c>
      <c r="C234" t="s">
        <v>59</v>
      </c>
      <c r="D234" t="s">
        <v>14</v>
      </c>
      <c r="E234">
        <v>30</v>
      </c>
      <c r="F234">
        <v>1355</v>
      </c>
      <c r="G234" s="1">
        <v>27880</v>
      </c>
      <c r="H234" s="2">
        <v>45358</v>
      </c>
      <c r="I234" t="s">
        <v>16</v>
      </c>
      <c r="J234" t="s">
        <v>276</v>
      </c>
      <c r="K234" t="s">
        <v>18</v>
      </c>
      <c r="L234" t="str">
        <f t="shared" si="18"/>
        <v>Mar</v>
      </c>
      <c r="M234" t="str">
        <f t="shared" si="19"/>
        <v>Q1</v>
      </c>
      <c r="N234" t="str">
        <f t="shared" si="20"/>
        <v>Medium</v>
      </c>
      <c r="O234">
        <f>_xlfn.XLOOKUP(I234,Helper_Table!A:A,Helper_Table!B:B)</f>
        <v>1.1000000000000001</v>
      </c>
      <c r="P234" s="1">
        <f t="shared" si="21"/>
        <v>30668.000000000004</v>
      </c>
      <c r="Q234" s="4">
        <f t="shared" si="22"/>
        <v>0.90909090909090895</v>
      </c>
      <c r="R234" t="str">
        <f t="shared" si="23"/>
        <v>Below Target</v>
      </c>
    </row>
    <row r="235" spans="1:18">
      <c r="A235" t="s">
        <v>35</v>
      </c>
      <c r="B235" t="s">
        <v>36</v>
      </c>
      <c r="C235" t="s">
        <v>25</v>
      </c>
      <c r="D235" t="s">
        <v>14</v>
      </c>
      <c r="E235">
        <v>30</v>
      </c>
      <c r="F235">
        <v>1173</v>
      </c>
      <c r="G235" s="1">
        <v>8649</v>
      </c>
      <c r="H235" s="2">
        <v>45300</v>
      </c>
      <c r="I235" t="s">
        <v>16</v>
      </c>
      <c r="J235" t="s">
        <v>277</v>
      </c>
      <c r="K235" t="s">
        <v>44</v>
      </c>
      <c r="L235" t="str">
        <f t="shared" si="18"/>
        <v>Jan</v>
      </c>
      <c r="M235" t="str">
        <f t="shared" si="19"/>
        <v>Q1</v>
      </c>
      <c r="N235" t="str">
        <f t="shared" si="20"/>
        <v>Low</v>
      </c>
      <c r="O235">
        <f>_xlfn.XLOOKUP(I235,Helper_Table!A:A,Helper_Table!B:B)</f>
        <v>1.1000000000000001</v>
      </c>
      <c r="P235" s="1">
        <f t="shared" si="21"/>
        <v>9513.9000000000015</v>
      </c>
      <c r="Q235" s="4">
        <f t="shared" si="22"/>
        <v>0.90909090909090895</v>
      </c>
      <c r="R235" t="str">
        <f t="shared" si="23"/>
        <v>Below Target</v>
      </c>
    </row>
    <row r="236" spans="1:18">
      <c r="A236" t="s">
        <v>64</v>
      </c>
      <c r="B236" t="s">
        <v>51</v>
      </c>
      <c r="C236" t="s">
        <v>59</v>
      </c>
      <c r="D236" t="s">
        <v>31</v>
      </c>
      <c r="E236">
        <v>60</v>
      </c>
      <c r="F236">
        <v>828</v>
      </c>
      <c r="G236" s="1">
        <v>30214</v>
      </c>
      <c r="H236" s="2">
        <v>45468</v>
      </c>
      <c r="I236" t="s">
        <v>41</v>
      </c>
      <c r="J236" t="s">
        <v>278</v>
      </c>
      <c r="K236" t="s">
        <v>34</v>
      </c>
      <c r="L236" t="str">
        <f t="shared" si="18"/>
        <v>Jun</v>
      </c>
      <c r="M236" t="str">
        <f t="shared" si="19"/>
        <v>Q2</v>
      </c>
      <c r="N236" t="str">
        <f t="shared" si="20"/>
        <v>Medium</v>
      </c>
      <c r="O236">
        <f>_xlfn.XLOOKUP(I236,Helper_Table!A:A,Helper_Table!B:B)</f>
        <v>1.2</v>
      </c>
      <c r="P236" s="1">
        <f t="shared" si="21"/>
        <v>36256.799999999996</v>
      </c>
      <c r="Q236" s="4">
        <f t="shared" si="22"/>
        <v>0.83333333333333348</v>
      </c>
      <c r="R236" t="str">
        <f t="shared" si="23"/>
        <v>Below Target</v>
      </c>
    </row>
    <row r="237" spans="1:18">
      <c r="A237" t="s">
        <v>35</v>
      </c>
      <c r="B237" t="s">
        <v>12</v>
      </c>
      <c r="C237" t="s">
        <v>59</v>
      </c>
      <c r="D237" t="s">
        <v>14</v>
      </c>
      <c r="E237">
        <v>30</v>
      </c>
      <c r="F237">
        <v>453</v>
      </c>
      <c r="G237" s="1">
        <v>10749</v>
      </c>
      <c r="H237" s="2">
        <v>45255</v>
      </c>
      <c r="I237" t="s">
        <v>39</v>
      </c>
      <c r="J237" t="s">
        <v>279</v>
      </c>
      <c r="K237" t="s">
        <v>47</v>
      </c>
      <c r="L237" t="str">
        <f t="shared" si="18"/>
        <v>Nov</v>
      </c>
      <c r="M237" t="str">
        <f t="shared" si="19"/>
        <v>Q4</v>
      </c>
      <c r="N237" t="str">
        <f t="shared" si="20"/>
        <v>Low</v>
      </c>
      <c r="O237">
        <f>_xlfn.XLOOKUP(I237,Helper_Table!A:A,Helper_Table!B:B)</f>
        <v>1.1000000000000001</v>
      </c>
      <c r="P237" s="1">
        <f t="shared" si="21"/>
        <v>11823.900000000001</v>
      </c>
      <c r="Q237" s="4">
        <f t="shared" si="22"/>
        <v>0.90909090909090895</v>
      </c>
      <c r="R237" t="str">
        <f t="shared" si="23"/>
        <v>Below Target</v>
      </c>
    </row>
    <row r="238" spans="1:18">
      <c r="A238" t="s">
        <v>35</v>
      </c>
      <c r="B238" t="s">
        <v>49</v>
      </c>
      <c r="C238" t="s">
        <v>30</v>
      </c>
      <c r="D238" t="s">
        <v>66</v>
      </c>
      <c r="E238" t="s">
        <v>15</v>
      </c>
      <c r="F238">
        <v>132</v>
      </c>
      <c r="G238" s="1">
        <v>17487</v>
      </c>
      <c r="H238" s="2">
        <v>45288</v>
      </c>
      <c r="I238" t="s">
        <v>32</v>
      </c>
      <c r="J238" t="s">
        <v>280</v>
      </c>
      <c r="K238" t="s">
        <v>47</v>
      </c>
      <c r="L238" t="str">
        <f t="shared" si="18"/>
        <v>Dec</v>
      </c>
      <c r="M238" t="str">
        <f t="shared" si="19"/>
        <v>Q4</v>
      </c>
      <c r="N238" t="str">
        <f t="shared" si="20"/>
        <v>Low</v>
      </c>
      <c r="O238">
        <f>_xlfn.XLOOKUP(I238,Helper_Table!A:A,Helper_Table!B:B)</f>
        <v>0.95</v>
      </c>
      <c r="P238" s="1">
        <f t="shared" si="21"/>
        <v>16612.649999999998</v>
      </c>
      <c r="Q238" s="4">
        <f t="shared" si="22"/>
        <v>1.0526315789473686</v>
      </c>
      <c r="R238" t="str">
        <f t="shared" si="23"/>
        <v>Achieved</v>
      </c>
    </row>
    <row r="239" spans="1:18">
      <c r="A239" t="s">
        <v>45</v>
      </c>
      <c r="B239" t="s">
        <v>12</v>
      </c>
      <c r="C239" t="s">
        <v>20</v>
      </c>
      <c r="D239" t="s">
        <v>14</v>
      </c>
      <c r="E239" t="s">
        <v>22</v>
      </c>
      <c r="F239">
        <v>620</v>
      </c>
      <c r="G239" s="1">
        <v>32593</v>
      </c>
      <c r="H239" s="2">
        <v>45231</v>
      </c>
      <c r="I239" t="s">
        <v>32</v>
      </c>
      <c r="J239" t="s">
        <v>281</v>
      </c>
      <c r="K239" t="s">
        <v>29</v>
      </c>
      <c r="L239" t="str">
        <f t="shared" si="18"/>
        <v>Nov</v>
      </c>
      <c r="M239" t="str">
        <f t="shared" si="19"/>
        <v>Q4</v>
      </c>
      <c r="N239" t="str">
        <f t="shared" si="20"/>
        <v>Medium</v>
      </c>
      <c r="O239">
        <f>_xlfn.XLOOKUP(I239,Helper_Table!A:A,Helper_Table!B:B)</f>
        <v>0.95</v>
      </c>
      <c r="P239" s="1">
        <f t="shared" si="21"/>
        <v>30963.35</v>
      </c>
      <c r="Q239" s="4">
        <f t="shared" si="22"/>
        <v>1.0526315789473684</v>
      </c>
      <c r="R239" t="str">
        <f t="shared" si="23"/>
        <v>Achieved</v>
      </c>
    </row>
    <row r="240" spans="1:18">
      <c r="A240" t="s">
        <v>24</v>
      </c>
      <c r="B240" t="s">
        <v>19</v>
      </c>
      <c r="C240" t="s">
        <v>13</v>
      </c>
      <c r="D240" t="s">
        <v>31</v>
      </c>
      <c r="E240" t="s">
        <v>15</v>
      </c>
      <c r="F240">
        <v>1423</v>
      </c>
      <c r="G240" s="1">
        <v>21911</v>
      </c>
      <c r="H240" s="2">
        <v>45388</v>
      </c>
      <c r="I240" t="s">
        <v>27</v>
      </c>
      <c r="J240" t="s">
        <v>282</v>
      </c>
      <c r="K240" t="s">
        <v>29</v>
      </c>
      <c r="L240" t="str">
        <f t="shared" si="18"/>
        <v>Apr</v>
      </c>
      <c r="M240" t="str">
        <f t="shared" si="19"/>
        <v>Q2</v>
      </c>
      <c r="N240" t="str">
        <f t="shared" si="20"/>
        <v>Medium</v>
      </c>
      <c r="O240">
        <f>_xlfn.XLOOKUP(I240,Helper_Table!A:A,Helper_Table!B:B)</f>
        <v>0.9</v>
      </c>
      <c r="P240" s="1">
        <f t="shared" si="21"/>
        <v>19719.900000000001</v>
      </c>
      <c r="Q240" s="4">
        <f t="shared" si="22"/>
        <v>1.1111111111111109</v>
      </c>
      <c r="R240" t="str">
        <f t="shared" si="23"/>
        <v>Achieved</v>
      </c>
    </row>
    <row r="241" spans="1:18">
      <c r="A241" t="s">
        <v>11</v>
      </c>
      <c r="B241" t="s">
        <v>51</v>
      </c>
      <c r="C241" t="s">
        <v>20</v>
      </c>
      <c r="D241" t="s">
        <v>21</v>
      </c>
      <c r="E241" t="s">
        <v>15</v>
      </c>
      <c r="F241">
        <v>1308</v>
      </c>
      <c r="G241" s="1">
        <v>16623</v>
      </c>
      <c r="H241" s="2">
        <v>45499</v>
      </c>
      <c r="I241" t="s">
        <v>16</v>
      </c>
      <c r="J241" t="s">
        <v>283</v>
      </c>
      <c r="K241" t="s">
        <v>18</v>
      </c>
      <c r="L241" t="str">
        <f t="shared" si="18"/>
        <v>Jul</v>
      </c>
      <c r="M241" t="str">
        <f t="shared" si="19"/>
        <v>Q3</v>
      </c>
      <c r="N241" t="str">
        <f t="shared" si="20"/>
        <v>Low</v>
      </c>
      <c r="O241">
        <f>_xlfn.XLOOKUP(I241,Helper_Table!A:A,Helper_Table!B:B)</f>
        <v>1.1000000000000001</v>
      </c>
      <c r="P241" s="1">
        <f t="shared" si="21"/>
        <v>18285.300000000003</v>
      </c>
      <c r="Q241" s="4">
        <f t="shared" si="22"/>
        <v>0.90909090909090895</v>
      </c>
      <c r="R241" t="str">
        <f t="shared" si="23"/>
        <v>Below Target</v>
      </c>
    </row>
    <row r="242" spans="1:18">
      <c r="A242" t="s">
        <v>24</v>
      </c>
      <c r="B242" t="s">
        <v>49</v>
      </c>
      <c r="C242" t="s">
        <v>30</v>
      </c>
      <c r="D242" t="s">
        <v>21</v>
      </c>
      <c r="E242">
        <v>60</v>
      </c>
      <c r="F242">
        <v>460</v>
      </c>
      <c r="G242" s="1">
        <v>29993</v>
      </c>
      <c r="H242" s="2">
        <v>45367</v>
      </c>
      <c r="I242" t="s">
        <v>27</v>
      </c>
      <c r="J242" t="s">
        <v>284</v>
      </c>
      <c r="K242" t="s">
        <v>34</v>
      </c>
      <c r="L242" t="str">
        <f t="shared" si="18"/>
        <v>Mar</v>
      </c>
      <c r="M242" t="str">
        <f t="shared" si="19"/>
        <v>Q1</v>
      </c>
      <c r="N242" t="str">
        <f t="shared" si="20"/>
        <v>Medium</v>
      </c>
      <c r="O242">
        <f>_xlfn.XLOOKUP(I242,Helper_Table!A:A,Helper_Table!B:B)</f>
        <v>0.9</v>
      </c>
      <c r="P242" s="1">
        <f t="shared" si="21"/>
        <v>26993.7</v>
      </c>
      <c r="Q242" s="4">
        <f t="shared" si="22"/>
        <v>1.1111111111111112</v>
      </c>
      <c r="R242" t="str">
        <f t="shared" si="23"/>
        <v>Achieved</v>
      </c>
    </row>
    <row r="243" spans="1:18">
      <c r="A243" t="s">
        <v>11</v>
      </c>
      <c r="B243" t="s">
        <v>51</v>
      </c>
      <c r="C243" t="s">
        <v>30</v>
      </c>
      <c r="D243" t="s">
        <v>26</v>
      </c>
      <c r="E243" t="s">
        <v>38</v>
      </c>
      <c r="F243">
        <v>1598</v>
      </c>
      <c r="G243" s="1">
        <v>43114</v>
      </c>
      <c r="H243" s="2">
        <v>45311</v>
      </c>
      <c r="I243" t="s">
        <v>41</v>
      </c>
      <c r="J243" t="s">
        <v>285</v>
      </c>
      <c r="K243" t="s">
        <v>44</v>
      </c>
      <c r="L243" t="str">
        <f t="shared" si="18"/>
        <v>Jan</v>
      </c>
      <c r="M243" t="str">
        <f t="shared" si="19"/>
        <v>Q1</v>
      </c>
      <c r="N243" t="str">
        <f t="shared" si="20"/>
        <v>High</v>
      </c>
      <c r="O243">
        <f>_xlfn.XLOOKUP(I243,Helper_Table!A:A,Helper_Table!B:B)</f>
        <v>1.2</v>
      </c>
      <c r="P243" s="1">
        <f t="shared" si="21"/>
        <v>51736.799999999996</v>
      </c>
      <c r="Q243" s="4">
        <f t="shared" si="22"/>
        <v>0.83333333333333337</v>
      </c>
      <c r="R243" t="str">
        <f t="shared" si="23"/>
        <v>Below Target</v>
      </c>
    </row>
    <row r="244" spans="1:18">
      <c r="A244" t="s">
        <v>24</v>
      </c>
      <c r="B244" t="s">
        <v>12</v>
      </c>
      <c r="C244" t="s">
        <v>13</v>
      </c>
      <c r="D244" t="s">
        <v>14</v>
      </c>
      <c r="E244" t="s">
        <v>15</v>
      </c>
      <c r="F244">
        <v>978</v>
      </c>
      <c r="G244" s="1">
        <v>46578</v>
      </c>
      <c r="H244" s="2">
        <v>45260</v>
      </c>
      <c r="I244" t="s">
        <v>39</v>
      </c>
      <c r="J244" t="s">
        <v>286</v>
      </c>
      <c r="K244" t="s">
        <v>29</v>
      </c>
      <c r="L244" t="str">
        <f t="shared" si="18"/>
        <v>Nov</v>
      </c>
      <c r="M244" t="str">
        <f t="shared" si="19"/>
        <v>Q4</v>
      </c>
      <c r="N244" t="str">
        <f t="shared" si="20"/>
        <v>High</v>
      </c>
      <c r="O244">
        <f>_xlfn.XLOOKUP(I244,Helper_Table!A:A,Helper_Table!B:B)</f>
        <v>1.1000000000000001</v>
      </c>
      <c r="P244" s="1">
        <f t="shared" si="21"/>
        <v>51235.8</v>
      </c>
      <c r="Q244" s="4">
        <f t="shared" si="22"/>
        <v>0.90909090909090906</v>
      </c>
      <c r="R244" t="str">
        <f t="shared" si="23"/>
        <v>Below Target</v>
      </c>
    </row>
    <row r="245" spans="1:18">
      <c r="A245" t="s">
        <v>11</v>
      </c>
      <c r="B245" t="s">
        <v>51</v>
      </c>
      <c r="C245" t="s">
        <v>13</v>
      </c>
      <c r="D245" t="s">
        <v>26</v>
      </c>
      <c r="E245" t="s">
        <v>22</v>
      </c>
      <c r="F245">
        <v>1484</v>
      </c>
      <c r="G245" s="1">
        <v>15499</v>
      </c>
      <c r="H245" s="2">
        <v>45439</v>
      </c>
      <c r="I245" t="s">
        <v>41</v>
      </c>
      <c r="J245" t="s">
        <v>287</v>
      </c>
      <c r="K245" t="s">
        <v>34</v>
      </c>
      <c r="L245" t="str">
        <f t="shared" si="18"/>
        <v>May</v>
      </c>
      <c r="M245" t="str">
        <f t="shared" si="19"/>
        <v>Q2</v>
      </c>
      <c r="N245" t="str">
        <f t="shared" si="20"/>
        <v>Low</v>
      </c>
      <c r="O245">
        <f>_xlfn.XLOOKUP(I245,Helper_Table!A:A,Helper_Table!B:B)</f>
        <v>1.2</v>
      </c>
      <c r="P245" s="1">
        <f t="shared" si="21"/>
        <v>18598.8</v>
      </c>
      <c r="Q245" s="4">
        <f t="shared" si="22"/>
        <v>0.83333333333333337</v>
      </c>
      <c r="R245" t="str">
        <f t="shared" si="23"/>
        <v>Below Target</v>
      </c>
    </row>
    <row r="246" spans="1:18">
      <c r="A246" t="s">
        <v>45</v>
      </c>
      <c r="B246" t="s">
        <v>36</v>
      </c>
      <c r="C246" t="s">
        <v>20</v>
      </c>
      <c r="D246" t="s">
        <v>21</v>
      </c>
      <c r="E246" t="s">
        <v>22</v>
      </c>
      <c r="F246">
        <v>1807</v>
      </c>
      <c r="G246" s="1">
        <v>37740</v>
      </c>
      <c r="H246" s="2">
        <v>45180</v>
      </c>
      <c r="I246" t="s">
        <v>16</v>
      </c>
      <c r="J246" t="s">
        <v>288</v>
      </c>
      <c r="K246" t="s">
        <v>18</v>
      </c>
      <c r="L246" t="str">
        <f t="shared" si="18"/>
        <v>Sep</v>
      </c>
      <c r="M246" t="str">
        <f t="shared" si="19"/>
        <v>Q3</v>
      </c>
      <c r="N246" t="str">
        <f t="shared" si="20"/>
        <v>Medium</v>
      </c>
      <c r="O246">
        <f>_xlfn.XLOOKUP(I246,Helper_Table!A:A,Helper_Table!B:B)</f>
        <v>1.1000000000000001</v>
      </c>
      <c r="P246" s="1">
        <f t="shared" si="21"/>
        <v>41514</v>
      </c>
      <c r="Q246" s="4">
        <f t="shared" si="22"/>
        <v>0.90909090909090906</v>
      </c>
      <c r="R246" t="str">
        <f t="shared" si="23"/>
        <v>Below Target</v>
      </c>
    </row>
    <row r="247" spans="1:18">
      <c r="A247" t="s">
        <v>64</v>
      </c>
      <c r="B247" t="s">
        <v>51</v>
      </c>
      <c r="C247" t="s">
        <v>13</v>
      </c>
      <c r="D247" t="s">
        <v>14</v>
      </c>
      <c r="E247" t="s">
        <v>15</v>
      </c>
      <c r="F247">
        <v>1197</v>
      </c>
      <c r="G247" s="1">
        <v>36217</v>
      </c>
      <c r="H247" s="2">
        <v>45350</v>
      </c>
      <c r="I247" t="s">
        <v>16</v>
      </c>
      <c r="J247" t="s">
        <v>289</v>
      </c>
      <c r="K247" t="s">
        <v>44</v>
      </c>
      <c r="L247" t="str">
        <f t="shared" si="18"/>
        <v>Feb</v>
      </c>
      <c r="M247" t="str">
        <f t="shared" si="19"/>
        <v>Q1</v>
      </c>
      <c r="N247" t="str">
        <f t="shared" si="20"/>
        <v>Medium</v>
      </c>
      <c r="O247">
        <f>_xlfn.XLOOKUP(I247,Helper_Table!A:A,Helper_Table!B:B)</f>
        <v>1.1000000000000001</v>
      </c>
      <c r="P247" s="1">
        <f t="shared" si="21"/>
        <v>39838.700000000004</v>
      </c>
      <c r="Q247" s="4">
        <f t="shared" si="22"/>
        <v>0.90909090909090895</v>
      </c>
      <c r="R247" t="str">
        <f t="shared" si="23"/>
        <v>Below Target</v>
      </c>
    </row>
    <row r="248" spans="1:18">
      <c r="A248" t="s">
        <v>45</v>
      </c>
      <c r="B248" t="s">
        <v>19</v>
      </c>
      <c r="C248" t="s">
        <v>30</v>
      </c>
      <c r="D248" t="s">
        <v>14</v>
      </c>
      <c r="E248">
        <v>30</v>
      </c>
      <c r="F248">
        <v>1169</v>
      </c>
      <c r="G248" s="1">
        <v>33004</v>
      </c>
      <c r="H248" s="2">
        <v>45454</v>
      </c>
      <c r="I248" t="s">
        <v>16</v>
      </c>
      <c r="J248" t="s">
        <v>290</v>
      </c>
      <c r="K248" t="s">
        <v>44</v>
      </c>
      <c r="L248" t="str">
        <f t="shared" si="18"/>
        <v>Jun</v>
      </c>
      <c r="M248" t="str">
        <f t="shared" si="19"/>
        <v>Q2</v>
      </c>
      <c r="N248" t="str">
        <f t="shared" si="20"/>
        <v>Medium</v>
      </c>
      <c r="O248">
        <f>_xlfn.XLOOKUP(I248,Helper_Table!A:A,Helper_Table!B:B)</f>
        <v>1.1000000000000001</v>
      </c>
      <c r="P248" s="1">
        <f t="shared" si="21"/>
        <v>36304.400000000001</v>
      </c>
      <c r="Q248" s="4">
        <f t="shared" si="22"/>
        <v>0.90909090909090906</v>
      </c>
      <c r="R248" t="str">
        <f t="shared" si="23"/>
        <v>Below Target</v>
      </c>
    </row>
    <row r="249" spans="1:18">
      <c r="A249" t="s">
        <v>35</v>
      </c>
      <c r="B249" t="s">
        <v>19</v>
      </c>
      <c r="C249" t="s">
        <v>59</v>
      </c>
      <c r="D249" t="s">
        <v>31</v>
      </c>
      <c r="E249" t="s">
        <v>38</v>
      </c>
      <c r="F249">
        <v>1713</v>
      </c>
      <c r="G249" s="1">
        <v>30761</v>
      </c>
      <c r="H249" s="2">
        <v>45172</v>
      </c>
      <c r="I249" t="s">
        <v>41</v>
      </c>
      <c r="J249" t="s">
        <v>291</v>
      </c>
      <c r="K249" t="s">
        <v>44</v>
      </c>
      <c r="L249" t="str">
        <f t="shared" si="18"/>
        <v>Sep</v>
      </c>
      <c r="M249" t="str">
        <f t="shared" si="19"/>
        <v>Q3</v>
      </c>
      <c r="N249" t="str">
        <f t="shared" si="20"/>
        <v>Medium</v>
      </c>
      <c r="O249">
        <f>_xlfn.XLOOKUP(I249,Helper_Table!A:A,Helper_Table!B:B)</f>
        <v>1.2</v>
      </c>
      <c r="P249" s="1">
        <f t="shared" si="21"/>
        <v>36913.199999999997</v>
      </c>
      <c r="Q249" s="4">
        <f t="shared" si="22"/>
        <v>0.83333333333333337</v>
      </c>
      <c r="R249" t="str">
        <f t="shared" si="23"/>
        <v>Below Target</v>
      </c>
    </row>
    <row r="250" spans="1:18">
      <c r="A250" t="s">
        <v>64</v>
      </c>
      <c r="B250" t="s">
        <v>19</v>
      </c>
      <c r="C250" t="s">
        <v>30</v>
      </c>
      <c r="D250" t="s">
        <v>21</v>
      </c>
      <c r="E250" t="s">
        <v>22</v>
      </c>
      <c r="F250">
        <v>1245</v>
      </c>
      <c r="G250" s="1">
        <v>32469</v>
      </c>
      <c r="H250" s="2">
        <v>45241</v>
      </c>
      <c r="I250" t="s">
        <v>27</v>
      </c>
      <c r="J250" t="s">
        <v>292</v>
      </c>
      <c r="K250" t="s">
        <v>34</v>
      </c>
      <c r="L250" t="str">
        <f t="shared" si="18"/>
        <v>Nov</v>
      </c>
      <c r="M250" t="str">
        <f t="shared" si="19"/>
        <v>Q4</v>
      </c>
      <c r="N250" t="str">
        <f t="shared" si="20"/>
        <v>Medium</v>
      </c>
      <c r="O250">
        <f>_xlfn.XLOOKUP(I250,Helper_Table!A:A,Helper_Table!B:B)</f>
        <v>0.9</v>
      </c>
      <c r="P250" s="1">
        <f t="shared" si="21"/>
        <v>29222.100000000002</v>
      </c>
      <c r="Q250" s="4">
        <f t="shared" si="22"/>
        <v>1.1111111111111109</v>
      </c>
      <c r="R250" t="str">
        <f t="shared" si="23"/>
        <v>Achieved</v>
      </c>
    </row>
    <row r="251" spans="1:18">
      <c r="A251" t="s">
        <v>11</v>
      </c>
      <c r="B251" t="s">
        <v>19</v>
      </c>
      <c r="C251" t="s">
        <v>30</v>
      </c>
      <c r="D251" t="s">
        <v>31</v>
      </c>
      <c r="E251" t="s">
        <v>15</v>
      </c>
      <c r="F251">
        <v>454</v>
      </c>
      <c r="G251" s="1">
        <v>37133</v>
      </c>
      <c r="H251" s="2">
        <v>45310</v>
      </c>
      <c r="I251" t="s">
        <v>39</v>
      </c>
      <c r="J251" t="s">
        <v>293</v>
      </c>
      <c r="K251" t="s">
        <v>44</v>
      </c>
      <c r="L251" t="str">
        <f t="shared" si="18"/>
        <v>Jan</v>
      </c>
      <c r="M251" t="str">
        <f t="shared" si="19"/>
        <v>Q1</v>
      </c>
      <c r="N251" t="str">
        <f t="shared" si="20"/>
        <v>Medium</v>
      </c>
      <c r="O251">
        <f>_xlfn.XLOOKUP(I251,Helper_Table!A:A,Helper_Table!B:B)</f>
        <v>1.1000000000000001</v>
      </c>
      <c r="P251" s="1">
        <f t="shared" si="21"/>
        <v>40846.300000000003</v>
      </c>
      <c r="Q251" s="4">
        <f t="shared" si="22"/>
        <v>0.90909090909090906</v>
      </c>
      <c r="R251" t="str">
        <f t="shared" si="23"/>
        <v>Below Target</v>
      </c>
    </row>
    <row r="252" spans="1:18">
      <c r="A252" t="s">
        <v>35</v>
      </c>
      <c r="B252" t="s">
        <v>49</v>
      </c>
      <c r="C252" t="s">
        <v>20</v>
      </c>
      <c r="D252" t="s">
        <v>31</v>
      </c>
      <c r="E252">
        <v>30</v>
      </c>
      <c r="F252">
        <v>1550</v>
      </c>
      <c r="G252" s="1">
        <v>45767</v>
      </c>
      <c r="H252" s="2">
        <v>45178</v>
      </c>
      <c r="I252" t="s">
        <v>41</v>
      </c>
      <c r="J252" t="s">
        <v>294</v>
      </c>
      <c r="K252" t="s">
        <v>44</v>
      </c>
      <c r="L252" t="str">
        <f t="shared" si="18"/>
        <v>Sep</v>
      </c>
      <c r="M252" t="str">
        <f t="shared" si="19"/>
        <v>Q3</v>
      </c>
      <c r="N252" t="str">
        <f t="shared" si="20"/>
        <v>High</v>
      </c>
      <c r="O252">
        <f>_xlfn.XLOOKUP(I252,Helper_Table!A:A,Helper_Table!B:B)</f>
        <v>1.2</v>
      </c>
      <c r="P252" s="1">
        <f t="shared" si="21"/>
        <v>54920.4</v>
      </c>
      <c r="Q252" s="4">
        <f t="shared" si="22"/>
        <v>0.83333333333333326</v>
      </c>
      <c r="R252" t="str">
        <f t="shared" si="23"/>
        <v>Below Target</v>
      </c>
    </row>
    <row r="253" spans="1:18">
      <c r="A253" t="s">
        <v>64</v>
      </c>
      <c r="B253" t="s">
        <v>36</v>
      </c>
      <c r="C253" t="s">
        <v>59</v>
      </c>
      <c r="D253" t="s">
        <v>26</v>
      </c>
      <c r="E253" t="s">
        <v>22</v>
      </c>
      <c r="F253">
        <v>1488</v>
      </c>
      <c r="G253" s="1">
        <v>19770</v>
      </c>
      <c r="H253" s="2">
        <v>45484</v>
      </c>
      <c r="I253" t="s">
        <v>41</v>
      </c>
      <c r="J253" t="s">
        <v>295</v>
      </c>
      <c r="K253" t="s">
        <v>44</v>
      </c>
      <c r="L253" t="str">
        <f t="shared" si="18"/>
        <v>Jul</v>
      </c>
      <c r="M253" t="str">
        <f t="shared" si="19"/>
        <v>Q3</v>
      </c>
      <c r="N253" t="str">
        <f t="shared" si="20"/>
        <v>Low</v>
      </c>
      <c r="O253">
        <f>_xlfn.XLOOKUP(I253,Helper_Table!A:A,Helper_Table!B:B)</f>
        <v>1.2</v>
      </c>
      <c r="P253" s="1">
        <f t="shared" si="21"/>
        <v>23724</v>
      </c>
      <c r="Q253" s="4">
        <f t="shared" si="22"/>
        <v>0.83333333333333337</v>
      </c>
      <c r="R253" t="str">
        <f t="shared" si="23"/>
        <v>Below Target</v>
      </c>
    </row>
    <row r="254" spans="1:18">
      <c r="A254" t="s">
        <v>11</v>
      </c>
      <c r="B254" t="s">
        <v>36</v>
      </c>
      <c r="C254" t="s">
        <v>59</v>
      </c>
      <c r="D254" t="s">
        <v>66</v>
      </c>
      <c r="E254">
        <v>30</v>
      </c>
      <c r="F254">
        <v>1207</v>
      </c>
      <c r="G254" s="1">
        <v>29546</v>
      </c>
      <c r="H254" s="2">
        <v>45238</v>
      </c>
      <c r="I254" t="s">
        <v>39</v>
      </c>
      <c r="J254" t="s">
        <v>296</v>
      </c>
      <c r="K254" t="s">
        <v>34</v>
      </c>
      <c r="L254" t="str">
        <f t="shared" si="18"/>
        <v>Nov</v>
      </c>
      <c r="M254" t="str">
        <f t="shared" si="19"/>
        <v>Q4</v>
      </c>
      <c r="N254" t="str">
        <f t="shared" si="20"/>
        <v>Medium</v>
      </c>
      <c r="O254">
        <f>_xlfn.XLOOKUP(I254,Helper_Table!A:A,Helper_Table!B:B)</f>
        <v>1.1000000000000001</v>
      </c>
      <c r="P254" s="1">
        <f t="shared" si="21"/>
        <v>32500.600000000002</v>
      </c>
      <c r="Q254" s="4">
        <f t="shared" si="22"/>
        <v>0.90909090909090906</v>
      </c>
      <c r="R254" t="str">
        <f t="shared" si="23"/>
        <v>Below Target</v>
      </c>
    </row>
    <row r="255" spans="1:18">
      <c r="A255" t="s">
        <v>24</v>
      </c>
      <c r="B255" t="s">
        <v>12</v>
      </c>
      <c r="C255" t="s">
        <v>30</v>
      </c>
      <c r="D255" t="s">
        <v>21</v>
      </c>
      <c r="E255">
        <v>30</v>
      </c>
      <c r="F255">
        <v>751</v>
      </c>
      <c r="G255" s="1">
        <v>46620</v>
      </c>
      <c r="H255" s="2">
        <v>45398</v>
      </c>
      <c r="I255" t="s">
        <v>39</v>
      </c>
      <c r="J255" t="s">
        <v>297</v>
      </c>
      <c r="K255" t="s">
        <v>18</v>
      </c>
      <c r="L255" t="str">
        <f t="shared" si="18"/>
        <v>Apr</v>
      </c>
      <c r="M255" t="str">
        <f t="shared" si="19"/>
        <v>Q2</v>
      </c>
      <c r="N255" t="str">
        <f t="shared" si="20"/>
        <v>High</v>
      </c>
      <c r="O255">
        <f>_xlfn.XLOOKUP(I255,Helper_Table!A:A,Helper_Table!B:B)</f>
        <v>1.1000000000000001</v>
      </c>
      <c r="P255" s="1">
        <f t="shared" si="21"/>
        <v>51282.000000000007</v>
      </c>
      <c r="Q255" s="4">
        <f t="shared" si="22"/>
        <v>0.90909090909090895</v>
      </c>
      <c r="R255" t="str">
        <f t="shared" si="23"/>
        <v>Below Target</v>
      </c>
    </row>
    <row r="256" spans="1:18">
      <c r="A256" t="s">
        <v>45</v>
      </c>
      <c r="B256" t="s">
        <v>36</v>
      </c>
      <c r="C256" t="s">
        <v>30</v>
      </c>
      <c r="D256" t="s">
        <v>14</v>
      </c>
      <c r="E256">
        <v>60</v>
      </c>
      <c r="F256">
        <v>1388</v>
      </c>
      <c r="G256" s="1">
        <v>44954</v>
      </c>
      <c r="H256" s="2">
        <v>45317</v>
      </c>
      <c r="I256" t="s">
        <v>27</v>
      </c>
      <c r="J256" t="s">
        <v>298</v>
      </c>
      <c r="K256" t="s">
        <v>18</v>
      </c>
      <c r="L256" t="str">
        <f t="shared" si="18"/>
        <v>Jan</v>
      </c>
      <c r="M256" t="str">
        <f t="shared" si="19"/>
        <v>Q1</v>
      </c>
      <c r="N256" t="str">
        <f t="shared" si="20"/>
        <v>High</v>
      </c>
      <c r="O256">
        <f>_xlfn.XLOOKUP(I256,Helper_Table!A:A,Helper_Table!B:B)</f>
        <v>0.9</v>
      </c>
      <c r="P256" s="1">
        <f t="shared" si="21"/>
        <v>40458.6</v>
      </c>
      <c r="Q256" s="4">
        <f t="shared" si="22"/>
        <v>1.1111111111111112</v>
      </c>
      <c r="R256" t="str">
        <f t="shared" si="23"/>
        <v>Achieved</v>
      </c>
    </row>
    <row r="257" spans="1:18">
      <c r="A257" t="s">
        <v>64</v>
      </c>
      <c r="B257" t="s">
        <v>19</v>
      </c>
      <c r="C257" t="s">
        <v>13</v>
      </c>
      <c r="D257" t="s">
        <v>14</v>
      </c>
      <c r="E257" t="s">
        <v>22</v>
      </c>
      <c r="F257">
        <v>712</v>
      </c>
      <c r="G257" s="1">
        <v>24140</v>
      </c>
      <c r="H257" s="2">
        <v>45248</v>
      </c>
      <c r="I257" t="s">
        <v>27</v>
      </c>
      <c r="J257" t="s">
        <v>299</v>
      </c>
      <c r="K257" t="s">
        <v>29</v>
      </c>
      <c r="L257" t="str">
        <f t="shared" si="18"/>
        <v>Nov</v>
      </c>
      <c r="M257" t="str">
        <f t="shared" si="19"/>
        <v>Q4</v>
      </c>
      <c r="N257" t="str">
        <f t="shared" si="20"/>
        <v>Medium</v>
      </c>
      <c r="O257">
        <f>_xlfn.XLOOKUP(I257,Helper_Table!A:A,Helper_Table!B:B)</f>
        <v>0.9</v>
      </c>
      <c r="P257" s="1">
        <f t="shared" si="21"/>
        <v>21726</v>
      </c>
      <c r="Q257" s="4">
        <f t="shared" si="22"/>
        <v>1.1111111111111112</v>
      </c>
      <c r="R257" t="str">
        <f t="shared" si="23"/>
        <v>Achieved</v>
      </c>
    </row>
    <row r="258" spans="1:18">
      <c r="A258" t="s">
        <v>45</v>
      </c>
      <c r="B258" t="s">
        <v>49</v>
      </c>
      <c r="C258" t="s">
        <v>13</v>
      </c>
      <c r="D258" t="s">
        <v>21</v>
      </c>
      <c r="E258" t="s">
        <v>22</v>
      </c>
      <c r="F258">
        <v>1428</v>
      </c>
      <c r="G258" s="1">
        <v>1848</v>
      </c>
      <c r="H258" s="2">
        <v>45331</v>
      </c>
      <c r="I258" t="s">
        <v>32</v>
      </c>
      <c r="J258" t="s">
        <v>300</v>
      </c>
      <c r="K258" t="s">
        <v>29</v>
      </c>
      <c r="L258" t="str">
        <f t="shared" ref="L258:L321" si="24">TEXT(H258,"MMM")</f>
        <v>Feb</v>
      </c>
      <c r="M258" t="str">
        <f t="shared" ref="M258:M321" si="25">"Q"&amp;ROUNDUP(MONTH(H258)/3,0)</f>
        <v>Q1</v>
      </c>
      <c r="N258" t="str">
        <f t="shared" ref="N258:N321" si="26">IF(G258&gt;40000,"High",
IF(G258&gt;20000,"Medium","Low"))</f>
        <v>Low</v>
      </c>
      <c r="O258">
        <f>_xlfn.XLOOKUP(I258,Helper_Table!A:A,Helper_Table!B:B)</f>
        <v>0.95</v>
      </c>
      <c r="P258" s="1">
        <f t="shared" ref="P258:P321" si="27">G258*O258</f>
        <v>1755.6</v>
      </c>
      <c r="Q258" s="4">
        <f t="shared" ref="Q258:Q321" si="28">G258/P258</f>
        <v>1.0526315789473686</v>
      </c>
      <c r="R258" t="str">
        <f t="shared" ref="R258:R321" si="29">IF(Q258&gt;=1,"Achieved","Below Target")</f>
        <v>Achieved</v>
      </c>
    </row>
    <row r="259" spans="1:18">
      <c r="A259" t="s">
        <v>11</v>
      </c>
      <c r="B259" t="s">
        <v>49</v>
      </c>
      <c r="C259" t="s">
        <v>30</v>
      </c>
      <c r="D259" t="s">
        <v>66</v>
      </c>
      <c r="E259" t="s">
        <v>22</v>
      </c>
      <c r="F259">
        <v>1437</v>
      </c>
      <c r="G259" s="1">
        <v>1329</v>
      </c>
      <c r="H259" s="2">
        <v>45382</v>
      </c>
      <c r="I259" t="s">
        <v>16</v>
      </c>
      <c r="J259" t="s">
        <v>301</v>
      </c>
      <c r="K259" t="s">
        <v>29</v>
      </c>
      <c r="L259" t="str">
        <f t="shared" si="24"/>
        <v>Mar</v>
      </c>
      <c r="M259" t="str">
        <f t="shared" si="25"/>
        <v>Q1</v>
      </c>
      <c r="N259" t="str">
        <f t="shared" si="26"/>
        <v>Low</v>
      </c>
      <c r="O259">
        <f>_xlfn.XLOOKUP(I259,Helper_Table!A:A,Helper_Table!B:B)</f>
        <v>1.1000000000000001</v>
      </c>
      <c r="P259" s="1">
        <f t="shared" si="27"/>
        <v>1461.9</v>
      </c>
      <c r="Q259" s="4">
        <f t="shared" si="28"/>
        <v>0.90909090909090906</v>
      </c>
      <c r="R259" t="str">
        <f t="shared" si="29"/>
        <v>Below Target</v>
      </c>
    </row>
    <row r="260" spans="1:18">
      <c r="A260" t="s">
        <v>24</v>
      </c>
      <c r="B260" t="s">
        <v>51</v>
      </c>
      <c r="C260" t="s">
        <v>59</v>
      </c>
      <c r="D260" t="s">
        <v>26</v>
      </c>
      <c r="E260">
        <v>60</v>
      </c>
      <c r="F260">
        <v>818</v>
      </c>
      <c r="G260" s="1">
        <v>34522</v>
      </c>
      <c r="H260" s="2">
        <v>45364</v>
      </c>
      <c r="I260" t="s">
        <v>39</v>
      </c>
      <c r="J260" t="s">
        <v>302</v>
      </c>
      <c r="K260" t="s">
        <v>18</v>
      </c>
      <c r="L260" t="str">
        <f t="shared" si="24"/>
        <v>Mar</v>
      </c>
      <c r="M260" t="str">
        <f t="shared" si="25"/>
        <v>Q1</v>
      </c>
      <c r="N260" t="str">
        <f t="shared" si="26"/>
        <v>Medium</v>
      </c>
      <c r="O260">
        <f>_xlfn.XLOOKUP(I260,Helper_Table!A:A,Helper_Table!B:B)</f>
        <v>1.1000000000000001</v>
      </c>
      <c r="P260" s="1">
        <f t="shared" si="27"/>
        <v>37974.200000000004</v>
      </c>
      <c r="Q260" s="4">
        <f t="shared" si="28"/>
        <v>0.90909090909090895</v>
      </c>
      <c r="R260" t="str">
        <f t="shared" si="29"/>
        <v>Below Target</v>
      </c>
    </row>
    <row r="261" spans="1:18">
      <c r="A261" t="s">
        <v>64</v>
      </c>
      <c r="B261" t="s">
        <v>49</v>
      </c>
      <c r="C261" t="s">
        <v>13</v>
      </c>
      <c r="D261" t="s">
        <v>31</v>
      </c>
      <c r="E261">
        <v>30</v>
      </c>
      <c r="F261">
        <v>1094</v>
      </c>
      <c r="G261" s="1">
        <v>34972</v>
      </c>
      <c r="H261" s="2">
        <v>45423</v>
      </c>
      <c r="I261" t="s">
        <v>39</v>
      </c>
      <c r="J261" t="s">
        <v>303</v>
      </c>
      <c r="K261" t="s">
        <v>44</v>
      </c>
      <c r="L261" t="str">
        <f t="shared" si="24"/>
        <v>May</v>
      </c>
      <c r="M261" t="str">
        <f t="shared" si="25"/>
        <v>Q2</v>
      </c>
      <c r="N261" t="str">
        <f t="shared" si="26"/>
        <v>Medium</v>
      </c>
      <c r="O261">
        <f>_xlfn.XLOOKUP(I261,Helper_Table!A:A,Helper_Table!B:B)</f>
        <v>1.1000000000000001</v>
      </c>
      <c r="P261" s="1">
        <f t="shared" si="27"/>
        <v>38469.200000000004</v>
      </c>
      <c r="Q261" s="4">
        <f t="shared" si="28"/>
        <v>0.90909090909090895</v>
      </c>
      <c r="R261" t="str">
        <f t="shared" si="29"/>
        <v>Below Target</v>
      </c>
    </row>
    <row r="262" spans="1:18">
      <c r="A262" t="s">
        <v>35</v>
      </c>
      <c r="B262" t="s">
        <v>12</v>
      </c>
      <c r="C262" t="s">
        <v>25</v>
      </c>
      <c r="D262" t="s">
        <v>26</v>
      </c>
      <c r="E262">
        <v>60</v>
      </c>
      <c r="F262">
        <v>1882</v>
      </c>
      <c r="G262" s="1">
        <v>1492</v>
      </c>
      <c r="H262" s="2">
        <v>45277</v>
      </c>
      <c r="I262" t="s">
        <v>16</v>
      </c>
      <c r="J262" t="s">
        <v>304</v>
      </c>
      <c r="K262" t="s">
        <v>29</v>
      </c>
      <c r="L262" t="str">
        <f t="shared" si="24"/>
        <v>Dec</v>
      </c>
      <c r="M262" t="str">
        <f t="shared" si="25"/>
        <v>Q4</v>
      </c>
      <c r="N262" t="str">
        <f t="shared" si="26"/>
        <v>Low</v>
      </c>
      <c r="O262">
        <f>_xlfn.XLOOKUP(I262,Helper_Table!A:A,Helper_Table!B:B)</f>
        <v>1.1000000000000001</v>
      </c>
      <c r="P262" s="1">
        <f t="shared" si="27"/>
        <v>1641.2</v>
      </c>
      <c r="Q262" s="4">
        <f t="shared" si="28"/>
        <v>0.90909090909090906</v>
      </c>
      <c r="R262" t="str">
        <f t="shared" si="29"/>
        <v>Below Target</v>
      </c>
    </row>
    <row r="263" spans="1:18">
      <c r="A263" t="s">
        <v>64</v>
      </c>
      <c r="B263" t="s">
        <v>36</v>
      </c>
      <c r="C263" t="s">
        <v>13</v>
      </c>
      <c r="D263" t="s">
        <v>66</v>
      </c>
      <c r="E263" t="s">
        <v>38</v>
      </c>
      <c r="F263">
        <v>1247</v>
      </c>
      <c r="G263" s="1">
        <v>40432</v>
      </c>
      <c r="H263" s="2">
        <v>45337</v>
      </c>
      <c r="I263" t="s">
        <v>39</v>
      </c>
      <c r="J263" t="s">
        <v>305</v>
      </c>
      <c r="K263" t="s">
        <v>29</v>
      </c>
      <c r="L263" t="str">
        <f t="shared" si="24"/>
        <v>Feb</v>
      </c>
      <c r="M263" t="str">
        <f t="shared" si="25"/>
        <v>Q1</v>
      </c>
      <c r="N263" t="str">
        <f t="shared" si="26"/>
        <v>High</v>
      </c>
      <c r="O263">
        <f>_xlfn.XLOOKUP(I263,Helper_Table!A:A,Helper_Table!B:B)</f>
        <v>1.1000000000000001</v>
      </c>
      <c r="P263" s="1">
        <f t="shared" si="27"/>
        <v>44475.200000000004</v>
      </c>
      <c r="Q263" s="4">
        <f t="shared" si="28"/>
        <v>0.90909090909090895</v>
      </c>
      <c r="R263" t="str">
        <f t="shared" si="29"/>
        <v>Below Target</v>
      </c>
    </row>
    <row r="264" spans="1:18">
      <c r="A264" t="s">
        <v>35</v>
      </c>
      <c r="B264" t="s">
        <v>49</v>
      </c>
      <c r="C264" t="s">
        <v>25</v>
      </c>
      <c r="D264" t="s">
        <v>21</v>
      </c>
      <c r="E264" t="s">
        <v>22</v>
      </c>
      <c r="F264">
        <v>1989</v>
      </c>
      <c r="G264" s="1">
        <v>14261</v>
      </c>
      <c r="H264" s="2">
        <v>45224</v>
      </c>
      <c r="I264" t="s">
        <v>41</v>
      </c>
      <c r="J264" t="s">
        <v>306</v>
      </c>
      <c r="K264" t="s">
        <v>29</v>
      </c>
      <c r="L264" t="str">
        <f t="shared" si="24"/>
        <v>Oct</v>
      </c>
      <c r="M264" t="str">
        <f t="shared" si="25"/>
        <v>Q4</v>
      </c>
      <c r="N264" t="str">
        <f t="shared" si="26"/>
        <v>Low</v>
      </c>
      <c r="O264">
        <f>_xlfn.XLOOKUP(I264,Helper_Table!A:A,Helper_Table!B:B)</f>
        <v>1.2</v>
      </c>
      <c r="P264" s="1">
        <f t="shared" si="27"/>
        <v>17113.2</v>
      </c>
      <c r="Q264" s="4">
        <f t="shared" si="28"/>
        <v>0.83333333333333326</v>
      </c>
      <c r="R264" t="str">
        <f t="shared" si="29"/>
        <v>Below Target</v>
      </c>
    </row>
    <row r="265" spans="1:18">
      <c r="A265" t="s">
        <v>45</v>
      </c>
      <c r="B265" t="s">
        <v>19</v>
      </c>
      <c r="C265" t="s">
        <v>20</v>
      </c>
      <c r="D265" t="s">
        <v>26</v>
      </c>
      <c r="E265" t="s">
        <v>22</v>
      </c>
      <c r="F265">
        <v>1725</v>
      </c>
      <c r="G265" s="1">
        <v>26182</v>
      </c>
      <c r="H265" s="2">
        <v>45248</v>
      </c>
      <c r="I265" t="s">
        <v>16</v>
      </c>
      <c r="J265" t="s">
        <v>307</v>
      </c>
      <c r="K265" t="s">
        <v>44</v>
      </c>
      <c r="L265" t="str">
        <f t="shared" si="24"/>
        <v>Nov</v>
      </c>
      <c r="M265" t="str">
        <f t="shared" si="25"/>
        <v>Q4</v>
      </c>
      <c r="N265" t="str">
        <f t="shared" si="26"/>
        <v>Medium</v>
      </c>
      <c r="O265">
        <f>_xlfn.XLOOKUP(I265,Helper_Table!A:A,Helper_Table!B:B)</f>
        <v>1.1000000000000001</v>
      </c>
      <c r="P265" s="1">
        <f t="shared" si="27"/>
        <v>28800.2</v>
      </c>
      <c r="Q265" s="4">
        <f t="shared" si="28"/>
        <v>0.90909090909090906</v>
      </c>
      <c r="R265" t="str">
        <f t="shared" si="29"/>
        <v>Below Target</v>
      </c>
    </row>
    <row r="266" spans="1:18">
      <c r="A266" t="s">
        <v>24</v>
      </c>
      <c r="B266" t="s">
        <v>36</v>
      </c>
      <c r="C266" t="s">
        <v>20</v>
      </c>
      <c r="D266" t="s">
        <v>26</v>
      </c>
      <c r="E266" t="s">
        <v>15</v>
      </c>
      <c r="F266">
        <v>815</v>
      </c>
      <c r="G266" s="1">
        <v>33782</v>
      </c>
      <c r="H266" s="2">
        <v>45204</v>
      </c>
      <c r="I266" t="s">
        <v>32</v>
      </c>
      <c r="J266" t="s">
        <v>308</v>
      </c>
      <c r="K266" t="s">
        <v>34</v>
      </c>
      <c r="L266" t="str">
        <f t="shared" si="24"/>
        <v>Oct</v>
      </c>
      <c r="M266" t="str">
        <f t="shared" si="25"/>
        <v>Q4</v>
      </c>
      <c r="N266" t="str">
        <f t="shared" si="26"/>
        <v>Medium</v>
      </c>
      <c r="O266">
        <f>_xlfn.XLOOKUP(I266,Helper_Table!A:A,Helper_Table!B:B)</f>
        <v>0.95</v>
      </c>
      <c r="P266" s="1">
        <f t="shared" si="27"/>
        <v>32092.899999999998</v>
      </c>
      <c r="Q266" s="4">
        <f t="shared" si="28"/>
        <v>1.0526315789473686</v>
      </c>
      <c r="R266" t="str">
        <f t="shared" si="29"/>
        <v>Achieved</v>
      </c>
    </row>
    <row r="267" spans="1:18">
      <c r="A267" t="s">
        <v>64</v>
      </c>
      <c r="B267" t="s">
        <v>12</v>
      </c>
      <c r="C267" t="s">
        <v>59</v>
      </c>
      <c r="D267" t="s">
        <v>66</v>
      </c>
      <c r="E267">
        <v>60</v>
      </c>
      <c r="F267">
        <v>135</v>
      </c>
      <c r="G267" s="1">
        <v>40651</v>
      </c>
      <c r="H267" s="2">
        <v>45389</v>
      </c>
      <c r="I267" t="s">
        <v>39</v>
      </c>
      <c r="J267" t="s">
        <v>309</v>
      </c>
      <c r="K267" t="s">
        <v>18</v>
      </c>
      <c r="L267" t="str">
        <f t="shared" si="24"/>
        <v>Apr</v>
      </c>
      <c r="M267" t="str">
        <f t="shared" si="25"/>
        <v>Q2</v>
      </c>
      <c r="N267" t="str">
        <f t="shared" si="26"/>
        <v>High</v>
      </c>
      <c r="O267">
        <f>_xlfn.XLOOKUP(I267,Helper_Table!A:A,Helper_Table!B:B)</f>
        <v>1.1000000000000001</v>
      </c>
      <c r="P267" s="1">
        <f t="shared" si="27"/>
        <v>44716.100000000006</v>
      </c>
      <c r="Q267" s="4">
        <f t="shared" si="28"/>
        <v>0.90909090909090895</v>
      </c>
      <c r="R267" t="str">
        <f t="shared" si="29"/>
        <v>Below Target</v>
      </c>
    </row>
    <row r="268" spans="1:18">
      <c r="A268" t="s">
        <v>45</v>
      </c>
      <c r="B268" t="s">
        <v>19</v>
      </c>
      <c r="C268" t="s">
        <v>59</v>
      </c>
      <c r="D268" t="s">
        <v>21</v>
      </c>
      <c r="E268">
        <v>30</v>
      </c>
      <c r="F268">
        <v>1664</v>
      </c>
      <c r="G268" s="1">
        <v>25573</v>
      </c>
      <c r="H268" s="2">
        <v>45466</v>
      </c>
      <c r="I268" t="s">
        <v>16</v>
      </c>
      <c r="J268" t="s">
        <v>310</v>
      </c>
      <c r="K268" t="s">
        <v>44</v>
      </c>
      <c r="L268" t="str">
        <f t="shared" si="24"/>
        <v>Jun</v>
      </c>
      <c r="M268" t="str">
        <f t="shared" si="25"/>
        <v>Q2</v>
      </c>
      <c r="N268" t="str">
        <f t="shared" si="26"/>
        <v>Medium</v>
      </c>
      <c r="O268">
        <f>_xlfn.XLOOKUP(I268,Helper_Table!A:A,Helper_Table!B:B)</f>
        <v>1.1000000000000001</v>
      </c>
      <c r="P268" s="1">
        <f t="shared" si="27"/>
        <v>28130.300000000003</v>
      </c>
      <c r="Q268" s="4">
        <f t="shared" si="28"/>
        <v>0.90909090909090895</v>
      </c>
      <c r="R268" t="str">
        <f t="shared" si="29"/>
        <v>Below Target</v>
      </c>
    </row>
    <row r="269" spans="1:18">
      <c r="A269" t="s">
        <v>64</v>
      </c>
      <c r="B269" t="s">
        <v>36</v>
      </c>
      <c r="C269" t="s">
        <v>59</v>
      </c>
      <c r="D269" t="s">
        <v>26</v>
      </c>
      <c r="E269" t="s">
        <v>15</v>
      </c>
      <c r="F269">
        <v>1402</v>
      </c>
      <c r="G269" s="1">
        <v>31956</v>
      </c>
      <c r="H269" s="2">
        <v>45216</v>
      </c>
      <c r="I269" t="s">
        <v>32</v>
      </c>
      <c r="J269" t="s">
        <v>311</v>
      </c>
      <c r="K269" t="s">
        <v>18</v>
      </c>
      <c r="L269" t="str">
        <f t="shared" si="24"/>
        <v>Oct</v>
      </c>
      <c r="M269" t="str">
        <f t="shared" si="25"/>
        <v>Q4</v>
      </c>
      <c r="N269" t="str">
        <f t="shared" si="26"/>
        <v>Medium</v>
      </c>
      <c r="O269">
        <f>_xlfn.XLOOKUP(I269,Helper_Table!A:A,Helper_Table!B:B)</f>
        <v>0.95</v>
      </c>
      <c r="P269" s="1">
        <f t="shared" si="27"/>
        <v>30358.199999999997</v>
      </c>
      <c r="Q269" s="4">
        <f t="shared" si="28"/>
        <v>1.0526315789473686</v>
      </c>
      <c r="R269" t="str">
        <f t="shared" si="29"/>
        <v>Achieved</v>
      </c>
    </row>
    <row r="270" spans="1:18">
      <c r="A270" t="s">
        <v>11</v>
      </c>
      <c r="B270" t="s">
        <v>19</v>
      </c>
      <c r="C270" t="s">
        <v>25</v>
      </c>
      <c r="D270" t="s">
        <v>66</v>
      </c>
      <c r="E270" t="s">
        <v>38</v>
      </c>
      <c r="F270">
        <v>153</v>
      </c>
      <c r="G270" s="1">
        <v>30983</v>
      </c>
      <c r="H270" s="2">
        <v>45298</v>
      </c>
      <c r="I270" t="s">
        <v>27</v>
      </c>
      <c r="J270" t="s">
        <v>312</v>
      </c>
      <c r="K270" t="s">
        <v>34</v>
      </c>
      <c r="L270" t="str">
        <f t="shared" si="24"/>
        <v>Jan</v>
      </c>
      <c r="M270" t="str">
        <f t="shared" si="25"/>
        <v>Q1</v>
      </c>
      <c r="N270" t="str">
        <f t="shared" si="26"/>
        <v>Medium</v>
      </c>
      <c r="O270">
        <f>_xlfn.XLOOKUP(I270,Helper_Table!A:A,Helper_Table!B:B)</f>
        <v>0.9</v>
      </c>
      <c r="P270" s="1">
        <f t="shared" si="27"/>
        <v>27884.7</v>
      </c>
      <c r="Q270" s="4">
        <f t="shared" si="28"/>
        <v>1.1111111111111112</v>
      </c>
      <c r="R270" t="str">
        <f t="shared" si="29"/>
        <v>Achieved</v>
      </c>
    </row>
    <row r="271" spans="1:18">
      <c r="A271" t="s">
        <v>11</v>
      </c>
      <c r="B271" t="s">
        <v>19</v>
      </c>
      <c r="C271" t="s">
        <v>13</v>
      </c>
      <c r="D271" t="s">
        <v>66</v>
      </c>
      <c r="E271">
        <v>60</v>
      </c>
      <c r="F271">
        <v>399</v>
      </c>
      <c r="G271" s="1">
        <v>21160</v>
      </c>
      <c r="H271" s="2">
        <v>45477</v>
      </c>
      <c r="I271" t="s">
        <v>39</v>
      </c>
      <c r="J271" t="s">
        <v>313</v>
      </c>
      <c r="K271" t="s">
        <v>29</v>
      </c>
      <c r="L271" t="str">
        <f t="shared" si="24"/>
        <v>Jul</v>
      </c>
      <c r="M271" t="str">
        <f t="shared" si="25"/>
        <v>Q3</v>
      </c>
      <c r="N271" t="str">
        <f t="shared" si="26"/>
        <v>Medium</v>
      </c>
      <c r="O271">
        <f>_xlfn.XLOOKUP(I271,Helper_Table!A:A,Helper_Table!B:B)</f>
        <v>1.1000000000000001</v>
      </c>
      <c r="P271" s="1">
        <f t="shared" si="27"/>
        <v>23276.000000000004</v>
      </c>
      <c r="Q271" s="4">
        <f t="shared" si="28"/>
        <v>0.90909090909090895</v>
      </c>
      <c r="R271" t="str">
        <f t="shared" si="29"/>
        <v>Below Target</v>
      </c>
    </row>
    <row r="272" spans="1:18">
      <c r="A272" t="s">
        <v>35</v>
      </c>
      <c r="B272" t="s">
        <v>19</v>
      </c>
      <c r="C272" t="s">
        <v>20</v>
      </c>
      <c r="D272" t="s">
        <v>14</v>
      </c>
      <c r="E272" t="s">
        <v>15</v>
      </c>
      <c r="F272">
        <v>314</v>
      </c>
      <c r="G272" s="1">
        <v>43409</v>
      </c>
      <c r="H272" s="2">
        <v>45337</v>
      </c>
      <c r="I272" t="s">
        <v>41</v>
      </c>
      <c r="J272" t="s">
        <v>314</v>
      </c>
      <c r="K272" t="s">
        <v>34</v>
      </c>
      <c r="L272" t="str">
        <f t="shared" si="24"/>
        <v>Feb</v>
      </c>
      <c r="M272" t="str">
        <f t="shared" si="25"/>
        <v>Q1</v>
      </c>
      <c r="N272" t="str">
        <f t="shared" si="26"/>
        <v>High</v>
      </c>
      <c r="O272">
        <f>_xlfn.XLOOKUP(I272,Helper_Table!A:A,Helper_Table!B:B)</f>
        <v>1.2</v>
      </c>
      <c r="P272" s="1">
        <f t="shared" si="27"/>
        <v>52090.799999999996</v>
      </c>
      <c r="Q272" s="4">
        <f t="shared" si="28"/>
        <v>0.83333333333333337</v>
      </c>
      <c r="R272" t="str">
        <f t="shared" si="29"/>
        <v>Below Target</v>
      </c>
    </row>
    <row r="273" spans="1:18">
      <c r="A273" t="s">
        <v>64</v>
      </c>
      <c r="B273" t="s">
        <v>36</v>
      </c>
      <c r="C273" t="s">
        <v>20</v>
      </c>
      <c r="D273" t="s">
        <v>14</v>
      </c>
      <c r="E273">
        <v>60</v>
      </c>
      <c r="F273">
        <v>504</v>
      </c>
      <c r="G273" s="1">
        <v>46392</v>
      </c>
      <c r="H273" s="2">
        <v>45394</v>
      </c>
      <c r="I273" t="s">
        <v>16</v>
      </c>
      <c r="J273" t="s">
        <v>315</v>
      </c>
      <c r="K273" t="s">
        <v>34</v>
      </c>
      <c r="L273" t="str">
        <f t="shared" si="24"/>
        <v>Apr</v>
      </c>
      <c r="M273" t="str">
        <f t="shared" si="25"/>
        <v>Q2</v>
      </c>
      <c r="N273" t="str">
        <f t="shared" si="26"/>
        <v>High</v>
      </c>
      <c r="O273">
        <f>_xlfn.XLOOKUP(I273,Helper_Table!A:A,Helper_Table!B:B)</f>
        <v>1.1000000000000001</v>
      </c>
      <c r="P273" s="1">
        <f t="shared" si="27"/>
        <v>51031.200000000004</v>
      </c>
      <c r="Q273" s="4">
        <f t="shared" si="28"/>
        <v>0.90909090909090906</v>
      </c>
      <c r="R273" t="str">
        <f t="shared" si="29"/>
        <v>Below Target</v>
      </c>
    </row>
    <row r="274" spans="1:18">
      <c r="A274" t="s">
        <v>11</v>
      </c>
      <c r="B274" t="s">
        <v>12</v>
      </c>
      <c r="C274" t="s">
        <v>30</v>
      </c>
      <c r="D274" t="s">
        <v>66</v>
      </c>
      <c r="E274">
        <v>30</v>
      </c>
      <c r="F274">
        <v>214</v>
      </c>
      <c r="G274" s="1">
        <v>10257</v>
      </c>
      <c r="H274" s="2">
        <v>45232</v>
      </c>
      <c r="I274" t="s">
        <v>32</v>
      </c>
      <c r="J274" t="s">
        <v>316</v>
      </c>
      <c r="K274" t="s">
        <v>29</v>
      </c>
      <c r="L274" t="str">
        <f t="shared" si="24"/>
        <v>Nov</v>
      </c>
      <c r="M274" t="str">
        <f t="shared" si="25"/>
        <v>Q4</v>
      </c>
      <c r="N274" t="str">
        <f t="shared" si="26"/>
        <v>Low</v>
      </c>
      <c r="O274">
        <f>_xlfn.XLOOKUP(I274,Helper_Table!A:A,Helper_Table!B:B)</f>
        <v>0.95</v>
      </c>
      <c r="P274" s="1">
        <f t="shared" si="27"/>
        <v>9744.15</v>
      </c>
      <c r="Q274" s="4">
        <f t="shared" si="28"/>
        <v>1.0526315789473684</v>
      </c>
      <c r="R274" t="str">
        <f t="shared" si="29"/>
        <v>Achieved</v>
      </c>
    </row>
    <row r="275" spans="1:18">
      <c r="A275" t="s">
        <v>64</v>
      </c>
      <c r="B275" t="s">
        <v>36</v>
      </c>
      <c r="C275" t="s">
        <v>25</v>
      </c>
      <c r="D275" t="s">
        <v>31</v>
      </c>
      <c r="E275" t="s">
        <v>22</v>
      </c>
      <c r="F275">
        <v>1738</v>
      </c>
      <c r="G275" s="1">
        <v>17663</v>
      </c>
      <c r="H275" s="2">
        <v>45257</v>
      </c>
      <c r="I275" t="s">
        <v>32</v>
      </c>
      <c r="J275" t="s">
        <v>317</v>
      </c>
      <c r="K275" t="s">
        <v>34</v>
      </c>
      <c r="L275" t="str">
        <f t="shared" si="24"/>
        <v>Nov</v>
      </c>
      <c r="M275" t="str">
        <f t="shared" si="25"/>
        <v>Q4</v>
      </c>
      <c r="N275" t="str">
        <f t="shared" si="26"/>
        <v>Low</v>
      </c>
      <c r="O275">
        <f>_xlfn.XLOOKUP(I275,Helper_Table!A:A,Helper_Table!B:B)</f>
        <v>0.95</v>
      </c>
      <c r="P275" s="1">
        <f t="shared" si="27"/>
        <v>16779.849999999999</v>
      </c>
      <c r="Q275" s="4">
        <f t="shared" si="28"/>
        <v>1.0526315789473686</v>
      </c>
      <c r="R275" t="str">
        <f t="shared" si="29"/>
        <v>Achieved</v>
      </c>
    </row>
    <row r="276" spans="1:18">
      <c r="A276" t="s">
        <v>11</v>
      </c>
      <c r="B276" t="s">
        <v>36</v>
      </c>
      <c r="C276" t="s">
        <v>30</v>
      </c>
      <c r="D276" t="s">
        <v>14</v>
      </c>
      <c r="E276">
        <v>30</v>
      </c>
      <c r="F276">
        <v>167</v>
      </c>
      <c r="G276" s="1">
        <v>4175</v>
      </c>
      <c r="H276" s="2">
        <v>45153</v>
      </c>
      <c r="I276" t="s">
        <v>41</v>
      </c>
      <c r="J276" t="s">
        <v>318</v>
      </c>
      <c r="K276" t="s">
        <v>18</v>
      </c>
      <c r="L276" t="str">
        <f t="shared" si="24"/>
        <v>Aug</v>
      </c>
      <c r="M276" t="str">
        <f t="shared" si="25"/>
        <v>Q3</v>
      </c>
      <c r="N276" t="str">
        <f t="shared" si="26"/>
        <v>Low</v>
      </c>
      <c r="O276">
        <f>_xlfn.XLOOKUP(I276,Helper_Table!A:A,Helper_Table!B:B)</f>
        <v>1.2</v>
      </c>
      <c r="P276" s="1">
        <f t="shared" si="27"/>
        <v>5010</v>
      </c>
      <c r="Q276" s="4">
        <f t="shared" si="28"/>
        <v>0.83333333333333337</v>
      </c>
      <c r="R276" t="str">
        <f t="shared" si="29"/>
        <v>Below Target</v>
      </c>
    </row>
    <row r="277" spans="1:18">
      <c r="A277" t="s">
        <v>45</v>
      </c>
      <c r="B277" t="s">
        <v>19</v>
      </c>
      <c r="C277" t="s">
        <v>59</v>
      </c>
      <c r="D277" t="s">
        <v>21</v>
      </c>
      <c r="E277">
        <v>30</v>
      </c>
      <c r="F277">
        <v>1696</v>
      </c>
      <c r="G277" s="1">
        <v>26976</v>
      </c>
      <c r="H277" s="2">
        <v>45323</v>
      </c>
      <c r="I277" t="s">
        <v>16</v>
      </c>
      <c r="J277" t="s">
        <v>319</v>
      </c>
      <c r="K277" t="s">
        <v>34</v>
      </c>
      <c r="L277" t="str">
        <f t="shared" si="24"/>
        <v>Feb</v>
      </c>
      <c r="M277" t="str">
        <f t="shared" si="25"/>
        <v>Q1</v>
      </c>
      <c r="N277" t="str">
        <f t="shared" si="26"/>
        <v>Medium</v>
      </c>
      <c r="O277">
        <f>_xlfn.XLOOKUP(I277,Helper_Table!A:A,Helper_Table!B:B)</f>
        <v>1.1000000000000001</v>
      </c>
      <c r="P277" s="1">
        <f t="shared" si="27"/>
        <v>29673.600000000002</v>
      </c>
      <c r="Q277" s="4">
        <f t="shared" si="28"/>
        <v>0.90909090909090906</v>
      </c>
      <c r="R277" t="str">
        <f t="shared" si="29"/>
        <v>Below Target</v>
      </c>
    </row>
    <row r="278" spans="1:18">
      <c r="A278" t="s">
        <v>11</v>
      </c>
      <c r="B278" t="s">
        <v>19</v>
      </c>
      <c r="C278" t="s">
        <v>20</v>
      </c>
      <c r="D278" t="s">
        <v>31</v>
      </c>
      <c r="E278" t="s">
        <v>38</v>
      </c>
      <c r="F278">
        <v>1216</v>
      </c>
      <c r="G278" s="1">
        <v>32615</v>
      </c>
      <c r="H278" s="2">
        <v>45221</v>
      </c>
      <c r="I278" t="s">
        <v>16</v>
      </c>
      <c r="J278" t="s">
        <v>320</v>
      </c>
      <c r="K278" t="s">
        <v>29</v>
      </c>
      <c r="L278" t="str">
        <f t="shared" si="24"/>
        <v>Oct</v>
      </c>
      <c r="M278" t="str">
        <f t="shared" si="25"/>
        <v>Q4</v>
      </c>
      <c r="N278" t="str">
        <f t="shared" si="26"/>
        <v>Medium</v>
      </c>
      <c r="O278">
        <f>_xlfn.XLOOKUP(I278,Helper_Table!A:A,Helper_Table!B:B)</f>
        <v>1.1000000000000001</v>
      </c>
      <c r="P278" s="1">
        <f t="shared" si="27"/>
        <v>35876.5</v>
      </c>
      <c r="Q278" s="4">
        <f t="shared" si="28"/>
        <v>0.90909090909090906</v>
      </c>
      <c r="R278" t="str">
        <f t="shared" si="29"/>
        <v>Below Target</v>
      </c>
    </row>
    <row r="279" spans="1:18">
      <c r="A279" t="s">
        <v>35</v>
      </c>
      <c r="B279" t="s">
        <v>36</v>
      </c>
      <c r="C279" t="s">
        <v>25</v>
      </c>
      <c r="D279" t="s">
        <v>31</v>
      </c>
      <c r="E279" t="s">
        <v>38</v>
      </c>
      <c r="F279">
        <v>599</v>
      </c>
      <c r="G279" s="1">
        <v>1411</v>
      </c>
      <c r="H279" s="2">
        <v>45264</v>
      </c>
      <c r="I279" t="s">
        <v>41</v>
      </c>
      <c r="J279" t="s">
        <v>321</v>
      </c>
      <c r="K279" t="s">
        <v>44</v>
      </c>
      <c r="L279" t="str">
        <f t="shared" si="24"/>
        <v>Dec</v>
      </c>
      <c r="M279" t="str">
        <f t="shared" si="25"/>
        <v>Q4</v>
      </c>
      <c r="N279" t="str">
        <f t="shared" si="26"/>
        <v>Low</v>
      </c>
      <c r="O279">
        <f>_xlfn.XLOOKUP(I279,Helper_Table!A:A,Helper_Table!B:B)</f>
        <v>1.2</v>
      </c>
      <c r="P279" s="1">
        <f t="shared" si="27"/>
        <v>1693.2</v>
      </c>
      <c r="Q279" s="4">
        <f t="shared" si="28"/>
        <v>0.83333333333333326</v>
      </c>
      <c r="R279" t="str">
        <f t="shared" si="29"/>
        <v>Below Target</v>
      </c>
    </row>
    <row r="280" spans="1:18">
      <c r="A280" t="s">
        <v>64</v>
      </c>
      <c r="B280" t="s">
        <v>12</v>
      </c>
      <c r="C280" t="s">
        <v>20</v>
      </c>
      <c r="D280" t="s">
        <v>66</v>
      </c>
      <c r="E280">
        <v>30</v>
      </c>
      <c r="F280">
        <v>609</v>
      </c>
      <c r="G280" s="1">
        <v>25953</v>
      </c>
      <c r="H280" s="2">
        <v>45328</v>
      </c>
      <c r="I280" t="s">
        <v>41</v>
      </c>
      <c r="J280" t="s">
        <v>322</v>
      </c>
      <c r="K280" t="s">
        <v>34</v>
      </c>
      <c r="L280" t="str">
        <f t="shared" si="24"/>
        <v>Feb</v>
      </c>
      <c r="M280" t="str">
        <f t="shared" si="25"/>
        <v>Q1</v>
      </c>
      <c r="N280" t="str">
        <f t="shared" si="26"/>
        <v>Medium</v>
      </c>
      <c r="O280">
        <f>_xlfn.XLOOKUP(I280,Helper_Table!A:A,Helper_Table!B:B)</f>
        <v>1.2</v>
      </c>
      <c r="P280" s="1">
        <f t="shared" si="27"/>
        <v>31143.599999999999</v>
      </c>
      <c r="Q280" s="4">
        <f t="shared" si="28"/>
        <v>0.83333333333333337</v>
      </c>
      <c r="R280" t="str">
        <f t="shared" si="29"/>
        <v>Below Target</v>
      </c>
    </row>
    <row r="281" spans="1:18">
      <c r="A281" t="s">
        <v>11</v>
      </c>
      <c r="B281" t="s">
        <v>36</v>
      </c>
      <c r="C281" t="s">
        <v>59</v>
      </c>
      <c r="D281" t="s">
        <v>26</v>
      </c>
      <c r="E281" t="s">
        <v>38</v>
      </c>
      <c r="F281">
        <v>1199</v>
      </c>
      <c r="G281" s="1">
        <v>4779</v>
      </c>
      <c r="H281" s="2">
        <v>45447</v>
      </c>
      <c r="I281" t="s">
        <v>16</v>
      </c>
      <c r="J281" t="s">
        <v>323</v>
      </c>
      <c r="K281" t="s">
        <v>18</v>
      </c>
      <c r="L281" t="str">
        <f t="shared" si="24"/>
        <v>Jun</v>
      </c>
      <c r="M281" t="str">
        <f t="shared" si="25"/>
        <v>Q2</v>
      </c>
      <c r="N281" t="str">
        <f t="shared" si="26"/>
        <v>Low</v>
      </c>
      <c r="O281">
        <f>_xlfn.XLOOKUP(I281,Helper_Table!A:A,Helper_Table!B:B)</f>
        <v>1.1000000000000001</v>
      </c>
      <c r="P281" s="1">
        <f t="shared" si="27"/>
        <v>5256.9000000000005</v>
      </c>
      <c r="Q281" s="4">
        <f t="shared" si="28"/>
        <v>0.90909090909090895</v>
      </c>
      <c r="R281" t="str">
        <f t="shared" si="29"/>
        <v>Below Target</v>
      </c>
    </row>
    <row r="282" spans="1:18">
      <c r="A282" t="s">
        <v>24</v>
      </c>
      <c r="B282" t="s">
        <v>51</v>
      </c>
      <c r="C282" t="s">
        <v>59</v>
      </c>
      <c r="D282" t="s">
        <v>26</v>
      </c>
      <c r="E282" t="s">
        <v>15</v>
      </c>
      <c r="F282">
        <v>1238</v>
      </c>
      <c r="G282" s="1">
        <v>30313</v>
      </c>
      <c r="H282" s="2">
        <v>45333</v>
      </c>
      <c r="I282" t="s">
        <v>16</v>
      </c>
      <c r="J282" t="s">
        <v>324</v>
      </c>
      <c r="K282" t="s">
        <v>29</v>
      </c>
      <c r="L282" t="str">
        <f t="shared" si="24"/>
        <v>Feb</v>
      </c>
      <c r="M282" t="str">
        <f t="shared" si="25"/>
        <v>Q1</v>
      </c>
      <c r="N282" t="str">
        <f t="shared" si="26"/>
        <v>Medium</v>
      </c>
      <c r="O282">
        <f>_xlfn.XLOOKUP(I282,Helper_Table!A:A,Helper_Table!B:B)</f>
        <v>1.1000000000000001</v>
      </c>
      <c r="P282" s="1">
        <f t="shared" si="27"/>
        <v>33344.300000000003</v>
      </c>
      <c r="Q282" s="4">
        <f t="shared" si="28"/>
        <v>0.90909090909090906</v>
      </c>
      <c r="R282" t="str">
        <f t="shared" si="29"/>
        <v>Below Target</v>
      </c>
    </row>
    <row r="283" spans="1:18">
      <c r="A283" t="s">
        <v>11</v>
      </c>
      <c r="B283" t="s">
        <v>19</v>
      </c>
      <c r="C283" t="s">
        <v>20</v>
      </c>
      <c r="D283" t="s">
        <v>31</v>
      </c>
      <c r="E283">
        <v>60</v>
      </c>
      <c r="F283">
        <v>354</v>
      </c>
      <c r="G283" s="1">
        <v>11544</v>
      </c>
      <c r="H283" s="2">
        <v>45468</v>
      </c>
      <c r="I283" t="s">
        <v>16</v>
      </c>
      <c r="J283" t="s">
        <v>325</v>
      </c>
      <c r="K283" t="s">
        <v>34</v>
      </c>
      <c r="L283" t="str">
        <f t="shared" si="24"/>
        <v>Jun</v>
      </c>
      <c r="M283" t="str">
        <f t="shared" si="25"/>
        <v>Q2</v>
      </c>
      <c r="N283" t="str">
        <f t="shared" si="26"/>
        <v>Low</v>
      </c>
      <c r="O283">
        <f>_xlfn.XLOOKUP(I283,Helper_Table!A:A,Helper_Table!B:B)</f>
        <v>1.1000000000000001</v>
      </c>
      <c r="P283" s="1">
        <f t="shared" si="27"/>
        <v>12698.400000000001</v>
      </c>
      <c r="Q283" s="4">
        <f t="shared" si="28"/>
        <v>0.90909090909090895</v>
      </c>
      <c r="R283" t="str">
        <f t="shared" si="29"/>
        <v>Below Target</v>
      </c>
    </row>
    <row r="284" spans="1:18">
      <c r="A284" t="s">
        <v>64</v>
      </c>
      <c r="B284" t="s">
        <v>36</v>
      </c>
      <c r="C284" t="s">
        <v>20</v>
      </c>
      <c r="D284" t="s">
        <v>26</v>
      </c>
      <c r="E284" t="s">
        <v>38</v>
      </c>
      <c r="F284">
        <v>489</v>
      </c>
      <c r="G284" s="1">
        <v>48883</v>
      </c>
      <c r="H284" s="2">
        <v>45296</v>
      </c>
      <c r="I284" t="s">
        <v>16</v>
      </c>
      <c r="J284" t="s">
        <v>326</v>
      </c>
      <c r="K284" t="s">
        <v>44</v>
      </c>
      <c r="L284" t="str">
        <f t="shared" si="24"/>
        <v>Jan</v>
      </c>
      <c r="M284" t="str">
        <f t="shared" si="25"/>
        <v>Q1</v>
      </c>
      <c r="N284" t="str">
        <f t="shared" si="26"/>
        <v>High</v>
      </c>
      <c r="O284">
        <f>_xlfn.XLOOKUP(I284,Helper_Table!A:A,Helper_Table!B:B)</f>
        <v>1.1000000000000001</v>
      </c>
      <c r="P284" s="1">
        <f t="shared" si="27"/>
        <v>53771.3</v>
      </c>
      <c r="Q284" s="4">
        <f t="shared" si="28"/>
        <v>0.90909090909090906</v>
      </c>
      <c r="R284" t="str">
        <f t="shared" si="29"/>
        <v>Below Target</v>
      </c>
    </row>
    <row r="285" spans="1:18">
      <c r="A285" t="s">
        <v>45</v>
      </c>
      <c r="B285" t="s">
        <v>51</v>
      </c>
      <c r="C285" t="s">
        <v>13</v>
      </c>
      <c r="D285" t="s">
        <v>21</v>
      </c>
      <c r="E285" t="s">
        <v>38</v>
      </c>
      <c r="F285">
        <v>1042</v>
      </c>
      <c r="G285" s="1">
        <v>34649</v>
      </c>
      <c r="H285" s="2">
        <v>45486</v>
      </c>
      <c r="I285" t="s">
        <v>41</v>
      </c>
      <c r="J285" t="s">
        <v>327</v>
      </c>
      <c r="K285" t="s">
        <v>44</v>
      </c>
      <c r="L285" t="str">
        <f t="shared" si="24"/>
        <v>Jul</v>
      </c>
      <c r="M285" t="str">
        <f t="shared" si="25"/>
        <v>Q3</v>
      </c>
      <c r="N285" t="str">
        <f t="shared" si="26"/>
        <v>Medium</v>
      </c>
      <c r="O285">
        <f>_xlfn.XLOOKUP(I285,Helper_Table!A:A,Helper_Table!B:B)</f>
        <v>1.2</v>
      </c>
      <c r="P285" s="1">
        <f t="shared" si="27"/>
        <v>41578.799999999996</v>
      </c>
      <c r="Q285" s="4">
        <f t="shared" si="28"/>
        <v>0.83333333333333337</v>
      </c>
      <c r="R285" t="str">
        <f t="shared" si="29"/>
        <v>Below Target</v>
      </c>
    </row>
    <row r="286" spans="1:18">
      <c r="A286" t="s">
        <v>11</v>
      </c>
      <c r="B286" t="s">
        <v>51</v>
      </c>
      <c r="C286" t="s">
        <v>25</v>
      </c>
      <c r="D286" t="s">
        <v>14</v>
      </c>
      <c r="E286">
        <v>60</v>
      </c>
      <c r="F286">
        <v>392</v>
      </c>
      <c r="G286" s="1">
        <v>33170</v>
      </c>
      <c r="H286" s="2">
        <v>45453</v>
      </c>
      <c r="I286" t="s">
        <v>39</v>
      </c>
      <c r="J286" t="s">
        <v>328</v>
      </c>
      <c r="K286" t="s">
        <v>34</v>
      </c>
      <c r="L286" t="str">
        <f t="shared" si="24"/>
        <v>Jun</v>
      </c>
      <c r="M286" t="str">
        <f t="shared" si="25"/>
        <v>Q2</v>
      </c>
      <c r="N286" t="str">
        <f t="shared" si="26"/>
        <v>Medium</v>
      </c>
      <c r="O286">
        <f>_xlfn.XLOOKUP(I286,Helper_Table!A:A,Helper_Table!B:B)</f>
        <v>1.1000000000000001</v>
      </c>
      <c r="P286" s="1">
        <f t="shared" si="27"/>
        <v>36487</v>
      </c>
      <c r="Q286" s="4">
        <f t="shared" si="28"/>
        <v>0.90909090909090906</v>
      </c>
      <c r="R286" t="str">
        <f t="shared" si="29"/>
        <v>Below Target</v>
      </c>
    </row>
    <row r="287" spans="1:18">
      <c r="A287" t="s">
        <v>64</v>
      </c>
      <c r="B287" t="s">
        <v>49</v>
      </c>
      <c r="C287" t="s">
        <v>30</v>
      </c>
      <c r="D287" t="s">
        <v>21</v>
      </c>
      <c r="E287" t="s">
        <v>22</v>
      </c>
      <c r="F287">
        <v>786</v>
      </c>
      <c r="G287" s="1">
        <v>22000</v>
      </c>
      <c r="H287" s="2">
        <v>45383</v>
      </c>
      <c r="I287" t="s">
        <v>32</v>
      </c>
      <c r="J287" t="s">
        <v>329</v>
      </c>
      <c r="K287" t="s">
        <v>44</v>
      </c>
      <c r="L287" t="str">
        <f t="shared" si="24"/>
        <v>Apr</v>
      </c>
      <c r="M287" t="str">
        <f t="shared" si="25"/>
        <v>Q2</v>
      </c>
      <c r="N287" t="str">
        <f t="shared" si="26"/>
        <v>Medium</v>
      </c>
      <c r="O287">
        <f>_xlfn.XLOOKUP(I287,Helper_Table!A:A,Helper_Table!B:B)</f>
        <v>0.95</v>
      </c>
      <c r="P287" s="1">
        <f t="shared" si="27"/>
        <v>20900</v>
      </c>
      <c r="Q287" s="4">
        <f t="shared" si="28"/>
        <v>1.0526315789473684</v>
      </c>
      <c r="R287" t="str">
        <f t="shared" si="29"/>
        <v>Achieved</v>
      </c>
    </row>
    <row r="288" spans="1:18">
      <c r="A288" t="s">
        <v>45</v>
      </c>
      <c r="B288" t="s">
        <v>36</v>
      </c>
      <c r="C288" t="s">
        <v>13</v>
      </c>
      <c r="D288" t="s">
        <v>26</v>
      </c>
      <c r="E288" t="s">
        <v>22</v>
      </c>
      <c r="F288">
        <v>1347</v>
      </c>
      <c r="G288" s="1">
        <v>29744</v>
      </c>
      <c r="H288" s="2">
        <v>45492</v>
      </c>
      <c r="I288" t="s">
        <v>16</v>
      </c>
      <c r="J288" t="s">
        <v>330</v>
      </c>
      <c r="K288" t="s">
        <v>29</v>
      </c>
      <c r="L288" t="str">
        <f t="shared" si="24"/>
        <v>Jul</v>
      </c>
      <c r="M288" t="str">
        <f t="shared" si="25"/>
        <v>Q3</v>
      </c>
      <c r="N288" t="str">
        <f t="shared" si="26"/>
        <v>Medium</v>
      </c>
      <c r="O288">
        <f>_xlfn.XLOOKUP(I288,Helper_Table!A:A,Helper_Table!B:B)</f>
        <v>1.1000000000000001</v>
      </c>
      <c r="P288" s="1">
        <f t="shared" si="27"/>
        <v>32718.400000000001</v>
      </c>
      <c r="Q288" s="4">
        <f t="shared" si="28"/>
        <v>0.90909090909090906</v>
      </c>
      <c r="R288" t="str">
        <f t="shared" si="29"/>
        <v>Below Target</v>
      </c>
    </row>
    <row r="289" spans="1:18">
      <c r="A289" t="s">
        <v>11</v>
      </c>
      <c r="B289" t="s">
        <v>49</v>
      </c>
      <c r="C289" t="s">
        <v>59</v>
      </c>
      <c r="D289" t="s">
        <v>26</v>
      </c>
      <c r="E289">
        <v>60</v>
      </c>
      <c r="F289">
        <v>499</v>
      </c>
      <c r="G289" s="1">
        <v>14526</v>
      </c>
      <c r="H289" s="2">
        <v>45392</v>
      </c>
      <c r="I289" t="s">
        <v>41</v>
      </c>
      <c r="J289" t="s">
        <v>331</v>
      </c>
      <c r="K289" t="s">
        <v>29</v>
      </c>
      <c r="L289" t="str">
        <f t="shared" si="24"/>
        <v>Apr</v>
      </c>
      <c r="M289" t="str">
        <f t="shared" si="25"/>
        <v>Q2</v>
      </c>
      <c r="N289" t="str">
        <f t="shared" si="26"/>
        <v>Low</v>
      </c>
      <c r="O289">
        <f>_xlfn.XLOOKUP(I289,Helper_Table!A:A,Helper_Table!B:B)</f>
        <v>1.2</v>
      </c>
      <c r="P289" s="1">
        <f t="shared" si="27"/>
        <v>17431.2</v>
      </c>
      <c r="Q289" s="4">
        <f t="shared" si="28"/>
        <v>0.83333333333333326</v>
      </c>
      <c r="R289" t="str">
        <f t="shared" si="29"/>
        <v>Below Target</v>
      </c>
    </row>
    <row r="290" spans="1:18">
      <c r="A290" t="s">
        <v>24</v>
      </c>
      <c r="B290" t="s">
        <v>49</v>
      </c>
      <c r="C290" t="s">
        <v>25</v>
      </c>
      <c r="D290" t="s">
        <v>26</v>
      </c>
      <c r="E290">
        <v>60</v>
      </c>
      <c r="F290">
        <v>489</v>
      </c>
      <c r="G290" s="1">
        <v>25559</v>
      </c>
      <c r="H290" s="2">
        <v>45282</v>
      </c>
      <c r="I290" t="s">
        <v>16</v>
      </c>
      <c r="J290" t="s">
        <v>332</v>
      </c>
      <c r="K290" t="s">
        <v>44</v>
      </c>
      <c r="L290" t="str">
        <f t="shared" si="24"/>
        <v>Dec</v>
      </c>
      <c r="M290" t="str">
        <f t="shared" si="25"/>
        <v>Q4</v>
      </c>
      <c r="N290" t="str">
        <f t="shared" si="26"/>
        <v>Medium</v>
      </c>
      <c r="O290">
        <f>_xlfn.XLOOKUP(I290,Helper_Table!A:A,Helper_Table!B:B)</f>
        <v>1.1000000000000001</v>
      </c>
      <c r="P290" s="1">
        <f t="shared" si="27"/>
        <v>28114.9</v>
      </c>
      <c r="Q290" s="4">
        <f t="shared" si="28"/>
        <v>0.90909090909090906</v>
      </c>
      <c r="R290" t="str">
        <f t="shared" si="29"/>
        <v>Below Target</v>
      </c>
    </row>
    <row r="291" spans="1:18">
      <c r="A291" t="s">
        <v>24</v>
      </c>
      <c r="B291" t="s">
        <v>12</v>
      </c>
      <c r="C291" t="s">
        <v>25</v>
      </c>
      <c r="D291" t="s">
        <v>66</v>
      </c>
      <c r="E291">
        <v>30</v>
      </c>
      <c r="F291">
        <v>963</v>
      </c>
      <c r="G291" s="1">
        <v>24965</v>
      </c>
      <c r="H291" s="2">
        <v>45203</v>
      </c>
      <c r="I291" t="s">
        <v>39</v>
      </c>
      <c r="J291" t="s">
        <v>333</v>
      </c>
      <c r="K291" t="s">
        <v>29</v>
      </c>
      <c r="L291" t="str">
        <f t="shared" si="24"/>
        <v>Oct</v>
      </c>
      <c r="M291" t="str">
        <f t="shared" si="25"/>
        <v>Q4</v>
      </c>
      <c r="N291" t="str">
        <f t="shared" si="26"/>
        <v>Medium</v>
      </c>
      <c r="O291">
        <f>_xlfn.XLOOKUP(I291,Helper_Table!A:A,Helper_Table!B:B)</f>
        <v>1.1000000000000001</v>
      </c>
      <c r="P291" s="1">
        <f t="shared" si="27"/>
        <v>27461.500000000004</v>
      </c>
      <c r="Q291" s="4">
        <f t="shared" si="28"/>
        <v>0.90909090909090895</v>
      </c>
      <c r="R291" t="str">
        <f t="shared" si="29"/>
        <v>Below Target</v>
      </c>
    </row>
    <row r="292" spans="1:18">
      <c r="A292" t="s">
        <v>45</v>
      </c>
      <c r="B292" t="s">
        <v>49</v>
      </c>
      <c r="C292" t="s">
        <v>20</v>
      </c>
      <c r="D292" t="s">
        <v>66</v>
      </c>
      <c r="E292" t="s">
        <v>22</v>
      </c>
      <c r="F292">
        <v>1650</v>
      </c>
      <c r="G292" s="1">
        <v>36514</v>
      </c>
      <c r="H292" s="2">
        <v>45469</v>
      </c>
      <c r="I292" t="s">
        <v>39</v>
      </c>
      <c r="J292" t="s">
        <v>334</v>
      </c>
      <c r="K292" t="s">
        <v>29</v>
      </c>
      <c r="L292" t="str">
        <f t="shared" si="24"/>
        <v>Jun</v>
      </c>
      <c r="M292" t="str">
        <f t="shared" si="25"/>
        <v>Q2</v>
      </c>
      <c r="N292" t="str">
        <f t="shared" si="26"/>
        <v>Medium</v>
      </c>
      <c r="O292">
        <f>_xlfn.XLOOKUP(I292,Helper_Table!A:A,Helper_Table!B:B)</f>
        <v>1.1000000000000001</v>
      </c>
      <c r="P292" s="1">
        <f t="shared" si="27"/>
        <v>40165.4</v>
      </c>
      <c r="Q292" s="4">
        <f t="shared" si="28"/>
        <v>0.90909090909090906</v>
      </c>
      <c r="R292" t="str">
        <f t="shared" si="29"/>
        <v>Below Target</v>
      </c>
    </row>
    <row r="293" spans="1:18">
      <c r="A293" t="s">
        <v>11</v>
      </c>
      <c r="B293" t="s">
        <v>51</v>
      </c>
      <c r="C293" t="s">
        <v>25</v>
      </c>
      <c r="D293" t="s">
        <v>21</v>
      </c>
      <c r="E293" t="s">
        <v>22</v>
      </c>
      <c r="F293">
        <v>1826</v>
      </c>
      <c r="G293" s="1">
        <v>46602</v>
      </c>
      <c r="H293" s="2">
        <v>45483</v>
      </c>
      <c r="I293" t="s">
        <v>32</v>
      </c>
      <c r="J293" t="s">
        <v>335</v>
      </c>
      <c r="K293" t="s">
        <v>47</v>
      </c>
      <c r="L293" t="str">
        <f t="shared" si="24"/>
        <v>Jul</v>
      </c>
      <c r="M293" t="str">
        <f t="shared" si="25"/>
        <v>Q3</v>
      </c>
      <c r="N293" t="str">
        <f t="shared" si="26"/>
        <v>High</v>
      </c>
      <c r="O293">
        <f>_xlfn.XLOOKUP(I293,Helper_Table!A:A,Helper_Table!B:B)</f>
        <v>0.95</v>
      </c>
      <c r="P293" s="1">
        <f t="shared" si="27"/>
        <v>44271.9</v>
      </c>
      <c r="Q293" s="4">
        <f t="shared" si="28"/>
        <v>1.0526315789473684</v>
      </c>
      <c r="R293" t="str">
        <f t="shared" si="29"/>
        <v>Achieved</v>
      </c>
    </row>
    <row r="294" spans="1:18">
      <c r="A294" t="s">
        <v>64</v>
      </c>
      <c r="B294" t="s">
        <v>36</v>
      </c>
      <c r="C294" t="s">
        <v>20</v>
      </c>
      <c r="D294" t="s">
        <v>21</v>
      </c>
      <c r="E294">
        <v>60</v>
      </c>
      <c r="F294">
        <v>608</v>
      </c>
      <c r="G294" s="1">
        <v>28326</v>
      </c>
      <c r="H294" s="2">
        <v>45417</v>
      </c>
      <c r="I294" t="s">
        <v>41</v>
      </c>
      <c r="J294" t="s">
        <v>336</v>
      </c>
      <c r="K294" t="s">
        <v>18</v>
      </c>
      <c r="L294" t="str">
        <f t="shared" si="24"/>
        <v>May</v>
      </c>
      <c r="M294" t="str">
        <f t="shared" si="25"/>
        <v>Q2</v>
      </c>
      <c r="N294" t="str">
        <f t="shared" si="26"/>
        <v>Medium</v>
      </c>
      <c r="O294">
        <f>_xlfn.XLOOKUP(I294,Helper_Table!A:A,Helper_Table!B:B)</f>
        <v>1.2</v>
      </c>
      <c r="P294" s="1">
        <f t="shared" si="27"/>
        <v>33991.199999999997</v>
      </c>
      <c r="Q294" s="4">
        <f t="shared" si="28"/>
        <v>0.83333333333333337</v>
      </c>
      <c r="R294" t="str">
        <f t="shared" si="29"/>
        <v>Below Target</v>
      </c>
    </row>
    <row r="295" spans="1:18">
      <c r="A295" t="s">
        <v>35</v>
      </c>
      <c r="B295" t="s">
        <v>49</v>
      </c>
      <c r="C295" t="s">
        <v>13</v>
      </c>
      <c r="D295" t="s">
        <v>21</v>
      </c>
      <c r="E295" t="s">
        <v>22</v>
      </c>
      <c r="F295">
        <v>297</v>
      </c>
      <c r="G295" s="1">
        <v>20215</v>
      </c>
      <c r="H295" s="2">
        <v>45462</v>
      </c>
      <c r="I295" t="s">
        <v>39</v>
      </c>
      <c r="J295" t="s">
        <v>337</v>
      </c>
      <c r="K295" t="s">
        <v>34</v>
      </c>
      <c r="L295" t="str">
        <f t="shared" si="24"/>
        <v>Jun</v>
      </c>
      <c r="M295" t="str">
        <f t="shared" si="25"/>
        <v>Q2</v>
      </c>
      <c r="N295" t="str">
        <f t="shared" si="26"/>
        <v>Medium</v>
      </c>
      <c r="O295">
        <f>_xlfn.XLOOKUP(I295,Helper_Table!A:A,Helper_Table!B:B)</f>
        <v>1.1000000000000001</v>
      </c>
      <c r="P295" s="1">
        <f t="shared" si="27"/>
        <v>22236.5</v>
      </c>
      <c r="Q295" s="4">
        <f t="shared" si="28"/>
        <v>0.90909090909090906</v>
      </c>
      <c r="R295" t="str">
        <f t="shared" si="29"/>
        <v>Below Target</v>
      </c>
    </row>
    <row r="296" spans="1:18">
      <c r="A296" t="s">
        <v>35</v>
      </c>
      <c r="B296" t="s">
        <v>49</v>
      </c>
      <c r="C296" t="s">
        <v>20</v>
      </c>
      <c r="D296" t="s">
        <v>66</v>
      </c>
      <c r="E296">
        <v>60</v>
      </c>
      <c r="F296">
        <v>1095</v>
      </c>
      <c r="G296" s="1">
        <v>23543</v>
      </c>
      <c r="H296" s="2">
        <v>45182</v>
      </c>
      <c r="I296" t="s">
        <v>16</v>
      </c>
      <c r="J296" t="s">
        <v>338</v>
      </c>
      <c r="K296" t="s">
        <v>18</v>
      </c>
      <c r="L296" t="str">
        <f t="shared" si="24"/>
        <v>Sep</v>
      </c>
      <c r="M296" t="str">
        <f t="shared" si="25"/>
        <v>Q3</v>
      </c>
      <c r="N296" t="str">
        <f t="shared" si="26"/>
        <v>Medium</v>
      </c>
      <c r="O296">
        <f>_xlfn.XLOOKUP(I296,Helper_Table!A:A,Helper_Table!B:B)</f>
        <v>1.1000000000000001</v>
      </c>
      <c r="P296" s="1">
        <f t="shared" si="27"/>
        <v>25897.300000000003</v>
      </c>
      <c r="Q296" s="4">
        <f t="shared" si="28"/>
        <v>0.90909090909090895</v>
      </c>
      <c r="R296" t="str">
        <f t="shared" si="29"/>
        <v>Below Target</v>
      </c>
    </row>
    <row r="297" spans="1:18">
      <c r="A297" t="s">
        <v>64</v>
      </c>
      <c r="B297" t="s">
        <v>51</v>
      </c>
      <c r="C297" t="s">
        <v>13</v>
      </c>
      <c r="D297" t="s">
        <v>31</v>
      </c>
      <c r="E297">
        <v>30</v>
      </c>
      <c r="F297">
        <v>1585</v>
      </c>
      <c r="G297" s="1">
        <v>34365</v>
      </c>
      <c r="H297" s="2">
        <v>45376</v>
      </c>
      <c r="I297" t="s">
        <v>39</v>
      </c>
      <c r="J297" t="s">
        <v>339</v>
      </c>
      <c r="K297" t="s">
        <v>29</v>
      </c>
      <c r="L297" t="str">
        <f t="shared" si="24"/>
        <v>Mar</v>
      </c>
      <c r="M297" t="str">
        <f t="shared" si="25"/>
        <v>Q1</v>
      </c>
      <c r="N297" t="str">
        <f t="shared" si="26"/>
        <v>Medium</v>
      </c>
      <c r="O297">
        <f>_xlfn.XLOOKUP(I297,Helper_Table!A:A,Helper_Table!B:B)</f>
        <v>1.1000000000000001</v>
      </c>
      <c r="P297" s="1">
        <f t="shared" si="27"/>
        <v>37801.5</v>
      </c>
      <c r="Q297" s="4">
        <f t="shared" si="28"/>
        <v>0.90909090909090906</v>
      </c>
      <c r="R297" t="str">
        <f t="shared" si="29"/>
        <v>Below Target</v>
      </c>
    </row>
    <row r="298" spans="1:18">
      <c r="A298" t="s">
        <v>24</v>
      </c>
      <c r="B298" t="s">
        <v>12</v>
      </c>
      <c r="C298" t="s">
        <v>30</v>
      </c>
      <c r="D298" t="s">
        <v>21</v>
      </c>
      <c r="E298" t="s">
        <v>15</v>
      </c>
      <c r="F298">
        <v>749</v>
      </c>
      <c r="G298" s="1">
        <v>13462</v>
      </c>
      <c r="H298" s="2">
        <v>45164</v>
      </c>
      <c r="I298" t="s">
        <v>39</v>
      </c>
      <c r="J298" t="s">
        <v>340</v>
      </c>
      <c r="K298" t="s">
        <v>18</v>
      </c>
      <c r="L298" t="str">
        <f t="shared" si="24"/>
        <v>Aug</v>
      </c>
      <c r="M298" t="str">
        <f t="shared" si="25"/>
        <v>Q3</v>
      </c>
      <c r="N298" t="str">
        <f t="shared" si="26"/>
        <v>Low</v>
      </c>
      <c r="O298">
        <f>_xlfn.XLOOKUP(I298,Helper_Table!A:A,Helper_Table!B:B)</f>
        <v>1.1000000000000001</v>
      </c>
      <c r="P298" s="1">
        <f t="shared" si="27"/>
        <v>14808.2</v>
      </c>
      <c r="Q298" s="4">
        <f t="shared" si="28"/>
        <v>0.90909090909090906</v>
      </c>
      <c r="R298" t="str">
        <f t="shared" si="29"/>
        <v>Below Target</v>
      </c>
    </row>
    <row r="299" spans="1:18">
      <c r="A299" t="s">
        <v>11</v>
      </c>
      <c r="B299" t="s">
        <v>19</v>
      </c>
      <c r="C299" t="s">
        <v>25</v>
      </c>
      <c r="D299" t="s">
        <v>31</v>
      </c>
      <c r="E299" t="s">
        <v>15</v>
      </c>
      <c r="F299">
        <v>1666</v>
      </c>
      <c r="G299" s="1">
        <v>32893</v>
      </c>
      <c r="H299" s="2">
        <v>45199</v>
      </c>
      <c r="I299" t="s">
        <v>41</v>
      </c>
      <c r="J299" t="s">
        <v>341</v>
      </c>
      <c r="K299" t="s">
        <v>18</v>
      </c>
      <c r="L299" t="str">
        <f t="shared" si="24"/>
        <v>Sep</v>
      </c>
      <c r="M299" t="str">
        <f t="shared" si="25"/>
        <v>Q3</v>
      </c>
      <c r="N299" t="str">
        <f t="shared" si="26"/>
        <v>Medium</v>
      </c>
      <c r="O299">
        <f>_xlfn.XLOOKUP(I299,Helper_Table!A:A,Helper_Table!B:B)</f>
        <v>1.2</v>
      </c>
      <c r="P299" s="1">
        <f t="shared" si="27"/>
        <v>39471.599999999999</v>
      </c>
      <c r="Q299" s="4">
        <f t="shared" si="28"/>
        <v>0.83333333333333337</v>
      </c>
      <c r="R299" t="str">
        <f t="shared" si="29"/>
        <v>Below Target</v>
      </c>
    </row>
    <row r="300" spans="1:18">
      <c r="A300" t="s">
        <v>45</v>
      </c>
      <c r="B300" t="s">
        <v>12</v>
      </c>
      <c r="C300" t="s">
        <v>20</v>
      </c>
      <c r="D300" t="s">
        <v>26</v>
      </c>
      <c r="E300">
        <v>60</v>
      </c>
      <c r="F300">
        <v>371</v>
      </c>
      <c r="G300" s="1">
        <v>25596</v>
      </c>
      <c r="H300" s="2">
        <v>45352</v>
      </c>
      <c r="I300" t="s">
        <v>39</v>
      </c>
      <c r="J300" t="s">
        <v>342</v>
      </c>
      <c r="K300" t="s">
        <v>44</v>
      </c>
      <c r="L300" t="str">
        <f t="shared" si="24"/>
        <v>Mar</v>
      </c>
      <c r="M300" t="str">
        <f t="shared" si="25"/>
        <v>Q1</v>
      </c>
      <c r="N300" t="str">
        <f t="shared" si="26"/>
        <v>Medium</v>
      </c>
      <c r="O300">
        <f>_xlfn.XLOOKUP(I300,Helper_Table!A:A,Helper_Table!B:B)</f>
        <v>1.1000000000000001</v>
      </c>
      <c r="P300" s="1">
        <f t="shared" si="27"/>
        <v>28155.600000000002</v>
      </c>
      <c r="Q300" s="4">
        <f t="shared" si="28"/>
        <v>0.90909090909090906</v>
      </c>
      <c r="R300" t="str">
        <f t="shared" si="29"/>
        <v>Below Target</v>
      </c>
    </row>
    <row r="301" spans="1:18">
      <c r="A301" t="s">
        <v>64</v>
      </c>
      <c r="B301" t="s">
        <v>49</v>
      </c>
      <c r="C301" t="s">
        <v>59</v>
      </c>
      <c r="D301" t="s">
        <v>66</v>
      </c>
      <c r="E301" t="s">
        <v>22</v>
      </c>
      <c r="F301">
        <v>1663</v>
      </c>
      <c r="G301" s="1">
        <v>20214</v>
      </c>
      <c r="H301" s="2">
        <v>45269</v>
      </c>
      <c r="I301" t="s">
        <v>16</v>
      </c>
      <c r="J301" t="s">
        <v>343</v>
      </c>
      <c r="K301" t="s">
        <v>29</v>
      </c>
      <c r="L301" t="str">
        <f t="shared" si="24"/>
        <v>Dec</v>
      </c>
      <c r="M301" t="str">
        <f t="shared" si="25"/>
        <v>Q4</v>
      </c>
      <c r="N301" t="str">
        <f t="shared" si="26"/>
        <v>Medium</v>
      </c>
      <c r="O301">
        <f>_xlfn.XLOOKUP(I301,Helper_Table!A:A,Helper_Table!B:B)</f>
        <v>1.1000000000000001</v>
      </c>
      <c r="P301" s="1">
        <f t="shared" si="27"/>
        <v>22235.4</v>
      </c>
      <c r="Q301" s="4">
        <f t="shared" si="28"/>
        <v>0.90909090909090906</v>
      </c>
      <c r="R301" t="str">
        <f t="shared" si="29"/>
        <v>Below Target</v>
      </c>
    </row>
    <row r="302" spans="1:18">
      <c r="A302" t="s">
        <v>24</v>
      </c>
      <c r="B302" t="s">
        <v>51</v>
      </c>
      <c r="C302" t="s">
        <v>13</v>
      </c>
      <c r="D302" t="s">
        <v>21</v>
      </c>
      <c r="E302" t="s">
        <v>15</v>
      </c>
      <c r="F302">
        <v>698</v>
      </c>
      <c r="G302" s="1">
        <v>1522</v>
      </c>
      <c r="H302" s="2">
        <v>45141</v>
      </c>
      <c r="I302" t="s">
        <v>41</v>
      </c>
      <c r="J302" t="s">
        <v>344</v>
      </c>
      <c r="K302" t="s">
        <v>29</v>
      </c>
      <c r="L302" t="str">
        <f t="shared" si="24"/>
        <v>Aug</v>
      </c>
      <c r="M302" t="str">
        <f t="shared" si="25"/>
        <v>Q3</v>
      </c>
      <c r="N302" t="str">
        <f t="shared" si="26"/>
        <v>Low</v>
      </c>
      <c r="O302">
        <f>_xlfn.XLOOKUP(I302,Helper_Table!A:A,Helper_Table!B:B)</f>
        <v>1.2</v>
      </c>
      <c r="P302" s="1">
        <f t="shared" si="27"/>
        <v>1826.3999999999999</v>
      </c>
      <c r="Q302" s="4">
        <f t="shared" si="28"/>
        <v>0.83333333333333337</v>
      </c>
      <c r="R302" t="str">
        <f t="shared" si="29"/>
        <v>Below Target</v>
      </c>
    </row>
    <row r="303" spans="1:18">
      <c r="A303" t="s">
        <v>11</v>
      </c>
      <c r="B303" t="s">
        <v>49</v>
      </c>
      <c r="C303" t="s">
        <v>13</v>
      </c>
      <c r="D303" t="s">
        <v>21</v>
      </c>
      <c r="E303" t="s">
        <v>15</v>
      </c>
      <c r="F303">
        <v>1595</v>
      </c>
      <c r="G303" s="1">
        <v>16585</v>
      </c>
      <c r="H303" s="2">
        <v>45486</v>
      </c>
      <c r="I303" t="s">
        <v>32</v>
      </c>
      <c r="J303" t="s">
        <v>345</v>
      </c>
      <c r="K303" t="s">
        <v>44</v>
      </c>
      <c r="L303" t="str">
        <f t="shared" si="24"/>
        <v>Jul</v>
      </c>
      <c r="M303" t="str">
        <f t="shared" si="25"/>
        <v>Q3</v>
      </c>
      <c r="N303" t="str">
        <f t="shared" si="26"/>
        <v>Low</v>
      </c>
      <c r="O303">
        <f>_xlfn.XLOOKUP(I303,Helper_Table!A:A,Helper_Table!B:B)</f>
        <v>0.95</v>
      </c>
      <c r="P303" s="1">
        <f t="shared" si="27"/>
        <v>15755.75</v>
      </c>
      <c r="Q303" s="4">
        <f t="shared" si="28"/>
        <v>1.0526315789473684</v>
      </c>
      <c r="R303" t="str">
        <f t="shared" si="29"/>
        <v>Achieved</v>
      </c>
    </row>
    <row r="304" spans="1:18">
      <c r="A304" t="s">
        <v>24</v>
      </c>
      <c r="B304" t="s">
        <v>49</v>
      </c>
      <c r="C304" t="s">
        <v>30</v>
      </c>
      <c r="D304" t="s">
        <v>14</v>
      </c>
      <c r="E304">
        <v>60</v>
      </c>
      <c r="F304">
        <v>1474</v>
      </c>
      <c r="G304" s="1">
        <v>32199</v>
      </c>
      <c r="H304" s="2">
        <v>45300</v>
      </c>
      <c r="I304" t="s">
        <v>16</v>
      </c>
      <c r="J304" t="s">
        <v>346</v>
      </c>
      <c r="K304" t="s">
        <v>18</v>
      </c>
      <c r="L304" t="str">
        <f t="shared" si="24"/>
        <v>Jan</v>
      </c>
      <c r="M304" t="str">
        <f t="shared" si="25"/>
        <v>Q1</v>
      </c>
      <c r="N304" t="str">
        <f t="shared" si="26"/>
        <v>Medium</v>
      </c>
      <c r="O304">
        <f>_xlfn.XLOOKUP(I304,Helper_Table!A:A,Helper_Table!B:B)</f>
        <v>1.1000000000000001</v>
      </c>
      <c r="P304" s="1">
        <f t="shared" si="27"/>
        <v>35418.9</v>
      </c>
      <c r="Q304" s="4">
        <f t="shared" si="28"/>
        <v>0.90909090909090906</v>
      </c>
      <c r="R304" t="str">
        <f t="shared" si="29"/>
        <v>Below Target</v>
      </c>
    </row>
    <row r="305" spans="1:18">
      <c r="A305" t="s">
        <v>11</v>
      </c>
      <c r="B305" t="s">
        <v>36</v>
      </c>
      <c r="C305" t="s">
        <v>20</v>
      </c>
      <c r="D305" t="s">
        <v>66</v>
      </c>
      <c r="E305" t="s">
        <v>38</v>
      </c>
      <c r="F305">
        <v>1611</v>
      </c>
      <c r="G305" s="1">
        <v>37594</v>
      </c>
      <c r="H305" s="2">
        <v>45447</v>
      </c>
      <c r="I305" t="s">
        <v>41</v>
      </c>
      <c r="J305" t="s">
        <v>347</v>
      </c>
      <c r="K305" t="s">
        <v>34</v>
      </c>
      <c r="L305" t="str">
        <f t="shared" si="24"/>
        <v>Jun</v>
      </c>
      <c r="M305" t="str">
        <f t="shared" si="25"/>
        <v>Q2</v>
      </c>
      <c r="N305" t="str">
        <f t="shared" si="26"/>
        <v>Medium</v>
      </c>
      <c r="O305">
        <f>_xlfn.XLOOKUP(I305,Helper_Table!A:A,Helper_Table!B:B)</f>
        <v>1.2</v>
      </c>
      <c r="P305" s="1">
        <f t="shared" si="27"/>
        <v>45112.799999999996</v>
      </c>
      <c r="Q305" s="4">
        <f t="shared" si="28"/>
        <v>0.83333333333333337</v>
      </c>
      <c r="R305" t="str">
        <f t="shared" si="29"/>
        <v>Below Target</v>
      </c>
    </row>
    <row r="306" spans="1:18">
      <c r="A306" t="s">
        <v>24</v>
      </c>
      <c r="B306" t="s">
        <v>36</v>
      </c>
      <c r="C306" t="s">
        <v>30</v>
      </c>
      <c r="D306" t="s">
        <v>31</v>
      </c>
      <c r="E306" t="s">
        <v>38</v>
      </c>
      <c r="F306">
        <v>1876</v>
      </c>
      <c r="G306" s="1">
        <v>26559</v>
      </c>
      <c r="H306" s="2">
        <v>45166</v>
      </c>
      <c r="I306" t="s">
        <v>16</v>
      </c>
      <c r="J306" t="s">
        <v>348</v>
      </c>
      <c r="K306" t="s">
        <v>44</v>
      </c>
      <c r="L306" t="str">
        <f t="shared" si="24"/>
        <v>Aug</v>
      </c>
      <c r="M306" t="str">
        <f t="shared" si="25"/>
        <v>Q3</v>
      </c>
      <c r="N306" t="str">
        <f t="shared" si="26"/>
        <v>Medium</v>
      </c>
      <c r="O306">
        <f>_xlfn.XLOOKUP(I306,Helper_Table!A:A,Helper_Table!B:B)</f>
        <v>1.1000000000000001</v>
      </c>
      <c r="P306" s="1">
        <f t="shared" si="27"/>
        <v>29214.9</v>
      </c>
      <c r="Q306" s="4">
        <f t="shared" si="28"/>
        <v>0.90909090909090906</v>
      </c>
      <c r="R306" t="str">
        <f t="shared" si="29"/>
        <v>Below Target</v>
      </c>
    </row>
    <row r="307" spans="1:18">
      <c r="A307" t="s">
        <v>35</v>
      </c>
      <c r="B307" t="s">
        <v>51</v>
      </c>
      <c r="C307" t="s">
        <v>20</v>
      </c>
      <c r="D307" t="s">
        <v>21</v>
      </c>
      <c r="E307">
        <v>60</v>
      </c>
      <c r="F307">
        <v>939</v>
      </c>
      <c r="G307" s="1">
        <v>22379</v>
      </c>
      <c r="H307" s="2">
        <v>45404</v>
      </c>
      <c r="I307" t="s">
        <v>32</v>
      </c>
      <c r="J307" t="s">
        <v>349</v>
      </c>
      <c r="K307" t="s">
        <v>44</v>
      </c>
      <c r="L307" t="str">
        <f t="shared" si="24"/>
        <v>Apr</v>
      </c>
      <c r="M307" t="str">
        <f t="shared" si="25"/>
        <v>Q2</v>
      </c>
      <c r="N307" t="str">
        <f t="shared" si="26"/>
        <v>Medium</v>
      </c>
      <c r="O307">
        <f>_xlfn.XLOOKUP(I307,Helper_Table!A:A,Helper_Table!B:B)</f>
        <v>0.95</v>
      </c>
      <c r="P307" s="1">
        <f t="shared" si="27"/>
        <v>21260.05</v>
      </c>
      <c r="Q307" s="4">
        <f t="shared" si="28"/>
        <v>1.0526315789473684</v>
      </c>
      <c r="R307" t="str">
        <f t="shared" si="29"/>
        <v>Achieved</v>
      </c>
    </row>
    <row r="308" spans="1:18">
      <c r="A308" t="s">
        <v>45</v>
      </c>
      <c r="B308" t="s">
        <v>36</v>
      </c>
      <c r="C308" t="s">
        <v>20</v>
      </c>
      <c r="D308" t="s">
        <v>26</v>
      </c>
      <c r="E308">
        <v>60</v>
      </c>
      <c r="F308">
        <v>1075</v>
      </c>
      <c r="G308" s="1">
        <v>41442</v>
      </c>
      <c r="H308" s="2">
        <v>45423</v>
      </c>
      <c r="I308" t="s">
        <v>39</v>
      </c>
      <c r="J308" t="s">
        <v>350</v>
      </c>
      <c r="K308" t="s">
        <v>29</v>
      </c>
      <c r="L308" t="str">
        <f t="shared" si="24"/>
        <v>May</v>
      </c>
      <c r="M308" t="str">
        <f t="shared" si="25"/>
        <v>Q2</v>
      </c>
      <c r="N308" t="str">
        <f t="shared" si="26"/>
        <v>High</v>
      </c>
      <c r="O308">
        <f>_xlfn.XLOOKUP(I308,Helper_Table!A:A,Helper_Table!B:B)</f>
        <v>1.1000000000000001</v>
      </c>
      <c r="P308" s="1">
        <f t="shared" si="27"/>
        <v>45586.200000000004</v>
      </c>
      <c r="Q308" s="4">
        <f t="shared" si="28"/>
        <v>0.90909090909090895</v>
      </c>
      <c r="R308" t="str">
        <f t="shared" si="29"/>
        <v>Below Target</v>
      </c>
    </row>
    <row r="309" spans="1:18">
      <c r="A309" t="s">
        <v>11</v>
      </c>
      <c r="B309" t="s">
        <v>49</v>
      </c>
      <c r="C309" t="s">
        <v>59</v>
      </c>
      <c r="D309" t="s">
        <v>31</v>
      </c>
      <c r="E309">
        <v>30</v>
      </c>
      <c r="F309">
        <v>868</v>
      </c>
      <c r="G309" s="1">
        <v>41228</v>
      </c>
      <c r="H309" s="2">
        <v>45462</v>
      </c>
      <c r="I309" t="s">
        <v>39</v>
      </c>
      <c r="J309" t="s">
        <v>351</v>
      </c>
      <c r="K309" t="s">
        <v>44</v>
      </c>
      <c r="L309" t="str">
        <f t="shared" si="24"/>
        <v>Jun</v>
      </c>
      <c r="M309" t="str">
        <f t="shared" si="25"/>
        <v>Q2</v>
      </c>
      <c r="N309" t="str">
        <f t="shared" si="26"/>
        <v>High</v>
      </c>
      <c r="O309">
        <f>_xlfn.XLOOKUP(I309,Helper_Table!A:A,Helper_Table!B:B)</f>
        <v>1.1000000000000001</v>
      </c>
      <c r="P309" s="1">
        <f t="shared" si="27"/>
        <v>45350.8</v>
      </c>
      <c r="Q309" s="4">
        <f t="shared" si="28"/>
        <v>0.90909090909090906</v>
      </c>
      <c r="R309" t="str">
        <f t="shared" si="29"/>
        <v>Below Target</v>
      </c>
    </row>
    <row r="310" spans="1:18">
      <c r="A310" t="s">
        <v>24</v>
      </c>
      <c r="B310" t="s">
        <v>19</v>
      </c>
      <c r="C310" t="s">
        <v>20</v>
      </c>
      <c r="D310" t="s">
        <v>26</v>
      </c>
      <c r="E310" t="s">
        <v>38</v>
      </c>
      <c r="F310">
        <v>1135</v>
      </c>
      <c r="G310" s="1">
        <v>42632</v>
      </c>
      <c r="H310" s="2">
        <v>45377</v>
      </c>
      <c r="I310" t="s">
        <v>27</v>
      </c>
      <c r="J310" t="s">
        <v>352</v>
      </c>
      <c r="K310" t="s">
        <v>44</v>
      </c>
      <c r="L310" t="str">
        <f t="shared" si="24"/>
        <v>Mar</v>
      </c>
      <c r="M310" t="str">
        <f t="shared" si="25"/>
        <v>Q1</v>
      </c>
      <c r="N310" t="str">
        <f t="shared" si="26"/>
        <v>High</v>
      </c>
      <c r="O310">
        <f>_xlfn.XLOOKUP(I310,Helper_Table!A:A,Helper_Table!B:B)</f>
        <v>0.9</v>
      </c>
      <c r="P310" s="1">
        <f t="shared" si="27"/>
        <v>38368.800000000003</v>
      </c>
      <c r="Q310" s="4">
        <f t="shared" si="28"/>
        <v>1.1111111111111109</v>
      </c>
      <c r="R310" t="str">
        <f t="shared" si="29"/>
        <v>Achieved</v>
      </c>
    </row>
    <row r="311" spans="1:18">
      <c r="A311" t="s">
        <v>24</v>
      </c>
      <c r="B311" t="s">
        <v>12</v>
      </c>
      <c r="C311" t="s">
        <v>25</v>
      </c>
      <c r="D311" t="s">
        <v>66</v>
      </c>
      <c r="E311">
        <v>30</v>
      </c>
      <c r="F311">
        <v>1780</v>
      </c>
      <c r="G311" s="1">
        <v>28351</v>
      </c>
      <c r="H311" s="2">
        <v>45197</v>
      </c>
      <c r="I311" t="s">
        <v>32</v>
      </c>
      <c r="J311" t="s">
        <v>353</v>
      </c>
      <c r="K311" t="s">
        <v>47</v>
      </c>
      <c r="L311" t="str">
        <f t="shared" si="24"/>
        <v>Sep</v>
      </c>
      <c r="M311" t="str">
        <f t="shared" si="25"/>
        <v>Q3</v>
      </c>
      <c r="N311" t="str">
        <f t="shared" si="26"/>
        <v>Medium</v>
      </c>
      <c r="O311">
        <f>_xlfn.XLOOKUP(I311,Helper_Table!A:A,Helper_Table!B:B)</f>
        <v>0.95</v>
      </c>
      <c r="P311" s="1">
        <f t="shared" si="27"/>
        <v>26933.449999999997</v>
      </c>
      <c r="Q311" s="4">
        <f t="shared" si="28"/>
        <v>1.0526315789473686</v>
      </c>
      <c r="R311" t="str">
        <f t="shared" si="29"/>
        <v>Achieved</v>
      </c>
    </row>
    <row r="312" spans="1:18">
      <c r="A312" t="s">
        <v>64</v>
      </c>
      <c r="B312" t="s">
        <v>36</v>
      </c>
      <c r="C312" t="s">
        <v>30</v>
      </c>
      <c r="D312" t="s">
        <v>14</v>
      </c>
      <c r="E312" t="s">
        <v>38</v>
      </c>
      <c r="F312">
        <v>833</v>
      </c>
      <c r="G312" s="1">
        <v>42915</v>
      </c>
      <c r="H312" s="2">
        <v>45384</v>
      </c>
      <c r="I312" t="s">
        <v>32</v>
      </c>
      <c r="J312" t="s">
        <v>354</v>
      </c>
      <c r="K312" t="s">
        <v>18</v>
      </c>
      <c r="L312" t="str">
        <f t="shared" si="24"/>
        <v>Apr</v>
      </c>
      <c r="M312" t="str">
        <f t="shared" si="25"/>
        <v>Q2</v>
      </c>
      <c r="N312" t="str">
        <f t="shared" si="26"/>
        <v>High</v>
      </c>
      <c r="O312">
        <f>_xlfn.XLOOKUP(I312,Helper_Table!A:A,Helper_Table!B:B)</f>
        <v>0.95</v>
      </c>
      <c r="P312" s="1">
        <f t="shared" si="27"/>
        <v>40769.25</v>
      </c>
      <c r="Q312" s="4">
        <f t="shared" si="28"/>
        <v>1.0526315789473684</v>
      </c>
      <c r="R312" t="str">
        <f t="shared" si="29"/>
        <v>Achieved</v>
      </c>
    </row>
    <row r="313" spans="1:18">
      <c r="A313" t="s">
        <v>11</v>
      </c>
      <c r="B313" t="s">
        <v>51</v>
      </c>
      <c r="C313" t="s">
        <v>59</v>
      </c>
      <c r="D313" t="s">
        <v>66</v>
      </c>
      <c r="E313" t="s">
        <v>38</v>
      </c>
      <c r="F313">
        <v>1134</v>
      </c>
      <c r="G313" s="1">
        <v>26634</v>
      </c>
      <c r="H313" s="2">
        <v>45377</v>
      </c>
      <c r="I313" t="s">
        <v>32</v>
      </c>
      <c r="J313" t="s">
        <v>355</v>
      </c>
      <c r="K313" t="s">
        <v>29</v>
      </c>
      <c r="L313" t="str">
        <f t="shared" si="24"/>
        <v>Mar</v>
      </c>
      <c r="M313" t="str">
        <f t="shared" si="25"/>
        <v>Q1</v>
      </c>
      <c r="N313" t="str">
        <f t="shared" si="26"/>
        <v>Medium</v>
      </c>
      <c r="O313">
        <f>_xlfn.XLOOKUP(I313,Helper_Table!A:A,Helper_Table!B:B)</f>
        <v>0.95</v>
      </c>
      <c r="P313" s="1">
        <f t="shared" si="27"/>
        <v>25302.3</v>
      </c>
      <c r="Q313" s="4">
        <f t="shared" si="28"/>
        <v>1.0526315789473684</v>
      </c>
      <c r="R313" t="str">
        <f t="shared" si="29"/>
        <v>Achieved</v>
      </c>
    </row>
    <row r="314" spans="1:18">
      <c r="A314" t="s">
        <v>45</v>
      </c>
      <c r="B314" t="s">
        <v>49</v>
      </c>
      <c r="C314" t="s">
        <v>20</v>
      </c>
      <c r="D314" t="s">
        <v>26</v>
      </c>
      <c r="E314" t="s">
        <v>22</v>
      </c>
      <c r="F314">
        <v>1706</v>
      </c>
      <c r="G314" s="1">
        <v>21681</v>
      </c>
      <c r="H314" s="2">
        <v>45141</v>
      </c>
      <c r="I314" t="s">
        <v>39</v>
      </c>
      <c r="J314" t="s">
        <v>356</v>
      </c>
      <c r="K314" t="s">
        <v>29</v>
      </c>
      <c r="L314" t="str">
        <f t="shared" si="24"/>
        <v>Aug</v>
      </c>
      <c r="M314" t="str">
        <f t="shared" si="25"/>
        <v>Q3</v>
      </c>
      <c r="N314" t="str">
        <f t="shared" si="26"/>
        <v>Medium</v>
      </c>
      <c r="O314">
        <f>_xlfn.XLOOKUP(I314,Helper_Table!A:A,Helper_Table!B:B)</f>
        <v>1.1000000000000001</v>
      </c>
      <c r="P314" s="1">
        <f t="shared" si="27"/>
        <v>23849.100000000002</v>
      </c>
      <c r="Q314" s="4">
        <f t="shared" si="28"/>
        <v>0.90909090909090906</v>
      </c>
      <c r="R314" t="str">
        <f t="shared" si="29"/>
        <v>Below Target</v>
      </c>
    </row>
    <row r="315" spans="1:18">
      <c r="A315" t="s">
        <v>35</v>
      </c>
      <c r="B315" t="s">
        <v>51</v>
      </c>
      <c r="C315" t="s">
        <v>20</v>
      </c>
      <c r="D315" t="s">
        <v>66</v>
      </c>
      <c r="E315" t="s">
        <v>38</v>
      </c>
      <c r="F315">
        <v>1395</v>
      </c>
      <c r="G315" s="1">
        <v>22835</v>
      </c>
      <c r="H315" s="2">
        <v>45330</v>
      </c>
      <c r="I315" t="s">
        <v>39</v>
      </c>
      <c r="J315" t="s">
        <v>357</v>
      </c>
      <c r="K315" t="s">
        <v>47</v>
      </c>
      <c r="L315" t="str">
        <f t="shared" si="24"/>
        <v>Feb</v>
      </c>
      <c r="M315" t="str">
        <f t="shared" si="25"/>
        <v>Q1</v>
      </c>
      <c r="N315" t="str">
        <f t="shared" si="26"/>
        <v>Medium</v>
      </c>
      <c r="O315">
        <f>_xlfn.XLOOKUP(I315,Helper_Table!A:A,Helper_Table!B:B)</f>
        <v>1.1000000000000001</v>
      </c>
      <c r="P315" s="1">
        <f t="shared" si="27"/>
        <v>25118.500000000004</v>
      </c>
      <c r="Q315" s="4">
        <f t="shared" si="28"/>
        <v>0.90909090909090895</v>
      </c>
      <c r="R315" t="str">
        <f t="shared" si="29"/>
        <v>Below Target</v>
      </c>
    </row>
    <row r="316" spans="1:18">
      <c r="A316" t="s">
        <v>24</v>
      </c>
      <c r="B316" t="s">
        <v>19</v>
      </c>
      <c r="C316" t="s">
        <v>13</v>
      </c>
      <c r="D316" t="s">
        <v>31</v>
      </c>
      <c r="E316" t="s">
        <v>22</v>
      </c>
      <c r="F316">
        <v>1693</v>
      </c>
      <c r="G316" s="1">
        <v>31240</v>
      </c>
      <c r="H316" s="2">
        <v>45469</v>
      </c>
      <c r="I316" t="s">
        <v>16</v>
      </c>
      <c r="J316" t="s">
        <v>358</v>
      </c>
      <c r="K316" t="s">
        <v>44</v>
      </c>
      <c r="L316" t="str">
        <f t="shared" si="24"/>
        <v>Jun</v>
      </c>
      <c r="M316" t="str">
        <f t="shared" si="25"/>
        <v>Q2</v>
      </c>
      <c r="N316" t="str">
        <f t="shared" si="26"/>
        <v>Medium</v>
      </c>
      <c r="O316">
        <f>_xlfn.XLOOKUP(I316,Helper_Table!A:A,Helper_Table!B:B)</f>
        <v>1.1000000000000001</v>
      </c>
      <c r="P316" s="1">
        <f t="shared" si="27"/>
        <v>34364</v>
      </c>
      <c r="Q316" s="4">
        <f t="shared" si="28"/>
        <v>0.90909090909090906</v>
      </c>
      <c r="R316" t="str">
        <f t="shared" si="29"/>
        <v>Below Target</v>
      </c>
    </row>
    <row r="317" spans="1:18">
      <c r="A317" t="s">
        <v>24</v>
      </c>
      <c r="B317" t="s">
        <v>49</v>
      </c>
      <c r="C317" t="s">
        <v>59</v>
      </c>
      <c r="D317" t="s">
        <v>31</v>
      </c>
      <c r="E317">
        <v>30</v>
      </c>
      <c r="F317">
        <v>1549</v>
      </c>
      <c r="G317" s="1">
        <v>9455</v>
      </c>
      <c r="H317" s="2">
        <v>45345</v>
      </c>
      <c r="I317" t="s">
        <v>39</v>
      </c>
      <c r="J317" t="s">
        <v>359</v>
      </c>
      <c r="K317" t="s">
        <v>34</v>
      </c>
      <c r="L317" t="str">
        <f t="shared" si="24"/>
        <v>Feb</v>
      </c>
      <c r="M317" t="str">
        <f t="shared" si="25"/>
        <v>Q1</v>
      </c>
      <c r="N317" t="str">
        <f t="shared" si="26"/>
        <v>Low</v>
      </c>
      <c r="O317">
        <f>_xlfn.XLOOKUP(I317,Helper_Table!A:A,Helper_Table!B:B)</f>
        <v>1.1000000000000001</v>
      </c>
      <c r="P317" s="1">
        <f t="shared" si="27"/>
        <v>10400.5</v>
      </c>
      <c r="Q317" s="4">
        <f t="shared" si="28"/>
        <v>0.90909090909090906</v>
      </c>
      <c r="R317" t="str">
        <f t="shared" si="29"/>
        <v>Below Target</v>
      </c>
    </row>
    <row r="318" spans="1:18">
      <c r="A318" t="s">
        <v>24</v>
      </c>
      <c r="B318" t="s">
        <v>19</v>
      </c>
      <c r="C318" t="s">
        <v>20</v>
      </c>
      <c r="D318" t="s">
        <v>31</v>
      </c>
      <c r="E318" t="s">
        <v>38</v>
      </c>
      <c r="F318">
        <v>100</v>
      </c>
      <c r="G318" s="1">
        <v>32910</v>
      </c>
      <c r="H318" s="2">
        <v>45228</v>
      </c>
      <c r="I318" t="s">
        <v>41</v>
      </c>
      <c r="J318" t="s">
        <v>360</v>
      </c>
      <c r="K318" t="s">
        <v>29</v>
      </c>
      <c r="L318" t="str">
        <f t="shared" si="24"/>
        <v>Oct</v>
      </c>
      <c r="M318" t="str">
        <f t="shared" si="25"/>
        <v>Q4</v>
      </c>
      <c r="N318" t="str">
        <f t="shared" si="26"/>
        <v>Medium</v>
      </c>
      <c r="O318">
        <f>_xlfn.XLOOKUP(I318,Helper_Table!A:A,Helper_Table!B:B)</f>
        <v>1.2</v>
      </c>
      <c r="P318" s="1">
        <f t="shared" si="27"/>
        <v>39492</v>
      </c>
      <c r="Q318" s="4">
        <f t="shared" si="28"/>
        <v>0.83333333333333337</v>
      </c>
      <c r="R318" t="str">
        <f t="shared" si="29"/>
        <v>Below Target</v>
      </c>
    </row>
    <row r="319" spans="1:18">
      <c r="A319" t="s">
        <v>11</v>
      </c>
      <c r="B319" t="s">
        <v>36</v>
      </c>
      <c r="C319" t="s">
        <v>20</v>
      </c>
      <c r="D319" t="s">
        <v>26</v>
      </c>
      <c r="E319" t="s">
        <v>15</v>
      </c>
      <c r="F319">
        <v>826</v>
      </c>
      <c r="G319" s="1">
        <v>24350</v>
      </c>
      <c r="H319" s="2">
        <v>45240</v>
      </c>
      <c r="I319" t="s">
        <v>41</v>
      </c>
      <c r="J319" t="s">
        <v>361</v>
      </c>
      <c r="K319" t="s">
        <v>18</v>
      </c>
      <c r="L319" t="str">
        <f t="shared" si="24"/>
        <v>Nov</v>
      </c>
      <c r="M319" t="str">
        <f t="shared" si="25"/>
        <v>Q4</v>
      </c>
      <c r="N319" t="str">
        <f t="shared" si="26"/>
        <v>Medium</v>
      </c>
      <c r="O319">
        <f>_xlfn.XLOOKUP(I319,Helper_Table!A:A,Helper_Table!B:B)</f>
        <v>1.2</v>
      </c>
      <c r="P319" s="1">
        <f t="shared" si="27"/>
        <v>29220</v>
      </c>
      <c r="Q319" s="4">
        <f t="shared" si="28"/>
        <v>0.83333333333333337</v>
      </c>
      <c r="R319" t="str">
        <f t="shared" si="29"/>
        <v>Below Target</v>
      </c>
    </row>
    <row r="320" spans="1:18">
      <c r="A320" t="s">
        <v>35</v>
      </c>
      <c r="B320" t="s">
        <v>12</v>
      </c>
      <c r="C320" t="s">
        <v>20</v>
      </c>
      <c r="D320" t="s">
        <v>21</v>
      </c>
      <c r="E320" t="s">
        <v>15</v>
      </c>
      <c r="F320">
        <v>1308</v>
      </c>
      <c r="G320" s="1">
        <v>17828</v>
      </c>
      <c r="H320" s="2">
        <v>45304</v>
      </c>
      <c r="I320" t="s">
        <v>32</v>
      </c>
      <c r="J320" t="s">
        <v>362</v>
      </c>
      <c r="K320" t="s">
        <v>47</v>
      </c>
      <c r="L320" t="str">
        <f t="shared" si="24"/>
        <v>Jan</v>
      </c>
      <c r="M320" t="str">
        <f t="shared" si="25"/>
        <v>Q1</v>
      </c>
      <c r="N320" t="str">
        <f t="shared" si="26"/>
        <v>Low</v>
      </c>
      <c r="O320">
        <f>_xlfn.XLOOKUP(I320,Helper_Table!A:A,Helper_Table!B:B)</f>
        <v>0.95</v>
      </c>
      <c r="P320" s="1">
        <f t="shared" si="27"/>
        <v>16936.599999999999</v>
      </c>
      <c r="Q320" s="4">
        <f t="shared" si="28"/>
        <v>1.0526315789473686</v>
      </c>
      <c r="R320" t="str">
        <f t="shared" si="29"/>
        <v>Achieved</v>
      </c>
    </row>
    <row r="321" spans="1:18">
      <c r="A321" t="s">
        <v>11</v>
      </c>
      <c r="B321" t="s">
        <v>49</v>
      </c>
      <c r="C321" t="s">
        <v>25</v>
      </c>
      <c r="D321" t="s">
        <v>21</v>
      </c>
      <c r="E321" t="s">
        <v>22</v>
      </c>
      <c r="F321">
        <v>1691</v>
      </c>
      <c r="G321" s="1">
        <v>37249</v>
      </c>
      <c r="H321" s="2">
        <v>45224</v>
      </c>
      <c r="I321" t="s">
        <v>41</v>
      </c>
      <c r="J321" t="s">
        <v>363</v>
      </c>
      <c r="K321" t="s">
        <v>47</v>
      </c>
      <c r="L321" t="str">
        <f t="shared" si="24"/>
        <v>Oct</v>
      </c>
      <c r="M321" t="str">
        <f t="shared" si="25"/>
        <v>Q4</v>
      </c>
      <c r="N321" t="str">
        <f t="shared" si="26"/>
        <v>Medium</v>
      </c>
      <c r="O321">
        <f>_xlfn.XLOOKUP(I321,Helper_Table!A:A,Helper_Table!B:B)</f>
        <v>1.2</v>
      </c>
      <c r="P321" s="1">
        <f t="shared" si="27"/>
        <v>44698.799999999996</v>
      </c>
      <c r="Q321" s="4">
        <f t="shared" si="28"/>
        <v>0.83333333333333337</v>
      </c>
      <c r="R321" t="str">
        <f t="shared" si="29"/>
        <v>Below Target</v>
      </c>
    </row>
    <row r="322" spans="1:18">
      <c r="A322" t="s">
        <v>11</v>
      </c>
      <c r="B322" t="s">
        <v>51</v>
      </c>
      <c r="C322" t="s">
        <v>59</v>
      </c>
      <c r="D322" t="s">
        <v>31</v>
      </c>
      <c r="E322" t="s">
        <v>38</v>
      </c>
      <c r="F322">
        <v>1028</v>
      </c>
      <c r="G322" s="1">
        <v>7222</v>
      </c>
      <c r="H322" s="2">
        <v>45383</v>
      </c>
      <c r="I322" t="s">
        <v>27</v>
      </c>
      <c r="J322" t="s">
        <v>364</v>
      </c>
      <c r="K322" t="s">
        <v>47</v>
      </c>
      <c r="L322" t="str">
        <f t="shared" ref="L322:L385" si="30">TEXT(H322,"MMM")</f>
        <v>Apr</v>
      </c>
      <c r="M322" t="str">
        <f t="shared" ref="M322:M385" si="31">"Q"&amp;ROUNDUP(MONTH(H322)/3,0)</f>
        <v>Q2</v>
      </c>
      <c r="N322" t="str">
        <f t="shared" ref="N322:N385" si="32">IF(G322&gt;40000,"High",
IF(G322&gt;20000,"Medium","Low"))</f>
        <v>Low</v>
      </c>
      <c r="O322">
        <f>_xlfn.XLOOKUP(I322,Helper_Table!A:A,Helper_Table!B:B)</f>
        <v>0.9</v>
      </c>
      <c r="P322" s="1">
        <f t="shared" ref="P322:P385" si="33">G322*O322</f>
        <v>6499.8</v>
      </c>
      <c r="Q322" s="4">
        <f t="shared" ref="Q322:Q385" si="34">G322/P322</f>
        <v>1.1111111111111112</v>
      </c>
      <c r="R322" t="str">
        <f t="shared" ref="R322:R385" si="35">IF(Q322&gt;=1,"Achieved","Below Target")</f>
        <v>Achieved</v>
      </c>
    </row>
    <row r="323" spans="1:18">
      <c r="A323" t="s">
        <v>64</v>
      </c>
      <c r="B323" t="s">
        <v>49</v>
      </c>
      <c r="C323" t="s">
        <v>20</v>
      </c>
      <c r="D323" t="s">
        <v>14</v>
      </c>
      <c r="E323">
        <v>30</v>
      </c>
      <c r="F323">
        <v>1134</v>
      </c>
      <c r="G323" s="1">
        <v>5856</v>
      </c>
      <c r="H323" s="2">
        <v>45233</v>
      </c>
      <c r="I323" t="s">
        <v>41</v>
      </c>
      <c r="J323" t="s">
        <v>365</v>
      </c>
      <c r="K323" t="s">
        <v>29</v>
      </c>
      <c r="L323" t="str">
        <f t="shared" si="30"/>
        <v>Nov</v>
      </c>
      <c r="M323" t="str">
        <f t="shared" si="31"/>
        <v>Q4</v>
      </c>
      <c r="N323" t="str">
        <f t="shared" si="32"/>
        <v>Low</v>
      </c>
      <c r="O323">
        <f>_xlfn.XLOOKUP(I323,Helper_Table!A:A,Helper_Table!B:B)</f>
        <v>1.2</v>
      </c>
      <c r="P323" s="1">
        <f t="shared" si="33"/>
        <v>7027.2</v>
      </c>
      <c r="Q323" s="4">
        <f t="shared" si="34"/>
        <v>0.83333333333333337</v>
      </c>
      <c r="R323" t="str">
        <f t="shared" si="35"/>
        <v>Below Target</v>
      </c>
    </row>
    <row r="324" spans="1:18">
      <c r="A324" t="s">
        <v>45</v>
      </c>
      <c r="B324" t="s">
        <v>36</v>
      </c>
      <c r="C324" t="s">
        <v>20</v>
      </c>
      <c r="D324" t="s">
        <v>66</v>
      </c>
      <c r="E324" t="s">
        <v>15</v>
      </c>
      <c r="F324">
        <v>1503</v>
      </c>
      <c r="G324" s="1">
        <v>19148</v>
      </c>
      <c r="H324" s="2">
        <v>45469</v>
      </c>
      <c r="I324" t="s">
        <v>32</v>
      </c>
      <c r="J324" t="s">
        <v>366</v>
      </c>
      <c r="K324" t="s">
        <v>34</v>
      </c>
      <c r="L324" t="str">
        <f t="shared" si="30"/>
        <v>Jun</v>
      </c>
      <c r="M324" t="str">
        <f t="shared" si="31"/>
        <v>Q2</v>
      </c>
      <c r="N324" t="str">
        <f t="shared" si="32"/>
        <v>Low</v>
      </c>
      <c r="O324">
        <f>_xlfn.XLOOKUP(I324,Helper_Table!A:A,Helper_Table!B:B)</f>
        <v>0.95</v>
      </c>
      <c r="P324" s="1">
        <f t="shared" si="33"/>
        <v>18190.599999999999</v>
      </c>
      <c r="Q324" s="4">
        <f t="shared" si="34"/>
        <v>1.0526315789473686</v>
      </c>
      <c r="R324" t="str">
        <f t="shared" si="35"/>
        <v>Achieved</v>
      </c>
    </row>
    <row r="325" spans="1:18">
      <c r="A325" t="s">
        <v>45</v>
      </c>
      <c r="B325" t="s">
        <v>12</v>
      </c>
      <c r="C325" t="s">
        <v>13</v>
      </c>
      <c r="D325" t="s">
        <v>21</v>
      </c>
      <c r="E325" t="s">
        <v>38</v>
      </c>
      <c r="F325">
        <v>1509</v>
      </c>
      <c r="G325" s="1">
        <v>30615</v>
      </c>
      <c r="H325" s="2">
        <v>45269</v>
      </c>
      <c r="I325" t="s">
        <v>39</v>
      </c>
      <c r="J325" t="s">
        <v>367</v>
      </c>
      <c r="K325" t="s">
        <v>29</v>
      </c>
      <c r="L325" t="str">
        <f t="shared" si="30"/>
        <v>Dec</v>
      </c>
      <c r="M325" t="str">
        <f t="shared" si="31"/>
        <v>Q4</v>
      </c>
      <c r="N325" t="str">
        <f t="shared" si="32"/>
        <v>Medium</v>
      </c>
      <c r="O325">
        <f>_xlfn.XLOOKUP(I325,Helper_Table!A:A,Helper_Table!B:B)</f>
        <v>1.1000000000000001</v>
      </c>
      <c r="P325" s="1">
        <f t="shared" si="33"/>
        <v>33676.5</v>
      </c>
      <c r="Q325" s="4">
        <f t="shared" si="34"/>
        <v>0.90909090909090906</v>
      </c>
      <c r="R325" t="str">
        <f t="shared" si="35"/>
        <v>Below Target</v>
      </c>
    </row>
    <row r="326" spans="1:18">
      <c r="A326" t="s">
        <v>64</v>
      </c>
      <c r="B326" t="s">
        <v>36</v>
      </c>
      <c r="C326" t="s">
        <v>59</v>
      </c>
      <c r="D326" t="s">
        <v>31</v>
      </c>
      <c r="E326" t="s">
        <v>38</v>
      </c>
      <c r="F326">
        <v>578</v>
      </c>
      <c r="G326" s="1">
        <v>33113</v>
      </c>
      <c r="H326" s="2">
        <v>45339</v>
      </c>
      <c r="I326" t="s">
        <v>32</v>
      </c>
      <c r="J326" t="s">
        <v>368</v>
      </c>
      <c r="K326" t="s">
        <v>18</v>
      </c>
      <c r="L326" t="str">
        <f t="shared" si="30"/>
        <v>Feb</v>
      </c>
      <c r="M326" t="str">
        <f t="shared" si="31"/>
        <v>Q1</v>
      </c>
      <c r="N326" t="str">
        <f t="shared" si="32"/>
        <v>Medium</v>
      </c>
      <c r="O326">
        <f>_xlfn.XLOOKUP(I326,Helper_Table!A:A,Helper_Table!B:B)</f>
        <v>0.95</v>
      </c>
      <c r="P326" s="1">
        <f t="shared" si="33"/>
        <v>31457.35</v>
      </c>
      <c r="Q326" s="4">
        <f t="shared" si="34"/>
        <v>1.0526315789473684</v>
      </c>
      <c r="R326" t="str">
        <f t="shared" si="35"/>
        <v>Achieved</v>
      </c>
    </row>
    <row r="327" spans="1:18">
      <c r="A327" t="s">
        <v>35</v>
      </c>
      <c r="B327" t="s">
        <v>36</v>
      </c>
      <c r="C327" t="s">
        <v>20</v>
      </c>
      <c r="D327" t="s">
        <v>66</v>
      </c>
      <c r="E327" t="s">
        <v>38</v>
      </c>
      <c r="F327">
        <v>1195</v>
      </c>
      <c r="G327" s="1">
        <v>42794</v>
      </c>
      <c r="H327" s="2">
        <v>45178</v>
      </c>
      <c r="I327" t="s">
        <v>41</v>
      </c>
      <c r="J327" t="s">
        <v>369</v>
      </c>
      <c r="K327" t="s">
        <v>44</v>
      </c>
      <c r="L327" t="str">
        <f t="shared" si="30"/>
        <v>Sep</v>
      </c>
      <c r="M327" t="str">
        <f t="shared" si="31"/>
        <v>Q3</v>
      </c>
      <c r="N327" t="str">
        <f t="shared" si="32"/>
        <v>High</v>
      </c>
      <c r="O327">
        <f>_xlfn.XLOOKUP(I327,Helper_Table!A:A,Helper_Table!B:B)</f>
        <v>1.2</v>
      </c>
      <c r="P327" s="1">
        <f t="shared" si="33"/>
        <v>51352.799999999996</v>
      </c>
      <c r="Q327" s="4">
        <f t="shared" si="34"/>
        <v>0.83333333333333337</v>
      </c>
      <c r="R327" t="str">
        <f t="shared" si="35"/>
        <v>Below Target</v>
      </c>
    </row>
    <row r="328" spans="1:18">
      <c r="A328" t="s">
        <v>64</v>
      </c>
      <c r="B328" t="s">
        <v>49</v>
      </c>
      <c r="C328" t="s">
        <v>30</v>
      </c>
      <c r="D328" t="s">
        <v>26</v>
      </c>
      <c r="E328">
        <v>60</v>
      </c>
      <c r="F328">
        <v>485</v>
      </c>
      <c r="G328" s="1">
        <v>29314</v>
      </c>
      <c r="H328" s="2">
        <v>45352</v>
      </c>
      <c r="I328" t="s">
        <v>41</v>
      </c>
      <c r="J328" t="s">
        <v>370</v>
      </c>
      <c r="K328" t="s">
        <v>34</v>
      </c>
      <c r="L328" t="str">
        <f t="shared" si="30"/>
        <v>Mar</v>
      </c>
      <c r="M328" t="str">
        <f t="shared" si="31"/>
        <v>Q1</v>
      </c>
      <c r="N328" t="str">
        <f t="shared" si="32"/>
        <v>Medium</v>
      </c>
      <c r="O328">
        <f>_xlfn.XLOOKUP(I328,Helper_Table!A:A,Helper_Table!B:B)</f>
        <v>1.2</v>
      </c>
      <c r="P328" s="1">
        <f t="shared" si="33"/>
        <v>35176.799999999996</v>
      </c>
      <c r="Q328" s="4">
        <f t="shared" si="34"/>
        <v>0.83333333333333348</v>
      </c>
      <c r="R328" t="str">
        <f t="shared" si="35"/>
        <v>Below Target</v>
      </c>
    </row>
    <row r="329" spans="1:18">
      <c r="A329" t="s">
        <v>24</v>
      </c>
      <c r="B329" t="s">
        <v>51</v>
      </c>
      <c r="C329" t="s">
        <v>13</v>
      </c>
      <c r="D329" t="s">
        <v>14</v>
      </c>
      <c r="E329">
        <v>60</v>
      </c>
      <c r="F329">
        <v>819</v>
      </c>
      <c r="G329" s="1">
        <v>47811</v>
      </c>
      <c r="H329" s="2">
        <v>45202</v>
      </c>
      <c r="I329" t="s">
        <v>16</v>
      </c>
      <c r="J329" t="s">
        <v>371</v>
      </c>
      <c r="K329" t="s">
        <v>47</v>
      </c>
      <c r="L329" t="str">
        <f t="shared" si="30"/>
        <v>Oct</v>
      </c>
      <c r="M329" t="str">
        <f t="shared" si="31"/>
        <v>Q4</v>
      </c>
      <c r="N329" t="str">
        <f t="shared" si="32"/>
        <v>High</v>
      </c>
      <c r="O329">
        <f>_xlfn.XLOOKUP(I329,Helper_Table!A:A,Helper_Table!B:B)</f>
        <v>1.1000000000000001</v>
      </c>
      <c r="P329" s="1">
        <f t="shared" si="33"/>
        <v>52592.100000000006</v>
      </c>
      <c r="Q329" s="4">
        <f t="shared" si="34"/>
        <v>0.90909090909090895</v>
      </c>
      <c r="R329" t="str">
        <f t="shared" si="35"/>
        <v>Below Target</v>
      </c>
    </row>
    <row r="330" spans="1:18">
      <c r="A330" t="s">
        <v>35</v>
      </c>
      <c r="B330" t="s">
        <v>19</v>
      </c>
      <c r="C330" t="s">
        <v>59</v>
      </c>
      <c r="D330" t="s">
        <v>14</v>
      </c>
      <c r="E330" t="s">
        <v>22</v>
      </c>
      <c r="F330">
        <v>1654</v>
      </c>
      <c r="G330" s="1">
        <v>16660</v>
      </c>
      <c r="H330" s="2">
        <v>45386</v>
      </c>
      <c r="I330" t="s">
        <v>16</v>
      </c>
      <c r="J330" t="s">
        <v>372</v>
      </c>
      <c r="K330" t="s">
        <v>34</v>
      </c>
      <c r="L330" t="str">
        <f t="shared" si="30"/>
        <v>Apr</v>
      </c>
      <c r="M330" t="str">
        <f t="shared" si="31"/>
        <v>Q2</v>
      </c>
      <c r="N330" t="str">
        <f t="shared" si="32"/>
        <v>Low</v>
      </c>
      <c r="O330">
        <f>_xlfn.XLOOKUP(I330,Helper_Table!A:A,Helper_Table!B:B)</f>
        <v>1.1000000000000001</v>
      </c>
      <c r="P330" s="1">
        <f t="shared" si="33"/>
        <v>18326</v>
      </c>
      <c r="Q330" s="4">
        <f t="shared" si="34"/>
        <v>0.90909090909090906</v>
      </c>
      <c r="R330" t="str">
        <f t="shared" si="35"/>
        <v>Below Target</v>
      </c>
    </row>
    <row r="331" spans="1:18">
      <c r="A331" t="s">
        <v>64</v>
      </c>
      <c r="B331" t="s">
        <v>12</v>
      </c>
      <c r="C331" t="s">
        <v>25</v>
      </c>
      <c r="D331" t="s">
        <v>21</v>
      </c>
      <c r="E331">
        <v>60</v>
      </c>
      <c r="F331">
        <v>1957</v>
      </c>
      <c r="G331" s="1">
        <v>32269</v>
      </c>
      <c r="H331" s="2">
        <v>45409</v>
      </c>
      <c r="I331" t="s">
        <v>39</v>
      </c>
      <c r="J331" t="s">
        <v>373</v>
      </c>
      <c r="K331" t="s">
        <v>44</v>
      </c>
      <c r="L331" t="str">
        <f t="shared" si="30"/>
        <v>Apr</v>
      </c>
      <c r="M331" t="str">
        <f t="shared" si="31"/>
        <v>Q2</v>
      </c>
      <c r="N331" t="str">
        <f t="shared" si="32"/>
        <v>Medium</v>
      </c>
      <c r="O331">
        <f>_xlfn.XLOOKUP(I331,Helper_Table!A:A,Helper_Table!B:B)</f>
        <v>1.1000000000000001</v>
      </c>
      <c r="P331" s="1">
        <f t="shared" si="33"/>
        <v>35495.9</v>
      </c>
      <c r="Q331" s="4">
        <f t="shared" si="34"/>
        <v>0.90909090909090906</v>
      </c>
      <c r="R331" t="str">
        <f t="shared" si="35"/>
        <v>Below Target</v>
      </c>
    </row>
    <row r="332" spans="1:18">
      <c r="A332" t="s">
        <v>24</v>
      </c>
      <c r="B332" t="s">
        <v>51</v>
      </c>
      <c r="C332" t="s">
        <v>20</v>
      </c>
      <c r="D332" t="s">
        <v>26</v>
      </c>
      <c r="E332">
        <v>60</v>
      </c>
      <c r="F332">
        <v>799</v>
      </c>
      <c r="G332" s="1">
        <v>10708</v>
      </c>
      <c r="H332" s="2">
        <v>45375</v>
      </c>
      <c r="I332" t="s">
        <v>39</v>
      </c>
      <c r="J332" t="s">
        <v>374</v>
      </c>
      <c r="K332" t="s">
        <v>29</v>
      </c>
      <c r="L332" t="str">
        <f t="shared" si="30"/>
        <v>Mar</v>
      </c>
      <c r="M332" t="str">
        <f t="shared" si="31"/>
        <v>Q1</v>
      </c>
      <c r="N332" t="str">
        <f t="shared" si="32"/>
        <v>Low</v>
      </c>
      <c r="O332">
        <f>_xlfn.XLOOKUP(I332,Helper_Table!A:A,Helper_Table!B:B)</f>
        <v>1.1000000000000001</v>
      </c>
      <c r="P332" s="1">
        <f t="shared" si="33"/>
        <v>11778.800000000001</v>
      </c>
      <c r="Q332" s="4">
        <f t="shared" si="34"/>
        <v>0.90909090909090906</v>
      </c>
      <c r="R332" t="str">
        <f t="shared" si="35"/>
        <v>Below Target</v>
      </c>
    </row>
    <row r="333" spans="1:18">
      <c r="A333" t="s">
        <v>35</v>
      </c>
      <c r="B333" t="s">
        <v>36</v>
      </c>
      <c r="C333" t="s">
        <v>20</v>
      </c>
      <c r="D333" t="s">
        <v>31</v>
      </c>
      <c r="E333" t="s">
        <v>22</v>
      </c>
      <c r="F333">
        <v>1532</v>
      </c>
      <c r="G333" s="1">
        <v>5489</v>
      </c>
      <c r="H333" s="2">
        <v>45395</v>
      </c>
      <c r="I333" t="s">
        <v>41</v>
      </c>
      <c r="J333" t="s">
        <v>375</v>
      </c>
      <c r="K333" t="s">
        <v>18</v>
      </c>
      <c r="L333" t="str">
        <f t="shared" si="30"/>
        <v>Apr</v>
      </c>
      <c r="M333" t="str">
        <f t="shared" si="31"/>
        <v>Q2</v>
      </c>
      <c r="N333" t="str">
        <f t="shared" si="32"/>
        <v>Low</v>
      </c>
      <c r="O333">
        <f>_xlfn.XLOOKUP(I333,Helper_Table!A:A,Helper_Table!B:B)</f>
        <v>1.2</v>
      </c>
      <c r="P333" s="1">
        <f t="shared" si="33"/>
        <v>6586.8</v>
      </c>
      <c r="Q333" s="4">
        <f t="shared" si="34"/>
        <v>0.83333333333333326</v>
      </c>
      <c r="R333" t="str">
        <f t="shared" si="35"/>
        <v>Below Target</v>
      </c>
    </row>
    <row r="334" spans="1:18">
      <c r="A334" t="s">
        <v>45</v>
      </c>
      <c r="B334" t="s">
        <v>12</v>
      </c>
      <c r="C334" t="s">
        <v>30</v>
      </c>
      <c r="D334" t="s">
        <v>66</v>
      </c>
      <c r="E334" t="s">
        <v>22</v>
      </c>
      <c r="F334">
        <v>1786</v>
      </c>
      <c r="G334" s="1">
        <v>11345</v>
      </c>
      <c r="H334" s="2">
        <v>45181</v>
      </c>
      <c r="I334" t="s">
        <v>27</v>
      </c>
      <c r="J334" t="s">
        <v>376</v>
      </c>
      <c r="K334" t="s">
        <v>29</v>
      </c>
      <c r="L334" t="str">
        <f t="shared" si="30"/>
        <v>Sep</v>
      </c>
      <c r="M334" t="str">
        <f t="shared" si="31"/>
        <v>Q3</v>
      </c>
      <c r="N334" t="str">
        <f t="shared" si="32"/>
        <v>Low</v>
      </c>
      <c r="O334">
        <f>_xlfn.XLOOKUP(I334,Helper_Table!A:A,Helper_Table!B:B)</f>
        <v>0.9</v>
      </c>
      <c r="P334" s="1">
        <f t="shared" si="33"/>
        <v>10210.5</v>
      </c>
      <c r="Q334" s="4">
        <f t="shared" si="34"/>
        <v>1.1111111111111112</v>
      </c>
      <c r="R334" t="str">
        <f t="shared" si="35"/>
        <v>Achieved</v>
      </c>
    </row>
    <row r="335" spans="1:18">
      <c r="A335" t="s">
        <v>11</v>
      </c>
      <c r="B335" t="s">
        <v>51</v>
      </c>
      <c r="C335" t="s">
        <v>59</v>
      </c>
      <c r="D335" t="s">
        <v>26</v>
      </c>
      <c r="E335" t="s">
        <v>22</v>
      </c>
      <c r="F335">
        <v>1927</v>
      </c>
      <c r="G335" s="1">
        <v>8953</v>
      </c>
      <c r="H335" s="2">
        <v>45293</v>
      </c>
      <c r="I335" t="s">
        <v>32</v>
      </c>
      <c r="J335" t="s">
        <v>377</v>
      </c>
      <c r="K335" t="s">
        <v>29</v>
      </c>
      <c r="L335" t="str">
        <f t="shared" si="30"/>
        <v>Jan</v>
      </c>
      <c r="M335" t="str">
        <f t="shared" si="31"/>
        <v>Q1</v>
      </c>
      <c r="N335" t="str">
        <f t="shared" si="32"/>
        <v>Low</v>
      </c>
      <c r="O335">
        <f>_xlfn.XLOOKUP(I335,Helper_Table!A:A,Helper_Table!B:B)</f>
        <v>0.95</v>
      </c>
      <c r="P335" s="1">
        <f t="shared" si="33"/>
        <v>8505.35</v>
      </c>
      <c r="Q335" s="4">
        <f t="shared" si="34"/>
        <v>1.0526315789473684</v>
      </c>
      <c r="R335" t="str">
        <f t="shared" si="35"/>
        <v>Achieved</v>
      </c>
    </row>
    <row r="336" spans="1:18">
      <c r="A336" t="s">
        <v>64</v>
      </c>
      <c r="B336" t="s">
        <v>12</v>
      </c>
      <c r="C336" t="s">
        <v>25</v>
      </c>
      <c r="D336" t="s">
        <v>31</v>
      </c>
      <c r="E336">
        <v>60</v>
      </c>
      <c r="F336">
        <v>1475</v>
      </c>
      <c r="G336" s="1">
        <v>27251</v>
      </c>
      <c r="H336" s="2">
        <v>45497</v>
      </c>
      <c r="I336" t="s">
        <v>27</v>
      </c>
      <c r="J336" t="s">
        <v>378</v>
      </c>
      <c r="K336" t="s">
        <v>44</v>
      </c>
      <c r="L336" t="str">
        <f t="shared" si="30"/>
        <v>Jul</v>
      </c>
      <c r="M336" t="str">
        <f t="shared" si="31"/>
        <v>Q3</v>
      </c>
      <c r="N336" t="str">
        <f t="shared" si="32"/>
        <v>Medium</v>
      </c>
      <c r="O336">
        <f>_xlfn.XLOOKUP(I336,Helper_Table!A:A,Helper_Table!B:B)</f>
        <v>0.9</v>
      </c>
      <c r="P336" s="1">
        <f t="shared" si="33"/>
        <v>24525.9</v>
      </c>
      <c r="Q336" s="4">
        <f t="shared" si="34"/>
        <v>1.1111111111111109</v>
      </c>
      <c r="R336" t="str">
        <f t="shared" si="35"/>
        <v>Achieved</v>
      </c>
    </row>
    <row r="337" spans="1:18">
      <c r="A337" t="s">
        <v>35</v>
      </c>
      <c r="B337" t="s">
        <v>19</v>
      </c>
      <c r="C337" t="s">
        <v>25</v>
      </c>
      <c r="D337" t="s">
        <v>14</v>
      </c>
      <c r="E337" t="s">
        <v>38</v>
      </c>
      <c r="F337">
        <v>290</v>
      </c>
      <c r="G337" s="1">
        <v>16582</v>
      </c>
      <c r="H337" s="2">
        <v>45420</v>
      </c>
      <c r="I337" t="s">
        <v>32</v>
      </c>
      <c r="J337" t="s">
        <v>379</v>
      </c>
      <c r="K337" t="s">
        <v>18</v>
      </c>
      <c r="L337" t="str">
        <f t="shared" si="30"/>
        <v>May</v>
      </c>
      <c r="M337" t="str">
        <f t="shared" si="31"/>
        <v>Q2</v>
      </c>
      <c r="N337" t="str">
        <f t="shared" si="32"/>
        <v>Low</v>
      </c>
      <c r="O337">
        <f>_xlfn.XLOOKUP(I337,Helper_Table!A:A,Helper_Table!B:B)</f>
        <v>0.95</v>
      </c>
      <c r="P337" s="1">
        <f t="shared" si="33"/>
        <v>15752.9</v>
      </c>
      <c r="Q337" s="4">
        <f t="shared" si="34"/>
        <v>1.0526315789473684</v>
      </c>
      <c r="R337" t="str">
        <f t="shared" si="35"/>
        <v>Achieved</v>
      </c>
    </row>
    <row r="338" spans="1:18">
      <c r="A338" t="s">
        <v>35</v>
      </c>
      <c r="B338" t="s">
        <v>19</v>
      </c>
      <c r="C338" t="s">
        <v>13</v>
      </c>
      <c r="D338" t="s">
        <v>26</v>
      </c>
      <c r="E338">
        <v>60</v>
      </c>
      <c r="F338">
        <v>677</v>
      </c>
      <c r="G338" s="1">
        <v>20916</v>
      </c>
      <c r="H338" s="2">
        <v>45371</v>
      </c>
      <c r="I338" t="s">
        <v>32</v>
      </c>
      <c r="J338" t="s">
        <v>380</v>
      </c>
      <c r="K338" t="s">
        <v>44</v>
      </c>
      <c r="L338" t="str">
        <f t="shared" si="30"/>
        <v>Mar</v>
      </c>
      <c r="M338" t="str">
        <f t="shared" si="31"/>
        <v>Q1</v>
      </c>
      <c r="N338" t="str">
        <f t="shared" si="32"/>
        <v>Medium</v>
      </c>
      <c r="O338">
        <f>_xlfn.XLOOKUP(I338,Helper_Table!A:A,Helper_Table!B:B)</f>
        <v>0.95</v>
      </c>
      <c r="P338" s="1">
        <f t="shared" si="33"/>
        <v>19870.2</v>
      </c>
      <c r="Q338" s="4">
        <f t="shared" si="34"/>
        <v>1.0526315789473684</v>
      </c>
      <c r="R338" t="str">
        <f t="shared" si="35"/>
        <v>Achieved</v>
      </c>
    </row>
    <row r="339" spans="1:18">
      <c r="A339" t="s">
        <v>11</v>
      </c>
      <c r="B339" t="s">
        <v>49</v>
      </c>
      <c r="C339" t="s">
        <v>30</v>
      </c>
      <c r="D339" t="s">
        <v>26</v>
      </c>
      <c r="E339" t="s">
        <v>38</v>
      </c>
      <c r="F339">
        <v>1728</v>
      </c>
      <c r="G339" s="1">
        <v>30905</v>
      </c>
      <c r="H339" s="2">
        <v>45273</v>
      </c>
      <c r="I339" t="s">
        <v>41</v>
      </c>
      <c r="J339" t="s">
        <v>381</v>
      </c>
      <c r="K339" t="s">
        <v>29</v>
      </c>
      <c r="L339" t="str">
        <f t="shared" si="30"/>
        <v>Dec</v>
      </c>
      <c r="M339" t="str">
        <f t="shared" si="31"/>
        <v>Q4</v>
      </c>
      <c r="N339" t="str">
        <f t="shared" si="32"/>
        <v>Medium</v>
      </c>
      <c r="O339">
        <f>_xlfn.XLOOKUP(I339,Helper_Table!A:A,Helper_Table!B:B)</f>
        <v>1.2</v>
      </c>
      <c r="P339" s="1">
        <f t="shared" si="33"/>
        <v>37086</v>
      </c>
      <c r="Q339" s="4">
        <f t="shared" si="34"/>
        <v>0.83333333333333337</v>
      </c>
      <c r="R339" t="str">
        <f t="shared" si="35"/>
        <v>Below Target</v>
      </c>
    </row>
    <row r="340" spans="1:18">
      <c r="A340" t="s">
        <v>64</v>
      </c>
      <c r="B340" t="s">
        <v>49</v>
      </c>
      <c r="C340" t="s">
        <v>25</v>
      </c>
      <c r="D340" t="s">
        <v>26</v>
      </c>
      <c r="E340" t="s">
        <v>38</v>
      </c>
      <c r="F340">
        <v>709</v>
      </c>
      <c r="G340" s="1">
        <v>16636</v>
      </c>
      <c r="H340" s="2">
        <v>45206</v>
      </c>
      <c r="I340" t="s">
        <v>41</v>
      </c>
      <c r="J340" t="s">
        <v>382</v>
      </c>
      <c r="K340" t="s">
        <v>18</v>
      </c>
      <c r="L340" t="str">
        <f t="shared" si="30"/>
        <v>Oct</v>
      </c>
      <c r="M340" t="str">
        <f t="shared" si="31"/>
        <v>Q4</v>
      </c>
      <c r="N340" t="str">
        <f t="shared" si="32"/>
        <v>Low</v>
      </c>
      <c r="O340">
        <f>_xlfn.XLOOKUP(I340,Helper_Table!A:A,Helper_Table!B:B)</f>
        <v>1.2</v>
      </c>
      <c r="P340" s="1">
        <f t="shared" si="33"/>
        <v>19963.2</v>
      </c>
      <c r="Q340" s="4">
        <f t="shared" si="34"/>
        <v>0.83333333333333326</v>
      </c>
      <c r="R340" t="str">
        <f t="shared" si="35"/>
        <v>Below Target</v>
      </c>
    </row>
    <row r="341" spans="1:18">
      <c r="A341" t="s">
        <v>45</v>
      </c>
      <c r="B341" t="s">
        <v>49</v>
      </c>
      <c r="C341" t="s">
        <v>13</v>
      </c>
      <c r="D341" t="s">
        <v>31</v>
      </c>
      <c r="E341">
        <v>60</v>
      </c>
      <c r="F341">
        <v>1660</v>
      </c>
      <c r="G341" s="1">
        <v>9172</v>
      </c>
      <c r="H341" s="2">
        <v>45472</v>
      </c>
      <c r="I341" t="s">
        <v>41</v>
      </c>
      <c r="J341" t="s">
        <v>383</v>
      </c>
      <c r="K341" t="s">
        <v>47</v>
      </c>
      <c r="L341" t="str">
        <f t="shared" si="30"/>
        <v>Jun</v>
      </c>
      <c r="M341" t="str">
        <f t="shared" si="31"/>
        <v>Q2</v>
      </c>
      <c r="N341" t="str">
        <f t="shared" si="32"/>
        <v>Low</v>
      </c>
      <c r="O341">
        <f>_xlfn.XLOOKUP(I341,Helper_Table!A:A,Helper_Table!B:B)</f>
        <v>1.2</v>
      </c>
      <c r="P341" s="1">
        <f t="shared" si="33"/>
        <v>11006.4</v>
      </c>
      <c r="Q341" s="4">
        <f t="shared" si="34"/>
        <v>0.83333333333333337</v>
      </c>
      <c r="R341" t="str">
        <f t="shared" si="35"/>
        <v>Below Target</v>
      </c>
    </row>
    <row r="342" spans="1:18">
      <c r="A342" t="s">
        <v>35</v>
      </c>
      <c r="B342" t="s">
        <v>51</v>
      </c>
      <c r="C342" t="s">
        <v>25</v>
      </c>
      <c r="D342" t="s">
        <v>21</v>
      </c>
      <c r="E342">
        <v>60</v>
      </c>
      <c r="F342">
        <v>1530</v>
      </c>
      <c r="G342" s="1">
        <v>15055</v>
      </c>
      <c r="H342" s="2">
        <v>45136</v>
      </c>
      <c r="I342" t="s">
        <v>32</v>
      </c>
      <c r="J342" t="s">
        <v>384</v>
      </c>
      <c r="K342" t="s">
        <v>47</v>
      </c>
      <c r="L342" t="str">
        <f t="shared" si="30"/>
        <v>Jul</v>
      </c>
      <c r="M342" t="str">
        <f t="shared" si="31"/>
        <v>Q3</v>
      </c>
      <c r="N342" t="str">
        <f t="shared" si="32"/>
        <v>Low</v>
      </c>
      <c r="O342">
        <f>_xlfn.XLOOKUP(I342,Helper_Table!A:A,Helper_Table!B:B)</f>
        <v>0.95</v>
      </c>
      <c r="P342" s="1">
        <f t="shared" si="33"/>
        <v>14302.25</v>
      </c>
      <c r="Q342" s="4">
        <f t="shared" si="34"/>
        <v>1.0526315789473684</v>
      </c>
      <c r="R342" t="str">
        <f t="shared" si="35"/>
        <v>Achieved</v>
      </c>
    </row>
    <row r="343" spans="1:18">
      <c r="A343" t="s">
        <v>11</v>
      </c>
      <c r="B343" t="s">
        <v>12</v>
      </c>
      <c r="C343" t="s">
        <v>13</v>
      </c>
      <c r="D343" t="s">
        <v>21</v>
      </c>
      <c r="E343">
        <v>60</v>
      </c>
      <c r="F343">
        <v>1804</v>
      </c>
      <c r="G343" s="1">
        <v>17065</v>
      </c>
      <c r="H343" s="2">
        <v>45191</v>
      </c>
      <c r="I343" t="s">
        <v>32</v>
      </c>
      <c r="J343" t="s">
        <v>385</v>
      </c>
      <c r="K343" t="s">
        <v>29</v>
      </c>
      <c r="L343" t="str">
        <f t="shared" si="30"/>
        <v>Sep</v>
      </c>
      <c r="M343" t="str">
        <f t="shared" si="31"/>
        <v>Q3</v>
      </c>
      <c r="N343" t="str">
        <f t="shared" si="32"/>
        <v>Low</v>
      </c>
      <c r="O343">
        <f>_xlfn.XLOOKUP(I343,Helper_Table!A:A,Helper_Table!B:B)</f>
        <v>0.95</v>
      </c>
      <c r="P343" s="1">
        <f t="shared" si="33"/>
        <v>16211.75</v>
      </c>
      <c r="Q343" s="4">
        <f t="shared" si="34"/>
        <v>1.0526315789473684</v>
      </c>
      <c r="R343" t="str">
        <f t="shared" si="35"/>
        <v>Achieved</v>
      </c>
    </row>
    <row r="344" spans="1:18">
      <c r="A344" t="s">
        <v>35</v>
      </c>
      <c r="B344" t="s">
        <v>36</v>
      </c>
      <c r="C344" t="s">
        <v>13</v>
      </c>
      <c r="D344" t="s">
        <v>31</v>
      </c>
      <c r="E344" t="s">
        <v>38</v>
      </c>
      <c r="F344">
        <v>847</v>
      </c>
      <c r="G344" s="1">
        <v>20074</v>
      </c>
      <c r="H344" s="2">
        <v>45451</v>
      </c>
      <c r="I344" t="s">
        <v>41</v>
      </c>
      <c r="J344" t="s">
        <v>386</v>
      </c>
      <c r="K344" t="s">
        <v>34</v>
      </c>
      <c r="L344" t="str">
        <f t="shared" si="30"/>
        <v>Jun</v>
      </c>
      <c r="M344" t="str">
        <f t="shared" si="31"/>
        <v>Q2</v>
      </c>
      <c r="N344" t="str">
        <f t="shared" si="32"/>
        <v>Medium</v>
      </c>
      <c r="O344">
        <f>_xlfn.XLOOKUP(I344,Helper_Table!A:A,Helper_Table!B:B)</f>
        <v>1.2</v>
      </c>
      <c r="P344" s="1">
        <f t="shared" si="33"/>
        <v>24088.799999999999</v>
      </c>
      <c r="Q344" s="4">
        <f t="shared" si="34"/>
        <v>0.83333333333333337</v>
      </c>
      <c r="R344" t="str">
        <f t="shared" si="35"/>
        <v>Below Target</v>
      </c>
    </row>
    <row r="345" spans="1:18">
      <c r="A345" t="s">
        <v>64</v>
      </c>
      <c r="B345" t="s">
        <v>51</v>
      </c>
      <c r="C345" t="s">
        <v>30</v>
      </c>
      <c r="D345" t="s">
        <v>31</v>
      </c>
      <c r="E345" t="s">
        <v>15</v>
      </c>
      <c r="F345">
        <v>1944</v>
      </c>
      <c r="G345" s="1">
        <v>25684</v>
      </c>
      <c r="H345" s="2">
        <v>45378</v>
      </c>
      <c r="I345" t="s">
        <v>32</v>
      </c>
      <c r="J345" t="s">
        <v>387</v>
      </c>
      <c r="K345" t="s">
        <v>34</v>
      </c>
      <c r="L345" t="str">
        <f t="shared" si="30"/>
        <v>Mar</v>
      </c>
      <c r="M345" t="str">
        <f t="shared" si="31"/>
        <v>Q1</v>
      </c>
      <c r="N345" t="str">
        <f t="shared" si="32"/>
        <v>Medium</v>
      </c>
      <c r="O345">
        <f>_xlfn.XLOOKUP(I345,Helper_Table!A:A,Helper_Table!B:B)</f>
        <v>0.95</v>
      </c>
      <c r="P345" s="1">
        <f t="shared" si="33"/>
        <v>24399.8</v>
      </c>
      <c r="Q345" s="4">
        <f t="shared" si="34"/>
        <v>1.0526315789473684</v>
      </c>
      <c r="R345" t="str">
        <f t="shared" si="35"/>
        <v>Achieved</v>
      </c>
    </row>
    <row r="346" spans="1:18">
      <c r="A346" t="s">
        <v>11</v>
      </c>
      <c r="B346" t="s">
        <v>49</v>
      </c>
      <c r="C346" t="s">
        <v>25</v>
      </c>
      <c r="D346" t="s">
        <v>21</v>
      </c>
      <c r="E346" t="s">
        <v>22</v>
      </c>
      <c r="F346">
        <v>1882</v>
      </c>
      <c r="G346" s="1">
        <v>14779</v>
      </c>
      <c r="H346" s="2">
        <v>45458</v>
      </c>
      <c r="I346" t="s">
        <v>39</v>
      </c>
      <c r="J346" t="s">
        <v>388</v>
      </c>
      <c r="K346" t="s">
        <v>34</v>
      </c>
      <c r="L346" t="str">
        <f t="shared" si="30"/>
        <v>Jun</v>
      </c>
      <c r="M346" t="str">
        <f t="shared" si="31"/>
        <v>Q2</v>
      </c>
      <c r="N346" t="str">
        <f t="shared" si="32"/>
        <v>Low</v>
      </c>
      <c r="O346">
        <f>_xlfn.XLOOKUP(I346,Helper_Table!A:A,Helper_Table!B:B)</f>
        <v>1.1000000000000001</v>
      </c>
      <c r="P346" s="1">
        <f t="shared" si="33"/>
        <v>16256.900000000001</v>
      </c>
      <c r="Q346" s="4">
        <f t="shared" si="34"/>
        <v>0.90909090909090906</v>
      </c>
      <c r="R346" t="str">
        <f t="shared" si="35"/>
        <v>Below Target</v>
      </c>
    </row>
    <row r="347" spans="1:18">
      <c r="A347" t="s">
        <v>35</v>
      </c>
      <c r="B347" t="s">
        <v>12</v>
      </c>
      <c r="C347" t="s">
        <v>25</v>
      </c>
      <c r="D347" t="s">
        <v>21</v>
      </c>
      <c r="E347" t="s">
        <v>15</v>
      </c>
      <c r="F347">
        <v>377</v>
      </c>
      <c r="G347" s="1">
        <v>20905</v>
      </c>
      <c r="H347" s="2">
        <v>45350</v>
      </c>
      <c r="I347" t="s">
        <v>39</v>
      </c>
      <c r="J347" t="s">
        <v>389</v>
      </c>
      <c r="K347" t="s">
        <v>29</v>
      </c>
      <c r="L347" t="str">
        <f t="shared" si="30"/>
        <v>Feb</v>
      </c>
      <c r="M347" t="str">
        <f t="shared" si="31"/>
        <v>Q1</v>
      </c>
      <c r="N347" t="str">
        <f t="shared" si="32"/>
        <v>Medium</v>
      </c>
      <c r="O347">
        <f>_xlfn.XLOOKUP(I347,Helper_Table!A:A,Helper_Table!B:B)</f>
        <v>1.1000000000000001</v>
      </c>
      <c r="P347" s="1">
        <f t="shared" si="33"/>
        <v>22995.500000000004</v>
      </c>
      <c r="Q347" s="4">
        <f t="shared" si="34"/>
        <v>0.90909090909090895</v>
      </c>
      <c r="R347" t="str">
        <f t="shared" si="35"/>
        <v>Below Target</v>
      </c>
    </row>
    <row r="348" spans="1:18">
      <c r="A348" t="s">
        <v>24</v>
      </c>
      <c r="B348" t="s">
        <v>12</v>
      </c>
      <c r="C348" t="s">
        <v>30</v>
      </c>
      <c r="D348" t="s">
        <v>14</v>
      </c>
      <c r="E348" t="s">
        <v>15</v>
      </c>
      <c r="F348">
        <v>1784</v>
      </c>
      <c r="G348" s="1">
        <v>11761</v>
      </c>
      <c r="H348" s="2">
        <v>45164</v>
      </c>
      <c r="I348" t="s">
        <v>32</v>
      </c>
      <c r="J348" t="s">
        <v>390</v>
      </c>
      <c r="K348" t="s">
        <v>34</v>
      </c>
      <c r="L348" t="str">
        <f t="shared" si="30"/>
        <v>Aug</v>
      </c>
      <c r="M348" t="str">
        <f t="shared" si="31"/>
        <v>Q3</v>
      </c>
      <c r="N348" t="str">
        <f t="shared" si="32"/>
        <v>Low</v>
      </c>
      <c r="O348">
        <f>_xlfn.XLOOKUP(I348,Helper_Table!A:A,Helper_Table!B:B)</f>
        <v>0.95</v>
      </c>
      <c r="P348" s="1">
        <f t="shared" si="33"/>
        <v>11172.949999999999</v>
      </c>
      <c r="Q348" s="4">
        <f t="shared" si="34"/>
        <v>1.0526315789473686</v>
      </c>
      <c r="R348" t="str">
        <f t="shared" si="35"/>
        <v>Achieved</v>
      </c>
    </row>
    <row r="349" spans="1:18">
      <c r="A349" t="s">
        <v>35</v>
      </c>
      <c r="B349" t="s">
        <v>19</v>
      </c>
      <c r="C349" t="s">
        <v>30</v>
      </c>
      <c r="D349" t="s">
        <v>26</v>
      </c>
      <c r="E349" t="s">
        <v>22</v>
      </c>
      <c r="F349">
        <v>1414</v>
      </c>
      <c r="G349" s="1">
        <v>29966</v>
      </c>
      <c r="H349" s="2">
        <v>45424</v>
      </c>
      <c r="I349" t="s">
        <v>39</v>
      </c>
      <c r="J349" t="s">
        <v>391</v>
      </c>
      <c r="K349" t="s">
        <v>18</v>
      </c>
      <c r="L349" t="str">
        <f t="shared" si="30"/>
        <v>May</v>
      </c>
      <c r="M349" t="str">
        <f t="shared" si="31"/>
        <v>Q2</v>
      </c>
      <c r="N349" t="str">
        <f t="shared" si="32"/>
        <v>Medium</v>
      </c>
      <c r="O349">
        <f>_xlfn.XLOOKUP(I349,Helper_Table!A:A,Helper_Table!B:B)</f>
        <v>1.1000000000000001</v>
      </c>
      <c r="P349" s="1">
        <f t="shared" si="33"/>
        <v>32962.600000000006</v>
      </c>
      <c r="Q349" s="4">
        <f t="shared" si="34"/>
        <v>0.90909090909090895</v>
      </c>
      <c r="R349" t="str">
        <f t="shared" si="35"/>
        <v>Below Target</v>
      </c>
    </row>
    <row r="350" spans="1:18">
      <c r="A350" t="s">
        <v>11</v>
      </c>
      <c r="B350" t="s">
        <v>51</v>
      </c>
      <c r="C350" t="s">
        <v>59</v>
      </c>
      <c r="D350" t="s">
        <v>14</v>
      </c>
      <c r="E350">
        <v>60</v>
      </c>
      <c r="F350">
        <v>1782</v>
      </c>
      <c r="G350" s="1">
        <v>32047</v>
      </c>
      <c r="H350" s="2">
        <v>45284</v>
      </c>
      <c r="I350" t="s">
        <v>39</v>
      </c>
      <c r="J350" t="s">
        <v>392</v>
      </c>
      <c r="K350" t="s">
        <v>29</v>
      </c>
      <c r="L350" t="str">
        <f t="shared" si="30"/>
        <v>Dec</v>
      </c>
      <c r="M350" t="str">
        <f t="shared" si="31"/>
        <v>Q4</v>
      </c>
      <c r="N350" t="str">
        <f t="shared" si="32"/>
        <v>Medium</v>
      </c>
      <c r="O350">
        <f>_xlfn.XLOOKUP(I350,Helper_Table!A:A,Helper_Table!B:B)</f>
        <v>1.1000000000000001</v>
      </c>
      <c r="P350" s="1">
        <f t="shared" si="33"/>
        <v>35251.700000000004</v>
      </c>
      <c r="Q350" s="4">
        <f t="shared" si="34"/>
        <v>0.90909090909090895</v>
      </c>
      <c r="R350" t="str">
        <f t="shared" si="35"/>
        <v>Below Target</v>
      </c>
    </row>
    <row r="351" spans="1:18">
      <c r="A351" t="s">
        <v>11</v>
      </c>
      <c r="B351" t="s">
        <v>36</v>
      </c>
      <c r="C351" t="s">
        <v>59</v>
      </c>
      <c r="D351" t="s">
        <v>14</v>
      </c>
      <c r="E351">
        <v>30</v>
      </c>
      <c r="F351">
        <v>221</v>
      </c>
      <c r="G351" s="1">
        <v>40972</v>
      </c>
      <c r="H351" s="2">
        <v>45454</v>
      </c>
      <c r="I351" t="s">
        <v>39</v>
      </c>
      <c r="J351" t="s">
        <v>393</v>
      </c>
      <c r="K351" t="s">
        <v>18</v>
      </c>
      <c r="L351" t="str">
        <f t="shared" si="30"/>
        <v>Jun</v>
      </c>
      <c r="M351" t="str">
        <f t="shared" si="31"/>
        <v>Q2</v>
      </c>
      <c r="N351" t="str">
        <f t="shared" si="32"/>
        <v>High</v>
      </c>
      <c r="O351">
        <f>_xlfn.XLOOKUP(I351,Helper_Table!A:A,Helper_Table!B:B)</f>
        <v>1.1000000000000001</v>
      </c>
      <c r="P351" s="1">
        <f t="shared" si="33"/>
        <v>45069.200000000004</v>
      </c>
      <c r="Q351" s="4">
        <f t="shared" si="34"/>
        <v>0.90909090909090895</v>
      </c>
      <c r="R351" t="str">
        <f t="shared" si="35"/>
        <v>Below Target</v>
      </c>
    </row>
    <row r="352" spans="1:18">
      <c r="A352" t="s">
        <v>35</v>
      </c>
      <c r="B352" t="s">
        <v>12</v>
      </c>
      <c r="C352" t="s">
        <v>59</v>
      </c>
      <c r="D352" t="s">
        <v>31</v>
      </c>
      <c r="E352">
        <v>60</v>
      </c>
      <c r="F352">
        <v>1221</v>
      </c>
      <c r="G352" s="1">
        <v>15799</v>
      </c>
      <c r="H352" s="2">
        <v>45181</v>
      </c>
      <c r="I352" t="s">
        <v>41</v>
      </c>
      <c r="J352" t="s">
        <v>394</v>
      </c>
      <c r="K352" t="s">
        <v>18</v>
      </c>
      <c r="L352" t="str">
        <f t="shared" si="30"/>
        <v>Sep</v>
      </c>
      <c r="M352" t="str">
        <f t="shared" si="31"/>
        <v>Q3</v>
      </c>
      <c r="N352" t="str">
        <f t="shared" si="32"/>
        <v>Low</v>
      </c>
      <c r="O352">
        <f>_xlfn.XLOOKUP(I352,Helper_Table!A:A,Helper_Table!B:B)</f>
        <v>1.2</v>
      </c>
      <c r="P352" s="1">
        <f t="shared" si="33"/>
        <v>18958.8</v>
      </c>
      <c r="Q352" s="4">
        <f t="shared" si="34"/>
        <v>0.83333333333333337</v>
      </c>
      <c r="R352" t="str">
        <f t="shared" si="35"/>
        <v>Below Target</v>
      </c>
    </row>
    <row r="353" spans="1:18">
      <c r="A353" t="s">
        <v>35</v>
      </c>
      <c r="B353" t="s">
        <v>19</v>
      </c>
      <c r="C353" t="s">
        <v>20</v>
      </c>
      <c r="D353" t="s">
        <v>21</v>
      </c>
      <c r="E353">
        <v>60</v>
      </c>
      <c r="F353">
        <v>1461</v>
      </c>
      <c r="G353" s="1">
        <v>28440</v>
      </c>
      <c r="H353" s="2">
        <v>45154</v>
      </c>
      <c r="I353" t="s">
        <v>27</v>
      </c>
      <c r="J353" t="s">
        <v>395</v>
      </c>
      <c r="K353" t="s">
        <v>47</v>
      </c>
      <c r="L353" t="str">
        <f t="shared" si="30"/>
        <v>Aug</v>
      </c>
      <c r="M353" t="str">
        <f t="shared" si="31"/>
        <v>Q3</v>
      </c>
      <c r="N353" t="str">
        <f t="shared" si="32"/>
        <v>Medium</v>
      </c>
      <c r="O353">
        <f>_xlfn.XLOOKUP(I353,Helper_Table!A:A,Helper_Table!B:B)</f>
        <v>0.9</v>
      </c>
      <c r="P353" s="1">
        <f t="shared" si="33"/>
        <v>25596</v>
      </c>
      <c r="Q353" s="4">
        <f t="shared" si="34"/>
        <v>1.1111111111111112</v>
      </c>
      <c r="R353" t="str">
        <f t="shared" si="35"/>
        <v>Achieved</v>
      </c>
    </row>
    <row r="354" spans="1:18">
      <c r="A354" t="s">
        <v>64</v>
      </c>
      <c r="B354" t="s">
        <v>51</v>
      </c>
      <c r="C354" t="s">
        <v>59</v>
      </c>
      <c r="D354" t="s">
        <v>14</v>
      </c>
      <c r="E354" t="s">
        <v>22</v>
      </c>
      <c r="F354">
        <v>1621</v>
      </c>
      <c r="G354" s="1">
        <v>22584</v>
      </c>
      <c r="H354" s="2">
        <v>45151</v>
      </c>
      <c r="I354" t="s">
        <v>32</v>
      </c>
      <c r="J354" t="s">
        <v>396</v>
      </c>
      <c r="K354" t="s">
        <v>44</v>
      </c>
      <c r="L354" t="str">
        <f t="shared" si="30"/>
        <v>Aug</v>
      </c>
      <c r="M354" t="str">
        <f t="shared" si="31"/>
        <v>Q3</v>
      </c>
      <c r="N354" t="str">
        <f t="shared" si="32"/>
        <v>Medium</v>
      </c>
      <c r="O354">
        <f>_xlfn.XLOOKUP(I354,Helper_Table!A:A,Helper_Table!B:B)</f>
        <v>0.95</v>
      </c>
      <c r="P354" s="1">
        <f t="shared" si="33"/>
        <v>21454.799999999999</v>
      </c>
      <c r="Q354" s="4">
        <f t="shared" si="34"/>
        <v>1.0526315789473684</v>
      </c>
      <c r="R354" t="str">
        <f t="shared" si="35"/>
        <v>Achieved</v>
      </c>
    </row>
    <row r="355" spans="1:18">
      <c r="A355" t="s">
        <v>45</v>
      </c>
      <c r="B355" t="s">
        <v>49</v>
      </c>
      <c r="C355" t="s">
        <v>25</v>
      </c>
      <c r="D355" t="s">
        <v>26</v>
      </c>
      <c r="E355" t="s">
        <v>22</v>
      </c>
      <c r="F355">
        <v>587</v>
      </c>
      <c r="G355" s="1">
        <v>49864</v>
      </c>
      <c r="H355" s="2">
        <v>45212</v>
      </c>
      <c r="I355" t="s">
        <v>27</v>
      </c>
      <c r="J355" t="s">
        <v>397</v>
      </c>
      <c r="K355" t="s">
        <v>47</v>
      </c>
      <c r="L355" t="str">
        <f t="shared" si="30"/>
        <v>Oct</v>
      </c>
      <c r="M355" t="str">
        <f t="shared" si="31"/>
        <v>Q4</v>
      </c>
      <c r="N355" t="str">
        <f t="shared" si="32"/>
        <v>High</v>
      </c>
      <c r="O355">
        <f>_xlfn.XLOOKUP(I355,Helper_Table!A:A,Helper_Table!B:B)</f>
        <v>0.9</v>
      </c>
      <c r="P355" s="1">
        <f t="shared" si="33"/>
        <v>44877.599999999999</v>
      </c>
      <c r="Q355" s="4">
        <f t="shared" si="34"/>
        <v>1.1111111111111112</v>
      </c>
      <c r="R355" t="str">
        <f t="shared" si="35"/>
        <v>Achieved</v>
      </c>
    </row>
    <row r="356" spans="1:18">
      <c r="A356" t="s">
        <v>11</v>
      </c>
      <c r="B356" t="s">
        <v>49</v>
      </c>
      <c r="C356" t="s">
        <v>30</v>
      </c>
      <c r="D356" t="s">
        <v>31</v>
      </c>
      <c r="E356" t="s">
        <v>22</v>
      </c>
      <c r="F356">
        <v>902</v>
      </c>
      <c r="G356" s="1">
        <v>15266</v>
      </c>
      <c r="H356" s="2">
        <v>45213</v>
      </c>
      <c r="I356" t="s">
        <v>16</v>
      </c>
      <c r="J356" t="s">
        <v>398</v>
      </c>
      <c r="K356" t="s">
        <v>18</v>
      </c>
      <c r="L356" t="str">
        <f t="shared" si="30"/>
        <v>Oct</v>
      </c>
      <c r="M356" t="str">
        <f t="shared" si="31"/>
        <v>Q4</v>
      </c>
      <c r="N356" t="str">
        <f t="shared" si="32"/>
        <v>Low</v>
      </c>
      <c r="O356">
        <f>_xlfn.XLOOKUP(I356,Helper_Table!A:A,Helper_Table!B:B)</f>
        <v>1.1000000000000001</v>
      </c>
      <c r="P356" s="1">
        <f t="shared" si="33"/>
        <v>16792.600000000002</v>
      </c>
      <c r="Q356" s="4">
        <f t="shared" si="34"/>
        <v>0.90909090909090895</v>
      </c>
      <c r="R356" t="str">
        <f t="shared" si="35"/>
        <v>Below Target</v>
      </c>
    </row>
    <row r="357" spans="1:18">
      <c r="A357" t="s">
        <v>35</v>
      </c>
      <c r="B357" t="s">
        <v>51</v>
      </c>
      <c r="C357" t="s">
        <v>20</v>
      </c>
      <c r="D357" t="s">
        <v>31</v>
      </c>
      <c r="E357" t="s">
        <v>38</v>
      </c>
      <c r="F357">
        <v>447</v>
      </c>
      <c r="G357" s="1">
        <v>5128</v>
      </c>
      <c r="H357" s="2">
        <v>45254</v>
      </c>
      <c r="I357" t="s">
        <v>32</v>
      </c>
      <c r="J357" t="s">
        <v>399</v>
      </c>
      <c r="K357" t="s">
        <v>47</v>
      </c>
      <c r="L357" t="str">
        <f t="shared" si="30"/>
        <v>Nov</v>
      </c>
      <c r="M357" t="str">
        <f t="shared" si="31"/>
        <v>Q4</v>
      </c>
      <c r="N357" t="str">
        <f t="shared" si="32"/>
        <v>Low</v>
      </c>
      <c r="O357">
        <f>_xlfn.XLOOKUP(I357,Helper_Table!A:A,Helper_Table!B:B)</f>
        <v>0.95</v>
      </c>
      <c r="P357" s="1">
        <f t="shared" si="33"/>
        <v>4871.5999999999995</v>
      </c>
      <c r="Q357" s="4">
        <f t="shared" si="34"/>
        <v>1.0526315789473686</v>
      </c>
      <c r="R357" t="str">
        <f t="shared" si="35"/>
        <v>Achieved</v>
      </c>
    </row>
    <row r="358" spans="1:18">
      <c r="A358" t="s">
        <v>45</v>
      </c>
      <c r="B358" t="s">
        <v>19</v>
      </c>
      <c r="C358" t="s">
        <v>30</v>
      </c>
      <c r="D358" t="s">
        <v>14</v>
      </c>
      <c r="E358">
        <v>60</v>
      </c>
      <c r="F358">
        <v>646</v>
      </c>
      <c r="G358" s="1">
        <v>39113</v>
      </c>
      <c r="H358" s="2">
        <v>45483</v>
      </c>
      <c r="I358" t="s">
        <v>16</v>
      </c>
      <c r="J358" t="s">
        <v>400</v>
      </c>
      <c r="K358" t="s">
        <v>34</v>
      </c>
      <c r="L358" t="str">
        <f t="shared" si="30"/>
        <v>Jul</v>
      </c>
      <c r="M358" t="str">
        <f t="shared" si="31"/>
        <v>Q3</v>
      </c>
      <c r="N358" t="str">
        <f t="shared" si="32"/>
        <v>Medium</v>
      </c>
      <c r="O358">
        <f>_xlfn.XLOOKUP(I358,Helper_Table!A:A,Helper_Table!B:B)</f>
        <v>1.1000000000000001</v>
      </c>
      <c r="P358" s="1">
        <f t="shared" si="33"/>
        <v>43024.3</v>
      </c>
      <c r="Q358" s="4">
        <f t="shared" si="34"/>
        <v>0.90909090909090906</v>
      </c>
      <c r="R358" t="str">
        <f t="shared" si="35"/>
        <v>Below Target</v>
      </c>
    </row>
    <row r="359" spans="1:18">
      <c r="A359" t="s">
        <v>64</v>
      </c>
      <c r="B359" t="s">
        <v>36</v>
      </c>
      <c r="C359" t="s">
        <v>13</v>
      </c>
      <c r="D359" t="s">
        <v>31</v>
      </c>
      <c r="E359" t="s">
        <v>22</v>
      </c>
      <c r="F359">
        <v>1135</v>
      </c>
      <c r="G359" s="1">
        <v>12514</v>
      </c>
      <c r="H359" s="2">
        <v>45165</v>
      </c>
      <c r="I359" t="s">
        <v>32</v>
      </c>
      <c r="J359" t="s">
        <v>401</v>
      </c>
      <c r="K359" t="s">
        <v>44</v>
      </c>
      <c r="L359" t="str">
        <f t="shared" si="30"/>
        <v>Aug</v>
      </c>
      <c r="M359" t="str">
        <f t="shared" si="31"/>
        <v>Q3</v>
      </c>
      <c r="N359" t="str">
        <f t="shared" si="32"/>
        <v>Low</v>
      </c>
      <c r="O359">
        <f>_xlfn.XLOOKUP(I359,Helper_Table!A:A,Helper_Table!B:B)</f>
        <v>0.95</v>
      </c>
      <c r="P359" s="1">
        <f t="shared" si="33"/>
        <v>11888.3</v>
      </c>
      <c r="Q359" s="4">
        <f t="shared" si="34"/>
        <v>1.0526315789473686</v>
      </c>
      <c r="R359" t="str">
        <f t="shared" si="35"/>
        <v>Achieved</v>
      </c>
    </row>
    <row r="360" spans="1:18">
      <c r="A360" t="s">
        <v>11</v>
      </c>
      <c r="B360" t="s">
        <v>19</v>
      </c>
      <c r="C360" t="s">
        <v>25</v>
      </c>
      <c r="D360" t="s">
        <v>66</v>
      </c>
      <c r="E360" t="s">
        <v>15</v>
      </c>
      <c r="F360">
        <v>1494</v>
      </c>
      <c r="G360" s="1">
        <v>45452</v>
      </c>
      <c r="H360" s="2">
        <v>45276</v>
      </c>
      <c r="I360" t="s">
        <v>27</v>
      </c>
      <c r="J360" t="s">
        <v>402</v>
      </c>
      <c r="K360" t="s">
        <v>18</v>
      </c>
      <c r="L360" t="str">
        <f t="shared" si="30"/>
        <v>Dec</v>
      </c>
      <c r="M360" t="str">
        <f t="shared" si="31"/>
        <v>Q4</v>
      </c>
      <c r="N360" t="str">
        <f t="shared" si="32"/>
        <v>High</v>
      </c>
      <c r="O360">
        <f>_xlfn.XLOOKUP(I360,Helper_Table!A:A,Helper_Table!B:B)</f>
        <v>0.9</v>
      </c>
      <c r="P360" s="1">
        <f t="shared" si="33"/>
        <v>40906.800000000003</v>
      </c>
      <c r="Q360" s="4">
        <f t="shared" si="34"/>
        <v>1.1111111111111109</v>
      </c>
      <c r="R360" t="str">
        <f t="shared" si="35"/>
        <v>Achieved</v>
      </c>
    </row>
    <row r="361" spans="1:18">
      <c r="A361" t="s">
        <v>35</v>
      </c>
      <c r="B361" t="s">
        <v>19</v>
      </c>
      <c r="C361" t="s">
        <v>13</v>
      </c>
      <c r="D361" t="s">
        <v>26</v>
      </c>
      <c r="E361" t="s">
        <v>15</v>
      </c>
      <c r="F361">
        <v>279</v>
      </c>
      <c r="G361" s="1">
        <v>32754</v>
      </c>
      <c r="H361" s="2">
        <v>45305</v>
      </c>
      <c r="I361" t="s">
        <v>27</v>
      </c>
      <c r="J361" t="s">
        <v>403</v>
      </c>
      <c r="K361" t="s">
        <v>29</v>
      </c>
      <c r="L361" t="str">
        <f t="shared" si="30"/>
        <v>Jan</v>
      </c>
      <c r="M361" t="str">
        <f t="shared" si="31"/>
        <v>Q1</v>
      </c>
      <c r="N361" t="str">
        <f t="shared" si="32"/>
        <v>Medium</v>
      </c>
      <c r="O361">
        <f>_xlfn.XLOOKUP(I361,Helper_Table!A:A,Helper_Table!B:B)</f>
        <v>0.9</v>
      </c>
      <c r="P361" s="1">
        <f t="shared" si="33"/>
        <v>29478.600000000002</v>
      </c>
      <c r="Q361" s="4">
        <f t="shared" si="34"/>
        <v>1.1111111111111109</v>
      </c>
      <c r="R361" t="str">
        <f t="shared" si="35"/>
        <v>Achieved</v>
      </c>
    </row>
    <row r="362" spans="1:18">
      <c r="A362" t="s">
        <v>24</v>
      </c>
      <c r="B362" t="s">
        <v>36</v>
      </c>
      <c r="C362" t="s">
        <v>59</v>
      </c>
      <c r="D362" t="s">
        <v>26</v>
      </c>
      <c r="E362" t="s">
        <v>15</v>
      </c>
      <c r="F362">
        <v>302</v>
      </c>
      <c r="G362" s="1">
        <v>20937</v>
      </c>
      <c r="H362" s="2">
        <v>45440</v>
      </c>
      <c r="I362" t="s">
        <v>16</v>
      </c>
      <c r="J362" t="s">
        <v>404</v>
      </c>
      <c r="K362" t="s">
        <v>47</v>
      </c>
      <c r="L362" t="str">
        <f t="shared" si="30"/>
        <v>May</v>
      </c>
      <c r="M362" t="str">
        <f t="shared" si="31"/>
        <v>Q2</v>
      </c>
      <c r="N362" t="str">
        <f t="shared" si="32"/>
        <v>Medium</v>
      </c>
      <c r="O362">
        <f>_xlfn.XLOOKUP(I362,Helper_Table!A:A,Helper_Table!B:B)</f>
        <v>1.1000000000000001</v>
      </c>
      <c r="P362" s="1">
        <f t="shared" si="33"/>
        <v>23030.7</v>
      </c>
      <c r="Q362" s="4">
        <f t="shared" si="34"/>
        <v>0.90909090909090906</v>
      </c>
      <c r="R362" t="str">
        <f t="shared" si="35"/>
        <v>Below Target</v>
      </c>
    </row>
    <row r="363" spans="1:18">
      <c r="A363" t="s">
        <v>64</v>
      </c>
      <c r="B363" t="s">
        <v>51</v>
      </c>
      <c r="C363" t="s">
        <v>30</v>
      </c>
      <c r="D363" t="s">
        <v>31</v>
      </c>
      <c r="E363" t="s">
        <v>38</v>
      </c>
      <c r="F363">
        <v>1306</v>
      </c>
      <c r="G363" s="1">
        <v>35777</v>
      </c>
      <c r="H363" s="2">
        <v>45419</v>
      </c>
      <c r="I363" t="s">
        <v>39</v>
      </c>
      <c r="J363" t="s">
        <v>299</v>
      </c>
      <c r="K363" t="s">
        <v>47</v>
      </c>
      <c r="L363" t="str">
        <f t="shared" si="30"/>
        <v>May</v>
      </c>
      <c r="M363" t="str">
        <f t="shared" si="31"/>
        <v>Q2</v>
      </c>
      <c r="N363" t="str">
        <f t="shared" si="32"/>
        <v>Medium</v>
      </c>
      <c r="O363">
        <f>_xlfn.XLOOKUP(I363,Helper_Table!A:A,Helper_Table!B:B)</f>
        <v>1.1000000000000001</v>
      </c>
      <c r="P363" s="1">
        <f t="shared" si="33"/>
        <v>39354.700000000004</v>
      </c>
      <c r="Q363" s="4">
        <f t="shared" si="34"/>
        <v>0.90909090909090895</v>
      </c>
      <c r="R363" t="str">
        <f t="shared" si="35"/>
        <v>Below Target</v>
      </c>
    </row>
    <row r="364" spans="1:18">
      <c r="A364" t="s">
        <v>64</v>
      </c>
      <c r="B364" t="s">
        <v>12</v>
      </c>
      <c r="C364" t="s">
        <v>25</v>
      </c>
      <c r="D364" t="s">
        <v>21</v>
      </c>
      <c r="E364" t="s">
        <v>15</v>
      </c>
      <c r="F364">
        <v>1372</v>
      </c>
      <c r="G364" s="1">
        <v>47220</v>
      </c>
      <c r="H364" s="2">
        <v>45257</v>
      </c>
      <c r="I364" t="s">
        <v>41</v>
      </c>
      <c r="J364" t="s">
        <v>405</v>
      </c>
      <c r="K364" t="s">
        <v>18</v>
      </c>
      <c r="L364" t="str">
        <f t="shared" si="30"/>
        <v>Nov</v>
      </c>
      <c r="M364" t="str">
        <f t="shared" si="31"/>
        <v>Q4</v>
      </c>
      <c r="N364" t="str">
        <f t="shared" si="32"/>
        <v>High</v>
      </c>
      <c r="O364">
        <f>_xlfn.XLOOKUP(I364,Helper_Table!A:A,Helper_Table!B:B)</f>
        <v>1.2</v>
      </c>
      <c r="P364" s="1">
        <f t="shared" si="33"/>
        <v>56664</v>
      </c>
      <c r="Q364" s="4">
        <f t="shared" si="34"/>
        <v>0.83333333333333337</v>
      </c>
      <c r="R364" t="str">
        <f t="shared" si="35"/>
        <v>Below Target</v>
      </c>
    </row>
    <row r="365" spans="1:18">
      <c r="A365" t="s">
        <v>35</v>
      </c>
      <c r="B365" t="s">
        <v>19</v>
      </c>
      <c r="C365" t="s">
        <v>13</v>
      </c>
      <c r="D365" t="s">
        <v>31</v>
      </c>
      <c r="E365">
        <v>60</v>
      </c>
      <c r="F365">
        <v>873</v>
      </c>
      <c r="G365" s="1">
        <v>28524</v>
      </c>
      <c r="H365" s="2">
        <v>45200</v>
      </c>
      <c r="I365" t="s">
        <v>32</v>
      </c>
      <c r="J365" t="s">
        <v>227</v>
      </c>
      <c r="K365" t="s">
        <v>29</v>
      </c>
      <c r="L365" t="str">
        <f t="shared" si="30"/>
        <v>Oct</v>
      </c>
      <c r="M365" t="str">
        <f t="shared" si="31"/>
        <v>Q4</v>
      </c>
      <c r="N365" t="str">
        <f t="shared" si="32"/>
        <v>Medium</v>
      </c>
      <c r="O365">
        <f>_xlfn.XLOOKUP(I365,Helper_Table!A:A,Helper_Table!B:B)</f>
        <v>0.95</v>
      </c>
      <c r="P365" s="1">
        <f t="shared" si="33"/>
        <v>27097.8</v>
      </c>
      <c r="Q365" s="4">
        <f t="shared" si="34"/>
        <v>1.0526315789473684</v>
      </c>
      <c r="R365" t="str">
        <f t="shared" si="35"/>
        <v>Achieved</v>
      </c>
    </row>
    <row r="366" spans="1:18">
      <c r="A366" t="s">
        <v>35</v>
      </c>
      <c r="B366" t="s">
        <v>19</v>
      </c>
      <c r="C366" t="s">
        <v>13</v>
      </c>
      <c r="D366" t="s">
        <v>31</v>
      </c>
      <c r="E366">
        <v>60</v>
      </c>
      <c r="F366">
        <v>1075</v>
      </c>
      <c r="G366" s="1">
        <v>4900</v>
      </c>
      <c r="H366" s="2">
        <v>45251</v>
      </c>
      <c r="I366" t="s">
        <v>32</v>
      </c>
      <c r="J366" t="s">
        <v>406</v>
      </c>
      <c r="K366" t="s">
        <v>47</v>
      </c>
      <c r="L366" t="str">
        <f t="shared" si="30"/>
        <v>Nov</v>
      </c>
      <c r="M366" t="str">
        <f t="shared" si="31"/>
        <v>Q4</v>
      </c>
      <c r="N366" t="str">
        <f t="shared" si="32"/>
        <v>Low</v>
      </c>
      <c r="O366">
        <f>_xlfn.XLOOKUP(I366,Helper_Table!A:A,Helper_Table!B:B)</f>
        <v>0.95</v>
      </c>
      <c r="P366" s="1">
        <f t="shared" si="33"/>
        <v>4655</v>
      </c>
      <c r="Q366" s="4">
        <f t="shared" si="34"/>
        <v>1.0526315789473684</v>
      </c>
      <c r="R366" t="str">
        <f t="shared" si="35"/>
        <v>Achieved</v>
      </c>
    </row>
    <row r="367" spans="1:18">
      <c r="A367" t="s">
        <v>45</v>
      </c>
      <c r="B367" t="s">
        <v>49</v>
      </c>
      <c r="C367" t="s">
        <v>20</v>
      </c>
      <c r="D367" t="s">
        <v>21</v>
      </c>
      <c r="E367" t="s">
        <v>38</v>
      </c>
      <c r="F367">
        <v>862</v>
      </c>
      <c r="G367" s="1">
        <v>17179</v>
      </c>
      <c r="H367" s="2">
        <v>45242</v>
      </c>
      <c r="I367" t="s">
        <v>39</v>
      </c>
      <c r="J367" t="s">
        <v>407</v>
      </c>
      <c r="K367" t="s">
        <v>18</v>
      </c>
      <c r="L367" t="str">
        <f t="shared" si="30"/>
        <v>Nov</v>
      </c>
      <c r="M367" t="str">
        <f t="shared" si="31"/>
        <v>Q4</v>
      </c>
      <c r="N367" t="str">
        <f t="shared" si="32"/>
        <v>Low</v>
      </c>
      <c r="O367">
        <f>_xlfn.XLOOKUP(I367,Helper_Table!A:A,Helper_Table!B:B)</f>
        <v>1.1000000000000001</v>
      </c>
      <c r="P367" s="1">
        <f t="shared" si="33"/>
        <v>18896.900000000001</v>
      </c>
      <c r="Q367" s="4">
        <f t="shared" si="34"/>
        <v>0.90909090909090906</v>
      </c>
      <c r="R367" t="str">
        <f t="shared" si="35"/>
        <v>Below Target</v>
      </c>
    </row>
    <row r="368" spans="1:18">
      <c r="A368" t="s">
        <v>35</v>
      </c>
      <c r="B368" t="s">
        <v>12</v>
      </c>
      <c r="C368" t="s">
        <v>59</v>
      </c>
      <c r="D368" t="s">
        <v>14</v>
      </c>
      <c r="E368" t="s">
        <v>38</v>
      </c>
      <c r="F368">
        <v>1872</v>
      </c>
      <c r="G368" s="1">
        <v>42474</v>
      </c>
      <c r="H368" s="2">
        <v>45139</v>
      </c>
      <c r="I368" t="s">
        <v>32</v>
      </c>
      <c r="J368" t="s">
        <v>408</v>
      </c>
      <c r="K368" t="s">
        <v>34</v>
      </c>
      <c r="L368" t="str">
        <f t="shared" si="30"/>
        <v>Aug</v>
      </c>
      <c r="M368" t="str">
        <f t="shared" si="31"/>
        <v>Q3</v>
      </c>
      <c r="N368" t="str">
        <f t="shared" si="32"/>
        <v>High</v>
      </c>
      <c r="O368">
        <f>_xlfn.XLOOKUP(I368,Helper_Table!A:A,Helper_Table!B:B)</f>
        <v>0.95</v>
      </c>
      <c r="P368" s="1">
        <f t="shared" si="33"/>
        <v>40350.299999999996</v>
      </c>
      <c r="Q368" s="4">
        <f t="shared" si="34"/>
        <v>1.0526315789473686</v>
      </c>
      <c r="R368" t="str">
        <f t="shared" si="35"/>
        <v>Achieved</v>
      </c>
    </row>
    <row r="369" spans="1:18">
      <c r="A369" t="s">
        <v>24</v>
      </c>
      <c r="B369" t="s">
        <v>36</v>
      </c>
      <c r="C369" t="s">
        <v>59</v>
      </c>
      <c r="D369" t="s">
        <v>31</v>
      </c>
      <c r="E369" t="s">
        <v>15</v>
      </c>
      <c r="F369">
        <v>1041</v>
      </c>
      <c r="G369" s="1">
        <v>45750</v>
      </c>
      <c r="H369" s="2">
        <v>45457</v>
      </c>
      <c r="I369" t="s">
        <v>39</v>
      </c>
      <c r="J369" t="s">
        <v>409</v>
      </c>
      <c r="K369" t="s">
        <v>29</v>
      </c>
      <c r="L369" t="str">
        <f t="shared" si="30"/>
        <v>Jun</v>
      </c>
      <c r="M369" t="str">
        <f t="shared" si="31"/>
        <v>Q2</v>
      </c>
      <c r="N369" t="str">
        <f t="shared" si="32"/>
        <v>High</v>
      </c>
      <c r="O369">
        <f>_xlfn.XLOOKUP(I369,Helper_Table!A:A,Helper_Table!B:B)</f>
        <v>1.1000000000000001</v>
      </c>
      <c r="P369" s="1">
        <f t="shared" si="33"/>
        <v>50325.000000000007</v>
      </c>
      <c r="Q369" s="4">
        <f t="shared" si="34"/>
        <v>0.90909090909090895</v>
      </c>
      <c r="R369" t="str">
        <f t="shared" si="35"/>
        <v>Below Target</v>
      </c>
    </row>
    <row r="370" spans="1:18">
      <c r="A370" t="s">
        <v>35</v>
      </c>
      <c r="B370" t="s">
        <v>12</v>
      </c>
      <c r="C370" t="s">
        <v>25</v>
      </c>
      <c r="D370" t="s">
        <v>31</v>
      </c>
      <c r="E370">
        <v>60</v>
      </c>
      <c r="F370">
        <v>149</v>
      </c>
      <c r="G370" s="1">
        <v>40553</v>
      </c>
      <c r="H370" s="2">
        <v>45234</v>
      </c>
      <c r="I370" t="s">
        <v>39</v>
      </c>
      <c r="J370" t="s">
        <v>410</v>
      </c>
      <c r="K370" t="s">
        <v>29</v>
      </c>
      <c r="L370" t="str">
        <f t="shared" si="30"/>
        <v>Nov</v>
      </c>
      <c r="M370" t="str">
        <f t="shared" si="31"/>
        <v>Q4</v>
      </c>
      <c r="N370" t="str">
        <f t="shared" si="32"/>
        <v>High</v>
      </c>
      <c r="O370">
        <f>_xlfn.XLOOKUP(I370,Helper_Table!A:A,Helper_Table!B:B)</f>
        <v>1.1000000000000001</v>
      </c>
      <c r="P370" s="1">
        <f t="shared" si="33"/>
        <v>44608.3</v>
      </c>
      <c r="Q370" s="4">
        <f t="shared" si="34"/>
        <v>0.90909090909090906</v>
      </c>
      <c r="R370" t="str">
        <f t="shared" si="35"/>
        <v>Below Target</v>
      </c>
    </row>
    <row r="371" spans="1:18">
      <c r="A371" t="s">
        <v>35</v>
      </c>
      <c r="B371" t="s">
        <v>19</v>
      </c>
      <c r="C371" t="s">
        <v>30</v>
      </c>
      <c r="D371" t="s">
        <v>21</v>
      </c>
      <c r="E371">
        <v>60</v>
      </c>
      <c r="F371">
        <v>996</v>
      </c>
      <c r="G371" s="1">
        <v>6016</v>
      </c>
      <c r="H371" s="2">
        <v>45462</v>
      </c>
      <c r="I371" t="s">
        <v>41</v>
      </c>
      <c r="J371" t="s">
        <v>411</v>
      </c>
      <c r="K371" t="s">
        <v>34</v>
      </c>
      <c r="L371" t="str">
        <f t="shared" si="30"/>
        <v>Jun</v>
      </c>
      <c r="M371" t="str">
        <f t="shared" si="31"/>
        <v>Q2</v>
      </c>
      <c r="N371" t="str">
        <f t="shared" si="32"/>
        <v>Low</v>
      </c>
      <c r="O371">
        <f>_xlfn.XLOOKUP(I371,Helper_Table!A:A,Helper_Table!B:B)</f>
        <v>1.2</v>
      </c>
      <c r="P371" s="1">
        <f t="shared" si="33"/>
        <v>7219.2</v>
      </c>
      <c r="Q371" s="4">
        <f t="shared" si="34"/>
        <v>0.83333333333333337</v>
      </c>
      <c r="R371" t="str">
        <f t="shared" si="35"/>
        <v>Below Target</v>
      </c>
    </row>
    <row r="372" spans="1:18">
      <c r="A372" t="s">
        <v>11</v>
      </c>
      <c r="B372" t="s">
        <v>51</v>
      </c>
      <c r="C372" t="s">
        <v>30</v>
      </c>
      <c r="D372" t="s">
        <v>21</v>
      </c>
      <c r="E372">
        <v>60</v>
      </c>
      <c r="F372">
        <v>1890</v>
      </c>
      <c r="G372" s="1">
        <v>35859</v>
      </c>
      <c r="H372" s="2">
        <v>45240</v>
      </c>
      <c r="I372" t="s">
        <v>16</v>
      </c>
      <c r="J372" t="s">
        <v>412</v>
      </c>
      <c r="K372" t="s">
        <v>18</v>
      </c>
      <c r="L372" t="str">
        <f t="shared" si="30"/>
        <v>Nov</v>
      </c>
      <c r="M372" t="str">
        <f t="shared" si="31"/>
        <v>Q4</v>
      </c>
      <c r="N372" t="str">
        <f t="shared" si="32"/>
        <v>Medium</v>
      </c>
      <c r="O372">
        <f>_xlfn.XLOOKUP(I372,Helper_Table!A:A,Helper_Table!B:B)</f>
        <v>1.1000000000000001</v>
      </c>
      <c r="P372" s="1">
        <f t="shared" si="33"/>
        <v>39444.9</v>
      </c>
      <c r="Q372" s="4">
        <f t="shared" si="34"/>
        <v>0.90909090909090906</v>
      </c>
      <c r="R372" t="str">
        <f t="shared" si="35"/>
        <v>Below Target</v>
      </c>
    </row>
    <row r="373" spans="1:18">
      <c r="A373" t="s">
        <v>11</v>
      </c>
      <c r="B373" t="s">
        <v>19</v>
      </c>
      <c r="C373" t="s">
        <v>59</v>
      </c>
      <c r="D373" t="s">
        <v>31</v>
      </c>
      <c r="E373">
        <v>30</v>
      </c>
      <c r="F373">
        <v>770</v>
      </c>
      <c r="G373" s="1">
        <v>15607</v>
      </c>
      <c r="H373" s="2">
        <v>45216</v>
      </c>
      <c r="I373" t="s">
        <v>27</v>
      </c>
      <c r="J373" t="s">
        <v>413</v>
      </c>
      <c r="K373" t="s">
        <v>47</v>
      </c>
      <c r="L373" t="str">
        <f t="shared" si="30"/>
        <v>Oct</v>
      </c>
      <c r="M373" t="str">
        <f t="shared" si="31"/>
        <v>Q4</v>
      </c>
      <c r="N373" t="str">
        <f t="shared" si="32"/>
        <v>Low</v>
      </c>
      <c r="O373">
        <f>_xlfn.XLOOKUP(I373,Helper_Table!A:A,Helper_Table!B:B)</f>
        <v>0.9</v>
      </c>
      <c r="P373" s="1">
        <f t="shared" si="33"/>
        <v>14046.300000000001</v>
      </c>
      <c r="Q373" s="4">
        <f t="shared" si="34"/>
        <v>1.1111111111111109</v>
      </c>
      <c r="R373" t="str">
        <f t="shared" si="35"/>
        <v>Achieved</v>
      </c>
    </row>
    <row r="374" spans="1:18">
      <c r="A374" t="s">
        <v>24</v>
      </c>
      <c r="B374" t="s">
        <v>49</v>
      </c>
      <c r="C374" t="s">
        <v>30</v>
      </c>
      <c r="D374" t="s">
        <v>26</v>
      </c>
      <c r="E374">
        <v>30</v>
      </c>
      <c r="F374">
        <v>727</v>
      </c>
      <c r="G374" s="1">
        <v>3436</v>
      </c>
      <c r="H374" s="2">
        <v>45323</v>
      </c>
      <c r="I374" t="s">
        <v>39</v>
      </c>
      <c r="J374" t="s">
        <v>414</v>
      </c>
      <c r="K374" t="s">
        <v>44</v>
      </c>
      <c r="L374" t="str">
        <f t="shared" si="30"/>
        <v>Feb</v>
      </c>
      <c r="M374" t="str">
        <f t="shared" si="31"/>
        <v>Q1</v>
      </c>
      <c r="N374" t="str">
        <f t="shared" si="32"/>
        <v>Low</v>
      </c>
      <c r="O374">
        <f>_xlfn.XLOOKUP(I374,Helper_Table!A:A,Helper_Table!B:B)</f>
        <v>1.1000000000000001</v>
      </c>
      <c r="P374" s="1">
        <f t="shared" si="33"/>
        <v>3779.6000000000004</v>
      </c>
      <c r="Q374" s="4">
        <f t="shared" si="34"/>
        <v>0.90909090909090895</v>
      </c>
      <c r="R374" t="str">
        <f t="shared" si="35"/>
        <v>Below Target</v>
      </c>
    </row>
    <row r="375" spans="1:18">
      <c r="A375" t="s">
        <v>45</v>
      </c>
      <c r="B375" t="s">
        <v>51</v>
      </c>
      <c r="C375" t="s">
        <v>13</v>
      </c>
      <c r="D375" t="s">
        <v>31</v>
      </c>
      <c r="E375" t="s">
        <v>22</v>
      </c>
      <c r="F375">
        <v>190</v>
      </c>
      <c r="G375" s="1">
        <v>14001</v>
      </c>
      <c r="H375" s="2">
        <v>45302</v>
      </c>
      <c r="I375" t="s">
        <v>39</v>
      </c>
      <c r="J375" t="s">
        <v>415</v>
      </c>
      <c r="K375" t="s">
        <v>47</v>
      </c>
      <c r="L375" t="str">
        <f t="shared" si="30"/>
        <v>Jan</v>
      </c>
      <c r="M375" t="str">
        <f t="shared" si="31"/>
        <v>Q1</v>
      </c>
      <c r="N375" t="str">
        <f t="shared" si="32"/>
        <v>Low</v>
      </c>
      <c r="O375">
        <f>_xlfn.XLOOKUP(I375,Helper_Table!A:A,Helper_Table!B:B)</f>
        <v>1.1000000000000001</v>
      </c>
      <c r="P375" s="1">
        <f t="shared" si="33"/>
        <v>15401.1</v>
      </c>
      <c r="Q375" s="4">
        <f t="shared" si="34"/>
        <v>0.90909090909090906</v>
      </c>
      <c r="R375" t="str">
        <f t="shared" si="35"/>
        <v>Below Target</v>
      </c>
    </row>
    <row r="376" spans="1:18">
      <c r="A376" t="s">
        <v>64</v>
      </c>
      <c r="B376" t="s">
        <v>19</v>
      </c>
      <c r="C376" t="s">
        <v>20</v>
      </c>
      <c r="D376" t="s">
        <v>21</v>
      </c>
      <c r="E376" t="s">
        <v>38</v>
      </c>
      <c r="F376">
        <v>1248</v>
      </c>
      <c r="G376" s="1">
        <v>33631</v>
      </c>
      <c r="H376" s="2">
        <v>45276</v>
      </c>
      <c r="I376" t="s">
        <v>32</v>
      </c>
      <c r="J376" t="s">
        <v>416</v>
      </c>
      <c r="K376" t="s">
        <v>18</v>
      </c>
      <c r="L376" t="str">
        <f t="shared" si="30"/>
        <v>Dec</v>
      </c>
      <c r="M376" t="str">
        <f t="shared" si="31"/>
        <v>Q4</v>
      </c>
      <c r="N376" t="str">
        <f t="shared" si="32"/>
        <v>Medium</v>
      </c>
      <c r="O376">
        <f>_xlfn.XLOOKUP(I376,Helper_Table!A:A,Helper_Table!B:B)</f>
        <v>0.95</v>
      </c>
      <c r="P376" s="1">
        <f t="shared" si="33"/>
        <v>31949.449999999997</v>
      </c>
      <c r="Q376" s="4">
        <f t="shared" si="34"/>
        <v>1.0526315789473686</v>
      </c>
      <c r="R376" t="str">
        <f t="shared" si="35"/>
        <v>Achieved</v>
      </c>
    </row>
    <row r="377" spans="1:18">
      <c r="A377" t="s">
        <v>64</v>
      </c>
      <c r="B377" t="s">
        <v>51</v>
      </c>
      <c r="C377" t="s">
        <v>59</v>
      </c>
      <c r="D377" t="s">
        <v>26</v>
      </c>
      <c r="E377">
        <v>30</v>
      </c>
      <c r="F377">
        <v>1183</v>
      </c>
      <c r="G377" s="1">
        <v>39477</v>
      </c>
      <c r="H377" s="2">
        <v>45367</v>
      </c>
      <c r="I377" t="s">
        <v>41</v>
      </c>
      <c r="J377" t="s">
        <v>417</v>
      </c>
      <c r="K377" t="s">
        <v>18</v>
      </c>
      <c r="L377" t="str">
        <f t="shared" si="30"/>
        <v>Mar</v>
      </c>
      <c r="M377" t="str">
        <f t="shared" si="31"/>
        <v>Q1</v>
      </c>
      <c r="N377" t="str">
        <f t="shared" si="32"/>
        <v>Medium</v>
      </c>
      <c r="O377">
        <f>_xlfn.XLOOKUP(I377,Helper_Table!A:A,Helper_Table!B:B)</f>
        <v>1.2</v>
      </c>
      <c r="P377" s="1">
        <f t="shared" si="33"/>
        <v>47372.4</v>
      </c>
      <c r="Q377" s="4">
        <f t="shared" si="34"/>
        <v>0.83333333333333326</v>
      </c>
      <c r="R377" t="str">
        <f t="shared" si="35"/>
        <v>Below Target</v>
      </c>
    </row>
    <row r="378" spans="1:18">
      <c r="A378" t="s">
        <v>45</v>
      </c>
      <c r="B378" t="s">
        <v>51</v>
      </c>
      <c r="C378" t="s">
        <v>13</v>
      </c>
      <c r="D378" t="s">
        <v>66</v>
      </c>
      <c r="E378">
        <v>60</v>
      </c>
      <c r="F378">
        <v>1394</v>
      </c>
      <c r="G378" s="1">
        <v>13808</v>
      </c>
      <c r="H378" s="2">
        <v>45399</v>
      </c>
      <c r="I378" t="s">
        <v>32</v>
      </c>
      <c r="J378" t="s">
        <v>418</v>
      </c>
      <c r="K378" t="s">
        <v>29</v>
      </c>
      <c r="L378" t="str">
        <f t="shared" si="30"/>
        <v>Apr</v>
      </c>
      <c r="M378" t="str">
        <f t="shared" si="31"/>
        <v>Q2</v>
      </c>
      <c r="N378" t="str">
        <f t="shared" si="32"/>
        <v>Low</v>
      </c>
      <c r="O378">
        <f>_xlfn.XLOOKUP(I378,Helper_Table!A:A,Helper_Table!B:B)</f>
        <v>0.95</v>
      </c>
      <c r="P378" s="1">
        <f t="shared" si="33"/>
        <v>13117.599999999999</v>
      </c>
      <c r="Q378" s="4">
        <f t="shared" si="34"/>
        <v>1.0526315789473686</v>
      </c>
      <c r="R378" t="str">
        <f t="shared" si="35"/>
        <v>Achieved</v>
      </c>
    </row>
    <row r="379" spans="1:18">
      <c r="A379" t="s">
        <v>24</v>
      </c>
      <c r="B379" t="s">
        <v>51</v>
      </c>
      <c r="C379" t="s">
        <v>59</v>
      </c>
      <c r="D379" t="s">
        <v>21</v>
      </c>
      <c r="E379" t="s">
        <v>22</v>
      </c>
      <c r="F379">
        <v>626</v>
      </c>
      <c r="G379" s="1">
        <v>28471</v>
      </c>
      <c r="H379" s="2">
        <v>45204</v>
      </c>
      <c r="I379" t="s">
        <v>39</v>
      </c>
      <c r="J379" t="s">
        <v>419</v>
      </c>
      <c r="K379" t="s">
        <v>18</v>
      </c>
      <c r="L379" t="str">
        <f t="shared" si="30"/>
        <v>Oct</v>
      </c>
      <c r="M379" t="str">
        <f t="shared" si="31"/>
        <v>Q4</v>
      </c>
      <c r="N379" t="str">
        <f t="shared" si="32"/>
        <v>Medium</v>
      </c>
      <c r="O379">
        <f>_xlfn.XLOOKUP(I379,Helper_Table!A:A,Helper_Table!B:B)</f>
        <v>1.1000000000000001</v>
      </c>
      <c r="P379" s="1">
        <f t="shared" si="33"/>
        <v>31318.100000000002</v>
      </c>
      <c r="Q379" s="4">
        <f t="shared" si="34"/>
        <v>0.90909090909090906</v>
      </c>
      <c r="R379" t="str">
        <f t="shared" si="35"/>
        <v>Below Target</v>
      </c>
    </row>
    <row r="380" spans="1:18">
      <c r="A380" t="s">
        <v>11</v>
      </c>
      <c r="B380" t="s">
        <v>36</v>
      </c>
      <c r="C380" t="s">
        <v>30</v>
      </c>
      <c r="D380" t="s">
        <v>31</v>
      </c>
      <c r="E380">
        <v>60</v>
      </c>
      <c r="F380">
        <v>1394</v>
      </c>
      <c r="G380" s="1">
        <v>3360</v>
      </c>
      <c r="H380" s="2">
        <v>45463</v>
      </c>
      <c r="I380" t="s">
        <v>39</v>
      </c>
      <c r="J380" t="s">
        <v>420</v>
      </c>
      <c r="K380" t="s">
        <v>29</v>
      </c>
      <c r="L380" t="str">
        <f t="shared" si="30"/>
        <v>Jun</v>
      </c>
      <c r="M380" t="str">
        <f t="shared" si="31"/>
        <v>Q2</v>
      </c>
      <c r="N380" t="str">
        <f t="shared" si="32"/>
        <v>Low</v>
      </c>
      <c r="O380">
        <f>_xlfn.XLOOKUP(I380,Helper_Table!A:A,Helper_Table!B:B)</f>
        <v>1.1000000000000001</v>
      </c>
      <c r="P380" s="1">
        <f t="shared" si="33"/>
        <v>3696.0000000000005</v>
      </c>
      <c r="Q380" s="4">
        <f t="shared" si="34"/>
        <v>0.90909090909090895</v>
      </c>
      <c r="R380" t="str">
        <f t="shared" si="35"/>
        <v>Below Target</v>
      </c>
    </row>
    <row r="381" spans="1:18">
      <c r="A381" t="s">
        <v>11</v>
      </c>
      <c r="B381" t="s">
        <v>19</v>
      </c>
      <c r="C381" t="s">
        <v>13</v>
      </c>
      <c r="D381" t="s">
        <v>66</v>
      </c>
      <c r="E381">
        <v>30</v>
      </c>
      <c r="F381">
        <v>1699</v>
      </c>
      <c r="G381" s="1">
        <v>25685</v>
      </c>
      <c r="H381" s="2">
        <v>45250</v>
      </c>
      <c r="I381" t="s">
        <v>16</v>
      </c>
      <c r="J381" t="s">
        <v>421</v>
      </c>
      <c r="K381" t="s">
        <v>29</v>
      </c>
      <c r="L381" t="str">
        <f t="shared" si="30"/>
        <v>Nov</v>
      </c>
      <c r="M381" t="str">
        <f t="shared" si="31"/>
        <v>Q4</v>
      </c>
      <c r="N381" t="str">
        <f t="shared" si="32"/>
        <v>Medium</v>
      </c>
      <c r="O381">
        <f>_xlfn.XLOOKUP(I381,Helper_Table!A:A,Helper_Table!B:B)</f>
        <v>1.1000000000000001</v>
      </c>
      <c r="P381" s="1">
        <f t="shared" si="33"/>
        <v>28253.500000000004</v>
      </c>
      <c r="Q381" s="4">
        <f t="shared" si="34"/>
        <v>0.90909090909090895</v>
      </c>
      <c r="R381" t="str">
        <f t="shared" si="35"/>
        <v>Below Target</v>
      </c>
    </row>
    <row r="382" spans="1:18">
      <c r="A382" t="s">
        <v>24</v>
      </c>
      <c r="B382" t="s">
        <v>12</v>
      </c>
      <c r="C382" t="s">
        <v>20</v>
      </c>
      <c r="D382" t="s">
        <v>66</v>
      </c>
      <c r="E382">
        <v>30</v>
      </c>
      <c r="F382">
        <v>364</v>
      </c>
      <c r="G382" s="1">
        <v>20390</v>
      </c>
      <c r="H382" s="2">
        <v>45182</v>
      </c>
      <c r="I382" t="s">
        <v>41</v>
      </c>
      <c r="J382" t="s">
        <v>422</v>
      </c>
      <c r="K382" t="s">
        <v>29</v>
      </c>
      <c r="L382" t="str">
        <f t="shared" si="30"/>
        <v>Sep</v>
      </c>
      <c r="M382" t="str">
        <f t="shared" si="31"/>
        <v>Q3</v>
      </c>
      <c r="N382" t="str">
        <f t="shared" si="32"/>
        <v>Medium</v>
      </c>
      <c r="O382">
        <f>_xlfn.XLOOKUP(I382,Helper_Table!A:A,Helper_Table!B:B)</f>
        <v>1.2</v>
      </c>
      <c r="P382" s="1">
        <f t="shared" si="33"/>
        <v>24468</v>
      </c>
      <c r="Q382" s="4">
        <f t="shared" si="34"/>
        <v>0.83333333333333337</v>
      </c>
      <c r="R382" t="str">
        <f t="shared" si="35"/>
        <v>Below Target</v>
      </c>
    </row>
    <row r="383" spans="1:18">
      <c r="A383" t="s">
        <v>11</v>
      </c>
      <c r="B383" t="s">
        <v>19</v>
      </c>
      <c r="C383" t="s">
        <v>30</v>
      </c>
      <c r="D383" t="s">
        <v>14</v>
      </c>
      <c r="E383">
        <v>60</v>
      </c>
      <c r="F383">
        <v>1120</v>
      </c>
      <c r="G383" s="1">
        <v>22277</v>
      </c>
      <c r="H383" s="2">
        <v>45164</v>
      </c>
      <c r="I383" t="s">
        <v>16</v>
      </c>
      <c r="J383" t="s">
        <v>423</v>
      </c>
      <c r="K383" t="s">
        <v>29</v>
      </c>
      <c r="L383" t="str">
        <f t="shared" si="30"/>
        <v>Aug</v>
      </c>
      <c r="M383" t="str">
        <f t="shared" si="31"/>
        <v>Q3</v>
      </c>
      <c r="N383" t="str">
        <f t="shared" si="32"/>
        <v>Medium</v>
      </c>
      <c r="O383">
        <f>_xlfn.XLOOKUP(I383,Helper_Table!A:A,Helper_Table!B:B)</f>
        <v>1.1000000000000001</v>
      </c>
      <c r="P383" s="1">
        <f t="shared" si="33"/>
        <v>24504.7</v>
      </c>
      <c r="Q383" s="4">
        <f t="shared" si="34"/>
        <v>0.90909090909090906</v>
      </c>
      <c r="R383" t="str">
        <f t="shared" si="35"/>
        <v>Below Target</v>
      </c>
    </row>
    <row r="384" spans="1:18">
      <c r="A384" t="s">
        <v>64</v>
      </c>
      <c r="B384" t="s">
        <v>49</v>
      </c>
      <c r="C384" t="s">
        <v>20</v>
      </c>
      <c r="D384" t="s">
        <v>26</v>
      </c>
      <c r="E384" t="s">
        <v>38</v>
      </c>
      <c r="F384">
        <v>323</v>
      </c>
      <c r="G384" s="1">
        <v>22108</v>
      </c>
      <c r="H384" s="2">
        <v>45164</v>
      </c>
      <c r="I384" t="s">
        <v>41</v>
      </c>
      <c r="J384" t="s">
        <v>424</v>
      </c>
      <c r="K384" t="s">
        <v>44</v>
      </c>
      <c r="L384" t="str">
        <f t="shared" si="30"/>
        <v>Aug</v>
      </c>
      <c r="M384" t="str">
        <f t="shared" si="31"/>
        <v>Q3</v>
      </c>
      <c r="N384" t="str">
        <f t="shared" si="32"/>
        <v>Medium</v>
      </c>
      <c r="O384">
        <f>_xlfn.XLOOKUP(I384,Helper_Table!A:A,Helper_Table!B:B)</f>
        <v>1.2</v>
      </c>
      <c r="P384" s="1">
        <f t="shared" si="33"/>
        <v>26529.599999999999</v>
      </c>
      <c r="Q384" s="4">
        <f t="shared" si="34"/>
        <v>0.83333333333333337</v>
      </c>
      <c r="R384" t="str">
        <f t="shared" si="35"/>
        <v>Below Target</v>
      </c>
    </row>
    <row r="385" spans="1:18">
      <c r="A385" t="s">
        <v>24</v>
      </c>
      <c r="B385" t="s">
        <v>19</v>
      </c>
      <c r="C385" t="s">
        <v>25</v>
      </c>
      <c r="D385" t="s">
        <v>21</v>
      </c>
      <c r="E385">
        <v>30</v>
      </c>
      <c r="F385">
        <v>1394</v>
      </c>
      <c r="G385" s="1">
        <v>45719</v>
      </c>
      <c r="H385" s="2">
        <v>45192</v>
      </c>
      <c r="I385" t="s">
        <v>16</v>
      </c>
      <c r="J385" t="s">
        <v>425</v>
      </c>
      <c r="K385" t="s">
        <v>44</v>
      </c>
      <c r="L385" t="str">
        <f t="shared" si="30"/>
        <v>Sep</v>
      </c>
      <c r="M385" t="str">
        <f t="shared" si="31"/>
        <v>Q3</v>
      </c>
      <c r="N385" t="str">
        <f t="shared" si="32"/>
        <v>High</v>
      </c>
      <c r="O385">
        <f>_xlfn.XLOOKUP(I385,Helper_Table!A:A,Helper_Table!B:B)</f>
        <v>1.1000000000000001</v>
      </c>
      <c r="P385" s="1">
        <f t="shared" si="33"/>
        <v>50290.9</v>
      </c>
      <c r="Q385" s="4">
        <f t="shared" si="34"/>
        <v>0.90909090909090906</v>
      </c>
      <c r="R385" t="str">
        <f t="shared" si="35"/>
        <v>Below Target</v>
      </c>
    </row>
    <row r="386" spans="1:18">
      <c r="A386" t="s">
        <v>11</v>
      </c>
      <c r="B386" t="s">
        <v>36</v>
      </c>
      <c r="C386" t="s">
        <v>59</v>
      </c>
      <c r="D386" t="s">
        <v>66</v>
      </c>
      <c r="E386">
        <v>30</v>
      </c>
      <c r="F386">
        <v>515</v>
      </c>
      <c r="G386" s="1">
        <v>10882</v>
      </c>
      <c r="H386" s="2">
        <v>45379</v>
      </c>
      <c r="I386" t="s">
        <v>39</v>
      </c>
      <c r="J386" t="s">
        <v>426</v>
      </c>
      <c r="K386" t="s">
        <v>44</v>
      </c>
      <c r="L386" t="str">
        <f t="shared" ref="L386:L449" si="36">TEXT(H386,"MMM")</f>
        <v>Mar</v>
      </c>
      <c r="M386" t="str">
        <f t="shared" ref="M386:M449" si="37">"Q"&amp;ROUNDUP(MONTH(H386)/3,0)</f>
        <v>Q1</v>
      </c>
      <c r="N386" t="str">
        <f t="shared" ref="N386:N449" si="38">IF(G386&gt;40000,"High",
IF(G386&gt;20000,"Medium","Low"))</f>
        <v>Low</v>
      </c>
      <c r="O386">
        <f>_xlfn.XLOOKUP(I386,Helper_Table!A:A,Helper_Table!B:B)</f>
        <v>1.1000000000000001</v>
      </c>
      <c r="P386" s="1">
        <f t="shared" ref="P386:P449" si="39">G386*O386</f>
        <v>11970.2</v>
      </c>
      <c r="Q386" s="4">
        <f t="shared" ref="Q386:Q449" si="40">G386/P386</f>
        <v>0.90909090909090906</v>
      </c>
      <c r="R386" t="str">
        <f t="shared" ref="R386:R449" si="41">IF(Q386&gt;=1,"Achieved","Below Target")</f>
        <v>Below Target</v>
      </c>
    </row>
    <row r="387" spans="1:18">
      <c r="A387" t="s">
        <v>64</v>
      </c>
      <c r="B387" t="s">
        <v>49</v>
      </c>
      <c r="C387" t="s">
        <v>25</v>
      </c>
      <c r="D387" t="s">
        <v>26</v>
      </c>
      <c r="E387" t="s">
        <v>38</v>
      </c>
      <c r="F387">
        <v>1729</v>
      </c>
      <c r="G387" s="1">
        <v>26352</v>
      </c>
      <c r="H387" s="2">
        <v>45342</v>
      </c>
      <c r="I387" t="s">
        <v>39</v>
      </c>
      <c r="J387" t="s">
        <v>427</v>
      </c>
      <c r="K387" t="s">
        <v>47</v>
      </c>
      <c r="L387" t="str">
        <f t="shared" si="36"/>
        <v>Feb</v>
      </c>
      <c r="M387" t="str">
        <f t="shared" si="37"/>
        <v>Q1</v>
      </c>
      <c r="N387" t="str">
        <f t="shared" si="38"/>
        <v>Medium</v>
      </c>
      <c r="O387">
        <f>_xlfn.XLOOKUP(I387,Helper_Table!A:A,Helper_Table!B:B)</f>
        <v>1.1000000000000001</v>
      </c>
      <c r="P387" s="1">
        <f t="shared" si="39"/>
        <v>28987.200000000001</v>
      </c>
      <c r="Q387" s="4">
        <f t="shared" si="40"/>
        <v>0.90909090909090906</v>
      </c>
      <c r="R387" t="str">
        <f t="shared" si="41"/>
        <v>Below Target</v>
      </c>
    </row>
    <row r="388" spans="1:18">
      <c r="A388" t="s">
        <v>24</v>
      </c>
      <c r="B388" t="s">
        <v>19</v>
      </c>
      <c r="C388" t="s">
        <v>25</v>
      </c>
      <c r="D388" t="s">
        <v>26</v>
      </c>
      <c r="E388">
        <v>30</v>
      </c>
      <c r="F388">
        <v>1208</v>
      </c>
      <c r="G388" s="1">
        <v>39952</v>
      </c>
      <c r="H388" s="2">
        <v>45361</v>
      </c>
      <c r="I388" t="s">
        <v>16</v>
      </c>
      <c r="J388" t="s">
        <v>428</v>
      </c>
      <c r="K388" t="s">
        <v>47</v>
      </c>
      <c r="L388" t="str">
        <f t="shared" si="36"/>
        <v>Mar</v>
      </c>
      <c r="M388" t="str">
        <f t="shared" si="37"/>
        <v>Q1</v>
      </c>
      <c r="N388" t="str">
        <f t="shared" si="38"/>
        <v>Medium</v>
      </c>
      <c r="O388">
        <f>_xlfn.XLOOKUP(I388,Helper_Table!A:A,Helper_Table!B:B)</f>
        <v>1.1000000000000001</v>
      </c>
      <c r="P388" s="1">
        <f t="shared" si="39"/>
        <v>43947.200000000004</v>
      </c>
      <c r="Q388" s="4">
        <f t="shared" si="40"/>
        <v>0.90909090909090895</v>
      </c>
      <c r="R388" t="str">
        <f t="shared" si="41"/>
        <v>Below Target</v>
      </c>
    </row>
    <row r="389" spans="1:18">
      <c r="A389" t="s">
        <v>64</v>
      </c>
      <c r="B389" t="s">
        <v>19</v>
      </c>
      <c r="C389" t="s">
        <v>59</v>
      </c>
      <c r="D389" t="s">
        <v>31</v>
      </c>
      <c r="E389">
        <v>30</v>
      </c>
      <c r="F389">
        <v>1657</v>
      </c>
      <c r="G389" s="1">
        <v>21133</v>
      </c>
      <c r="H389" s="2">
        <v>45379</v>
      </c>
      <c r="I389" t="s">
        <v>27</v>
      </c>
      <c r="J389" t="s">
        <v>429</v>
      </c>
      <c r="K389" t="s">
        <v>18</v>
      </c>
      <c r="L389" t="str">
        <f t="shared" si="36"/>
        <v>Mar</v>
      </c>
      <c r="M389" t="str">
        <f t="shared" si="37"/>
        <v>Q1</v>
      </c>
      <c r="N389" t="str">
        <f t="shared" si="38"/>
        <v>Medium</v>
      </c>
      <c r="O389">
        <f>_xlfn.XLOOKUP(I389,Helper_Table!A:A,Helper_Table!B:B)</f>
        <v>0.9</v>
      </c>
      <c r="P389" s="1">
        <f t="shared" si="39"/>
        <v>19019.7</v>
      </c>
      <c r="Q389" s="4">
        <f t="shared" si="40"/>
        <v>1.1111111111111112</v>
      </c>
      <c r="R389" t="str">
        <f t="shared" si="41"/>
        <v>Achieved</v>
      </c>
    </row>
    <row r="390" spans="1:18">
      <c r="A390" t="s">
        <v>45</v>
      </c>
      <c r="B390" t="s">
        <v>12</v>
      </c>
      <c r="C390" t="s">
        <v>59</v>
      </c>
      <c r="D390" t="s">
        <v>21</v>
      </c>
      <c r="E390">
        <v>60</v>
      </c>
      <c r="F390">
        <v>1572</v>
      </c>
      <c r="G390" s="1">
        <v>46966</v>
      </c>
      <c r="H390" s="2">
        <v>45217</v>
      </c>
      <c r="I390" t="s">
        <v>41</v>
      </c>
      <c r="J390" t="s">
        <v>430</v>
      </c>
      <c r="K390" t="s">
        <v>34</v>
      </c>
      <c r="L390" t="str">
        <f t="shared" si="36"/>
        <v>Oct</v>
      </c>
      <c r="M390" t="str">
        <f t="shared" si="37"/>
        <v>Q4</v>
      </c>
      <c r="N390" t="str">
        <f t="shared" si="38"/>
        <v>High</v>
      </c>
      <c r="O390">
        <f>_xlfn.XLOOKUP(I390,Helper_Table!A:A,Helper_Table!B:B)</f>
        <v>1.2</v>
      </c>
      <c r="P390" s="1">
        <f t="shared" si="39"/>
        <v>56359.199999999997</v>
      </c>
      <c r="Q390" s="4">
        <f t="shared" si="40"/>
        <v>0.83333333333333337</v>
      </c>
      <c r="R390" t="str">
        <f t="shared" si="41"/>
        <v>Below Target</v>
      </c>
    </row>
    <row r="391" spans="1:18">
      <c r="A391" t="s">
        <v>45</v>
      </c>
      <c r="B391" t="s">
        <v>49</v>
      </c>
      <c r="C391" t="s">
        <v>30</v>
      </c>
      <c r="D391" t="s">
        <v>21</v>
      </c>
      <c r="E391">
        <v>60</v>
      </c>
      <c r="F391">
        <v>901</v>
      </c>
      <c r="G391" s="1">
        <v>37255</v>
      </c>
      <c r="H391" s="2">
        <v>45224</v>
      </c>
      <c r="I391" t="s">
        <v>27</v>
      </c>
      <c r="J391" t="s">
        <v>431</v>
      </c>
      <c r="K391" t="s">
        <v>18</v>
      </c>
      <c r="L391" t="str">
        <f t="shared" si="36"/>
        <v>Oct</v>
      </c>
      <c r="M391" t="str">
        <f t="shared" si="37"/>
        <v>Q4</v>
      </c>
      <c r="N391" t="str">
        <f t="shared" si="38"/>
        <v>Medium</v>
      </c>
      <c r="O391">
        <f>_xlfn.XLOOKUP(I391,Helper_Table!A:A,Helper_Table!B:B)</f>
        <v>0.9</v>
      </c>
      <c r="P391" s="1">
        <f t="shared" si="39"/>
        <v>33529.5</v>
      </c>
      <c r="Q391" s="4">
        <f t="shared" si="40"/>
        <v>1.1111111111111112</v>
      </c>
      <c r="R391" t="str">
        <f t="shared" si="41"/>
        <v>Achieved</v>
      </c>
    </row>
    <row r="392" spans="1:18">
      <c r="A392" t="s">
        <v>35</v>
      </c>
      <c r="B392" t="s">
        <v>19</v>
      </c>
      <c r="C392" t="s">
        <v>30</v>
      </c>
      <c r="D392" t="s">
        <v>14</v>
      </c>
      <c r="E392" t="s">
        <v>22</v>
      </c>
      <c r="F392">
        <v>814</v>
      </c>
      <c r="G392" s="1">
        <v>11345</v>
      </c>
      <c r="H392" s="2">
        <v>45330</v>
      </c>
      <c r="I392" t="s">
        <v>32</v>
      </c>
      <c r="J392" t="s">
        <v>432</v>
      </c>
      <c r="K392" t="s">
        <v>47</v>
      </c>
      <c r="L392" t="str">
        <f t="shared" si="36"/>
        <v>Feb</v>
      </c>
      <c r="M392" t="str">
        <f t="shared" si="37"/>
        <v>Q1</v>
      </c>
      <c r="N392" t="str">
        <f t="shared" si="38"/>
        <v>Low</v>
      </c>
      <c r="O392">
        <f>_xlfn.XLOOKUP(I392,Helper_Table!A:A,Helper_Table!B:B)</f>
        <v>0.95</v>
      </c>
      <c r="P392" s="1">
        <f t="shared" si="39"/>
        <v>10777.75</v>
      </c>
      <c r="Q392" s="4">
        <f t="shared" si="40"/>
        <v>1.0526315789473684</v>
      </c>
      <c r="R392" t="str">
        <f t="shared" si="41"/>
        <v>Achieved</v>
      </c>
    </row>
    <row r="393" spans="1:18">
      <c r="A393" t="s">
        <v>24</v>
      </c>
      <c r="B393" t="s">
        <v>19</v>
      </c>
      <c r="C393" t="s">
        <v>30</v>
      </c>
      <c r="D393" t="s">
        <v>26</v>
      </c>
      <c r="E393" t="s">
        <v>38</v>
      </c>
      <c r="F393">
        <v>1124</v>
      </c>
      <c r="G393" s="1">
        <v>18402</v>
      </c>
      <c r="H393" s="2">
        <v>45290</v>
      </c>
      <c r="I393" t="s">
        <v>16</v>
      </c>
      <c r="J393" t="s">
        <v>46</v>
      </c>
      <c r="K393" t="s">
        <v>44</v>
      </c>
      <c r="L393" t="str">
        <f t="shared" si="36"/>
        <v>Dec</v>
      </c>
      <c r="M393" t="str">
        <f t="shared" si="37"/>
        <v>Q4</v>
      </c>
      <c r="N393" t="str">
        <f t="shared" si="38"/>
        <v>Low</v>
      </c>
      <c r="O393">
        <f>_xlfn.XLOOKUP(I393,Helper_Table!A:A,Helper_Table!B:B)</f>
        <v>1.1000000000000001</v>
      </c>
      <c r="P393" s="1">
        <f t="shared" si="39"/>
        <v>20242.2</v>
      </c>
      <c r="Q393" s="4">
        <f t="shared" si="40"/>
        <v>0.90909090909090906</v>
      </c>
      <c r="R393" t="str">
        <f t="shared" si="41"/>
        <v>Below Target</v>
      </c>
    </row>
    <row r="394" spans="1:18">
      <c r="A394" t="s">
        <v>11</v>
      </c>
      <c r="B394" t="s">
        <v>19</v>
      </c>
      <c r="C394" t="s">
        <v>30</v>
      </c>
      <c r="D394" t="s">
        <v>66</v>
      </c>
      <c r="E394" t="s">
        <v>22</v>
      </c>
      <c r="F394">
        <v>1609</v>
      </c>
      <c r="G394" s="1">
        <v>12823</v>
      </c>
      <c r="H394" s="2">
        <v>45470</v>
      </c>
      <c r="I394" t="s">
        <v>32</v>
      </c>
      <c r="J394" t="s">
        <v>433</v>
      </c>
      <c r="K394" t="s">
        <v>44</v>
      </c>
      <c r="L394" t="str">
        <f t="shared" si="36"/>
        <v>Jun</v>
      </c>
      <c r="M394" t="str">
        <f t="shared" si="37"/>
        <v>Q2</v>
      </c>
      <c r="N394" t="str">
        <f t="shared" si="38"/>
        <v>Low</v>
      </c>
      <c r="O394">
        <f>_xlfn.XLOOKUP(I394,Helper_Table!A:A,Helper_Table!B:B)</f>
        <v>0.95</v>
      </c>
      <c r="P394" s="1">
        <f t="shared" si="39"/>
        <v>12181.849999999999</v>
      </c>
      <c r="Q394" s="4">
        <f t="shared" si="40"/>
        <v>1.0526315789473686</v>
      </c>
      <c r="R394" t="str">
        <f t="shared" si="41"/>
        <v>Achieved</v>
      </c>
    </row>
    <row r="395" spans="1:18">
      <c r="A395" t="s">
        <v>24</v>
      </c>
      <c r="B395" t="s">
        <v>19</v>
      </c>
      <c r="C395" t="s">
        <v>30</v>
      </c>
      <c r="D395" t="s">
        <v>66</v>
      </c>
      <c r="E395" t="s">
        <v>15</v>
      </c>
      <c r="F395">
        <v>846</v>
      </c>
      <c r="G395" s="1">
        <v>39016</v>
      </c>
      <c r="H395" s="2">
        <v>45342</v>
      </c>
      <c r="I395" t="s">
        <v>16</v>
      </c>
      <c r="J395" t="s">
        <v>434</v>
      </c>
      <c r="K395" t="s">
        <v>18</v>
      </c>
      <c r="L395" t="str">
        <f t="shared" si="36"/>
        <v>Feb</v>
      </c>
      <c r="M395" t="str">
        <f t="shared" si="37"/>
        <v>Q1</v>
      </c>
      <c r="N395" t="str">
        <f t="shared" si="38"/>
        <v>Medium</v>
      </c>
      <c r="O395">
        <f>_xlfn.XLOOKUP(I395,Helper_Table!A:A,Helper_Table!B:B)</f>
        <v>1.1000000000000001</v>
      </c>
      <c r="P395" s="1">
        <f t="shared" si="39"/>
        <v>42917.600000000006</v>
      </c>
      <c r="Q395" s="4">
        <f t="shared" si="40"/>
        <v>0.90909090909090895</v>
      </c>
      <c r="R395" t="str">
        <f t="shared" si="41"/>
        <v>Below Target</v>
      </c>
    </row>
    <row r="396" spans="1:18">
      <c r="A396" t="s">
        <v>45</v>
      </c>
      <c r="B396" t="s">
        <v>36</v>
      </c>
      <c r="C396" t="s">
        <v>20</v>
      </c>
      <c r="D396" t="s">
        <v>66</v>
      </c>
      <c r="E396" t="s">
        <v>15</v>
      </c>
      <c r="F396">
        <v>859</v>
      </c>
      <c r="G396" s="1">
        <v>49397</v>
      </c>
      <c r="H396" s="2">
        <v>45167</v>
      </c>
      <c r="I396" t="s">
        <v>27</v>
      </c>
      <c r="J396" t="s">
        <v>435</v>
      </c>
      <c r="K396" t="s">
        <v>44</v>
      </c>
      <c r="L396" t="str">
        <f t="shared" si="36"/>
        <v>Aug</v>
      </c>
      <c r="M396" t="str">
        <f t="shared" si="37"/>
        <v>Q3</v>
      </c>
      <c r="N396" t="str">
        <f t="shared" si="38"/>
        <v>High</v>
      </c>
      <c r="O396">
        <f>_xlfn.XLOOKUP(I396,Helper_Table!A:A,Helper_Table!B:B)</f>
        <v>0.9</v>
      </c>
      <c r="P396" s="1">
        <f t="shared" si="39"/>
        <v>44457.3</v>
      </c>
      <c r="Q396" s="4">
        <f t="shared" si="40"/>
        <v>1.1111111111111109</v>
      </c>
      <c r="R396" t="str">
        <f t="shared" si="41"/>
        <v>Achieved</v>
      </c>
    </row>
    <row r="397" spans="1:18">
      <c r="A397" t="s">
        <v>24</v>
      </c>
      <c r="B397" t="s">
        <v>36</v>
      </c>
      <c r="C397" t="s">
        <v>13</v>
      </c>
      <c r="D397" t="s">
        <v>66</v>
      </c>
      <c r="E397" t="s">
        <v>38</v>
      </c>
      <c r="F397">
        <v>389</v>
      </c>
      <c r="G397" s="1">
        <v>3098</v>
      </c>
      <c r="H397" s="2">
        <v>45422</v>
      </c>
      <c r="I397" t="s">
        <v>32</v>
      </c>
      <c r="J397" t="s">
        <v>436</v>
      </c>
      <c r="K397" t="s">
        <v>29</v>
      </c>
      <c r="L397" t="str">
        <f t="shared" si="36"/>
        <v>May</v>
      </c>
      <c r="M397" t="str">
        <f t="shared" si="37"/>
        <v>Q2</v>
      </c>
      <c r="N397" t="str">
        <f t="shared" si="38"/>
        <v>Low</v>
      </c>
      <c r="O397">
        <f>_xlfn.XLOOKUP(I397,Helper_Table!A:A,Helper_Table!B:B)</f>
        <v>0.95</v>
      </c>
      <c r="P397" s="1">
        <f t="shared" si="39"/>
        <v>2943.1</v>
      </c>
      <c r="Q397" s="4">
        <f t="shared" si="40"/>
        <v>1.0526315789473684</v>
      </c>
      <c r="R397" t="str">
        <f t="shared" si="41"/>
        <v>Achieved</v>
      </c>
    </row>
    <row r="398" spans="1:18">
      <c r="A398" t="s">
        <v>11</v>
      </c>
      <c r="B398" t="s">
        <v>51</v>
      </c>
      <c r="C398" t="s">
        <v>30</v>
      </c>
      <c r="D398" t="s">
        <v>21</v>
      </c>
      <c r="E398">
        <v>60</v>
      </c>
      <c r="F398">
        <v>1964</v>
      </c>
      <c r="G398" s="1">
        <v>38375</v>
      </c>
      <c r="H398" s="2">
        <v>45254</v>
      </c>
      <c r="I398" t="s">
        <v>16</v>
      </c>
      <c r="J398" t="s">
        <v>252</v>
      </c>
      <c r="K398" t="s">
        <v>18</v>
      </c>
      <c r="L398" t="str">
        <f t="shared" si="36"/>
        <v>Nov</v>
      </c>
      <c r="M398" t="str">
        <f t="shared" si="37"/>
        <v>Q4</v>
      </c>
      <c r="N398" t="str">
        <f t="shared" si="38"/>
        <v>Medium</v>
      </c>
      <c r="O398">
        <f>_xlfn.XLOOKUP(I398,Helper_Table!A:A,Helper_Table!B:B)</f>
        <v>1.1000000000000001</v>
      </c>
      <c r="P398" s="1">
        <f t="shared" si="39"/>
        <v>42212.5</v>
      </c>
      <c r="Q398" s="4">
        <f t="shared" si="40"/>
        <v>0.90909090909090906</v>
      </c>
      <c r="R398" t="str">
        <f t="shared" si="41"/>
        <v>Below Target</v>
      </c>
    </row>
    <row r="399" spans="1:18">
      <c r="A399" t="s">
        <v>45</v>
      </c>
      <c r="B399" t="s">
        <v>49</v>
      </c>
      <c r="C399" t="s">
        <v>30</v>
      </c>
      <c r="D399" t="s">
        <v>14</v>
      </c>
      <c r="E399">
        <v>60</v>
      </c>
      <c r="F399">
        <v>764</v>
      </c>
      <c r="G399" s="1">
        <v>2858</v>
      </c>
      <c r="H399" s="2">
        <v>45163</v>
      </c>
      <c r="I399" t="s">
        <v>41</v>
      </c>
      <c r="J399" t="s">
        <v>437</v>
      </c>
      <c r="K399" t="s">
        <v>29</v>
      </c>
      <c r="L399" t="str">
        <f t="shared" si="36"/>
        <v>Aug</v>
      </c>
      <c r="M399" t="str">
        <f t="shared" si="37"/>
        <v>Q3</v>
      </c>
      <c r="N399" t="str">
        <f t="shared" si="38"/>
        <v>Low</v>
      </c>
      <c r="O399">
        <f>_xlfn.XLOOKUP(I399,Helper_Table!A:A,Helper_Table!B:B)</f>
        <v>1.2</v>
      </c>
      <c r="P399" s="1">
        <f t="shared" si="39"/>
        <v>3429.6</v>
      </c>
      <c r="Q399" s="4">
        <f t="shared" si="40"/>
        <v>0.83333333333333337</v>
      </c>
      <c r="R399" t="str">
        <f t="shared" si="41"/>
        <v>Below Target</v>
      </c>
    </row>
    <row r="400" spans="1:18">
      <c r="A400" t="s">
        <v>64</v>
      </c>
      <c r="B400" t="s">
        <v>49</v>
      </c>
      <c r="C400" t="s">
        <v>59</v>
      </c>
      <c r="D400" t="s">
        <v>21</v>
      </c>
      <c r="E400">
        <v>30</v>
      </c>
      <c r="F400">
        <v>1326</v>
      </c>
      <c r="G400" s="1">
        <v>20696</v>
      </c>
      <c r="H400" s="2">
        <v>45454</v>
      </c>
      <c r="I400" t="s">
        <v>41</v>
      </c>
      <c r="J400" t="s">
        <v>438</v>
      </c>
      <c r="K400" t="s">
        <v>18</v>
      </c>
      <c r="L400" t="str">
        <f t="shared" si="36"/>
        <v>Jun</v>
      </c>
      <c r="M400" t="str">
        <f t="shared" si="37"/>
        <v>Q2</v>
      </c>
      <c r="N400" t="str">
        <f t="shared" si="38"/>
        <v>Medium</v>
      </c>
      <c r="O400">
        <f>_xlfn.XLOOKUP(I400,Helper_Table!A:A,Helper_Table!B:B)</f>
        <v>1.2</v>
      </c>
      <c r="P400" s="1">
        <f t="shared" si="39"/>
        <v>24835.200000000001</v>
      </c>
      <c r="Q400" s="4">
        <f t="shared" si="40"/>
        <v>0.83333333333333326</v>
      </c>
      <c r="R400" t="str">
        <f t="shared" si="41"/>
        <v>Below Target</v>
      </c>
    </row>
    <row r="401" spans="1:18">
      <c r="A401" t="s">
        <v>24</v>
      </c>
      <c r="B401" t="s">
        <v>51</v>
      </c>
      <c r="C401" t="s">
        <v>20</v>
      </c>
      <c r="D401" t="s">
        <v>26</v>
      </c>
      <c r="E401" t="s">
        <v>15</v>
      </c>
      <c r="F401">
        <v>229</v>
      </c>
      <c r="G401" s="1">
        <v>17960</v>
      </c>
      <c r="H401" s="2">
        <v>45363</v>
      </c>
      <c r="I401" t="s">
        <v>32</v>
      </c>
      <c r="J401" t="s">
        <v>439</v>
      </c>
      <c r="K401" t="s">
        <v>18</v>
      </c>
      <c r="L401" t="str">
        <f t="shared" si="36"/>
        <v>Mar</v>
      </c>
      <c r="M401" t="str">
        <f t="shared" si="37"/>
        <v>Q1</v>
      </c>
      <c r="N401" t="str">
        <f t="shared" si="38"/>
        <v>Low</v>
      </c>
      <c r="O401">
        <f>_xlfn.XLOOKUP(I401,Helper_Table!A:A,Helper_Table!B:B)</f>
        <v>0.95</v>
      </c>
      <c r="P401" s="1">
        <f t="shared" si="39"/>
        <v>17062</v>
      </c>
      <c r="Q401" s="4">
        <f t="shared" si="40"/>
        <v>1.0526315789473684</v>
      </c>
      <c r="R401" t="str">
        <f t="shared" si="41"/>
        <v>Achieved</v>
      </c>
    </row>
    <row r="402" spans="1:18">
      <c r="A402" t="s">
        <v>24</v>
      </c>
      <c r="B402" t="s">
        <v>36</v>
      </c>
      <c r="C402" t="s">
        <v>13</v>
      </c>
      <c r="D402" t="s">
        <v>26</v>
      </c>
      <c r="E402" t="s">
        <v>38</v>
      </c>
      <c r="F402">
        <v>1201</v>
      </c>
      <c r="G402" s="1">
        <v>15965</v>
      </c>
      <c r="H402" s="2">
        <v>45387</v>
      </c>
      <c r="I402" t="s">
        <v>16</v>
      </c>
      <c r="J402" t="s">
        <v>440</v>
      </c>
      <c r="K402" t="s">
        <v>18</v>
      </c>
      <c r="L402" t="str">
        <f t="shared" si="36"/>
        <v>Apr</v>
      </c>
      <c r="M402" t="str">
        <f t="shared" si="37"/>
        <v>Q2</v>
      </c>
      <c r="N402" t="str">
        <f t="shared" si="38"/>
        <v>Low</v>
      </c>
      <c r="O402">
        <f>_xlfn.XLOOKUP(I402,Helper_Table!A:A,Helper_Table!B:B)</f>
        <v>1.1000000000000001</v>
      </c>
      <c r="P402" s="1">
        <f t="shared" si="39"/>
        <v>17561.5</v>
      </c>
      <c r="Q402" s="4">
        <f t="shared" si="40"/>
        <v>0.90909090909090906</v>
      </c>
      <c r="R402" t="str">
        <f t="shared" si="41"/>
        <v>Below Target</v>
      </c>
    </row>
    <row r="403" spans="1:18">
      <c r="A403" t="s">
        <v>11</v>
      </c>
      <c r="B403" t="s">
        <v>36</v>
      </c>
      <c r="C403" t="s">
        <v>13</v>
      </c>
      <c r="D403" t="s">
        <v>21</v>
      </c>
      <c r="E403">
        <v>60</v>
      </c>
      <c r="F403">
        <v>498</v>
      </c>
      <c r="G403" s="1">
        <v>17227</v>
      </c>
      <c r="H403" s="2">
        <v>45382</v>
      </c>
      <c r="I403" t="s">
        <v>16</v>
      </c>
      <c r="J403" t="s">
        <v>441</v>
      </c>
      <c r="K403" t="s">
        <v>18</v>
      </c>
      <c r="L403" t="str">
        <f t="shared" si="36"/>
        <v>Mar</v>
      </c>
      <c r="M403" t="str">
        <f t="shared" si="37"/>
        <v>Q1</v>
      </c>
      <c r="N403" t="str">
        <f t="shared" si="38"/>
        <v>Low</v>
      </c>
      <c r="O403">
        <f>_xlfn.XLOOKUP(I403,Helper_Table!A:A,Helper_Table!B:B)</f>
        <v>1.1000000000000001</v>
      </c>
      <c r="P403" s="1">
        <f t="shared" si="39"/>
        <v>18949.7</v>
      </c>
      <c r="Q403" s="4">
        <f t="shared" si="40"/>
        <v>0.90909090909090906</v>
      </c>
      <c r="R403" t="str">
        <f t="shared" si="41"/>
        <v>Below Target</v>
      </c>
    </row>
    <row r="404" spans="1:18">
      <c r="A404" t="s">
        <v>24</v>
      </c>
      <c r="B404" t="s">
        <v>12</v>
      </c>
      <c r="C404" t="s">
        <v>25</v>
      </c>
      <c r="D404" t="s">
        <v>21</v>
      </c>
      <c r="E404">
        <v>60</v>
      </c>
      <c r="F404">
        <v>1171</v>
      </c>
      <c r="G404" s="1">
        <v>1301</v>
      </c>
      <c r="H404" s="2">
        <v>45202</v>
      </c>
      <c r="I404" t="s">
        <v>32</v>
      </c>
      <c r="J404" t="s">
        <v>442</v>
      </c>
      <c r="K404" t="s">
        <v>34</v>
      </c>
      <c r="L404" t="str">
        <f t="shared" si="36"/>
        <v>Oct</v>
      </c>
      <c r="M404" t="str">
        <f t="shared" si="37"/>
        <v>Q4</v>
      </c>
      <c r="N404" t="str">
        <f t="shared" si="38"/>
        <v>Low</v>
      </c>
      <c r="O404">
        <f>_xlfn.XLOOKUP(I404,Helper_Table!A:A,Helper_Table!B:B)</f>
        <v>0.95</v>
      </c>
      <c r="P404" s="1">
        <f t="shared" si="39"/>
        <v>1235.95</v>
      </c>
      <c r="Q404" s="4">
        <f t="shared" si="40"/>
        <v>1.0526315789473684</v>
      </c>
      <c r="R404" t="str">
        <f t="shared" si="41"/>
        <v>Achieved</v>
      </c>
    </row>
    <row r="405" spans="1:18">
      <c r="A405" t="s">
        <v>64</v>
      </c>
      <c r="B405" t="s">
        <v>49</v>
      </c>
      <c r="C405" t="s">
        <v>30</v>
      </c>
      <c r="D405" t="s">
        <v>31</v>
      </c>
      <c r="E405">
        <v>30</v>
      </c>
      <c r="F405">
        <v>429</v>
      </c>
      <c r="G405" s="1">
        <v>1770</v>
      </c>
      <c r="H405" s="2">
        <v>45442</v>
      </c>
      <c r="I405" t="s">
        <v>39</v>
      </c>
      <c r="J405" t="s">
        <v>443</v>
      </c>
      <c r="K405" t="s">
        <v>47</v>
      </c>
      <c r="L405" t="str">
        <f t="shared" si="36"/>
        <v>May</v>
      </c>
      <c r="M405" t="str">
        <f t="shared" si="37"/>
        <v>Q2</v>
      </c>
      <c r="N405" t="str">
        <f t="shared" si="38"/>
        <v>Low</v>
      </c>
      <c r="O405">
        <f>_xlfn.XLOOKUP(I405,Helper_Table!A:A,Helper_Table!B:B)</f>
        <v>1.1000000000000001</v>
      </c>
      <c r="P405" s="1">
        <f t="shared" si="39"/>
        <v>1947.0000000000002</v>
      </c>
      <c r="Q405" s="4">
        <f t="shared" si="40"/>
        <v>0.90909090909090895</v>
      </c>
      <c r="R405" t="str">
        <f t="shared" si="41"/>
        <v>Below Target</v>
      </c>
    </row>
    <row r="406" spans="1:18">
      <c r="A406" t="s">
        <v>45</v>
      </c>
      <c r="B406" t="s">
        <v>51</v>
      </c>
      <c r="C406" t="s">
        <v>25</v>
      </c>
      <c r="D406" t="s">
        <v>26</v>
      </c>
      <c r="E406">
        <v>60</v>
      </c>
      <c r="F406">
        <v>149</v>
      </c>
      <c r="G406" s="1">
        <v>24712</v>
      </c>
      <c r="H406" s="2">
        <v>45497</v>
      </c>
      <c r="I406" t="s">
        <v>32</v>
      </c>
      <c r="J406" t="s">
        <v>444</v>
      </c>
      <c r="K406" t="s">
        <v>44</v>
      </c>
      <c r="L406" t="str">
        <f t="shared" si="36"/>
        <v>Jul</v>
      </c>
      <c r="M406" t="str">
        <f t="shared" si="37"/>
        <v>Q3</v>
      </c>
      <c r="N406" t="str">
        <f t="shared" si="38"/>
        <v>Medium</v>
      </c>
      <c r="O406">
        <f>_xlfn.XLOOKUP(I406,Helper_Table!A:A,Helper_Table!B:B)</f>
        <v>0.95</v>
      </c>
      <c r="P406" s="1">
        <f t="shared" si="39"/>
        <v>23476.399999999998</v>
      </c>
      <c r="Q406" s="4">
        <f t="shared" si="40"/>
        <v>1.0526315789473686</v>
      </c>
      <c r="R406" t="str">
        <f t="shared" si="41"/>
        <v>Achieved</v>
      </c>
    </row>
    <row r="407" spans="1:18">
      <c r="A407" t="s">
        <v>11</v>
      </c>
      <c r="B407" t="s">
        <v>49</v>
      </c>
      <c r="C407" t="s">
        <v>20</v>
      </c>
      <c r="D407" t="s">
        <v>66</v>
      </c>
      <c r="E407">
        <v>60</v>
      </c>
      <c r="F407">
        <v>832</v>
      </c>
      <c r="G407" s="1">
        <v>41916</v>
      </c>
      <c r="H407" s="2">
        <v>45401</v>
      </c>
      <c r="I407" t="s">
        <v>16</v>
      </c>
      <c r="J407" t="s">
        <v>445</v>
      </c>
      <c r="K407" t="s">
        <v>44</v>
      </c>
      <c r="L407" t="str">
        <f t="shared" si="36"/>
        <v>Apr</v>
      </c>
      <c r="M407" t="str">
        <f t="shared" si="37"/>
        <v>Q2</v>
      </c>
      <c r="N407" t="str">
        <f t="shared" si="38"/>
        <v>High</v>
      </c>
      <c r="O407">
        <f>_xlfn.XLOOKUP(I407,Helper_Table!A:A,Helper_Table!B:B)</f>
        <v>1.1000000000000001</v>
      </c>
      <c r="P407" s="1">
        <f t="shared" si="39"/>
        <v>46107.600000000006</v>
      </c>
      <c r="Q407" s="4">
        <f t="shared" si="40"/>
        <v>0.90909090909090895</v>
      </c>
      <c r="R407" t="str">
        <f t="shared" si="41"/>
        <v>Below Target</v>
      </c>
    </row>
    <row r="408" spans="1:18">
      <c r="A408" t="s">
        <v>35</v>
      </c>
      <c r="B408" t="s">
        <v>19</v>
      </c>
      <c r="C408" t="s">
        <v>59</v>
      </c>
      <c r="D408" t="s">
        <v>21</v>
      </c>
      <c r="E408" t="s">
        <v>15</v>
      </c>
      <c r="F408">
        <v>324</v>
      </c>
      <c r="G408" s="1">
        <v>40529</v>
      </c>
      <c r="H408" s="2">
        <v>45154</v>
      </c>
      <c r="I408" t="s">
        <v>27</v>
      </c>
      <c r="J408" t="s">
        <v>446</v>
      </c>
      <c r="K408" t="s">
        <v>18</v>
      </c>
      <c r="L408" t="str">
        <f t="shared" si="36"/>
        <v>Aug</v>
      </c>
      <c r="M408" t="str">
        <f t="shared" si="37"/>
        <v>Q3</v>
      </c>
      <c r="N408" t="str">
        <f t="shared" si="38"/>
        <v>High</v>
      </c>
      <c r="O408">
        <f>_xlfn.XLOOKUP(I408,Helper_Table!A:A,Helper_Table!B:B)</f>
        <v>0.9</v>
      </c>
      <c r="P408" s="1">
        <f t="shared" si="39"/>
        <v>36476.1</v>
      </c>
      <c r="Q408" s="4">
        <f t="shared" si="40"/>
        <v>1.1111111111111112</v>
      </c>
      <c r="R408" t="str">
        <f t="shared" si="41"/>
        <v>Achieved</v>
      </c>
    </row>
    <row r="409" spans="1:18">
      <c r="A409" t="s">
        <v>24</v>
      </c>
      <c r="B409" t="s">
        <v>49</v>
      </c>
      <c r="C409" t="s">
        <v>25</v>
      </c>
      <c r="D409" t="s">
        <v>21</v>
      </c>
      <c r="E409" t="s">
        <v>38</v>
      </c>
      <c r="F409">
        <v>244</v>
      </c>
      <c r="G409" s="1">
        <v>34645</v>
      </c>
      <c r="H409" s="2">
        <v>45396</v>
      </c>
      <c r="I409" t="s">
        <v>16</v>
      </c>
      <c r="J409" t="s">
        <v>447</v>
      </c>
      <c r="K409" t="s">
        <v>18</v>
      </c>
      <c r="L409" t="str">
        <f t="shared" si="36"/>
        <v>Apr</v>
      </c>
      <c r="M409" t="str">
        <f t="shared" si="37"/>
        <v>Q2</v>
      </c>
      <c r="N409" t="str">
        <f t="shared" si="38"/>
        <v>Medium</v>
      </c>
      <c r="O409">
        <f>_xlfn.XLOOKUP(I409,Helper_Table!A:A,Helper_Table!B:B)</f>
        <v>1.1000000000000001</v>
      </c>
      <c r="P409" s="1">
        <f t="shared" si="39"/>
        <v>38109.5</v>
      </c>
      <c r="Q409" s="4">
        <f t="shared" si="40"/>
        <v>0.90909090909090906</v>
      </c>
      <c r="R409" t="str">
        <f t="shared" si="41"/>
        <v>Below Target</v>
      </c>
    </row>
    <row r="410" spans="1:18">
      <c r="A410" t="s">
        <v>24</v>
      </c>
      <c r="B410" t="s">
        <v>51</v>
      </c>
      <c r="C410" t="s">
        <v>59</v>
      </c>
      <c r="D410" t="s">
        <v>26</v>
      </c>
      <c r="E410">
        <v>60</v>
      </c>
      <c r="F410">
        <v>298</v>
      </c>
      <c r="G410" s="1">
        <v>26167</v>
      </c>
      <c r="H410" s="2">
        <v>45247</v>
      </c>
      <c r="I410" t="s">
        <v>39</v>
      </c>
      <c r="J410" t="s">
        <v>448</v>
      </c>
      <c r="K410" t="s">
        <v>47</v>
      </c>
      <c r="L410" t="str">
        <f t="shared" si="36"/>
        <v>Nov</v>
      </c>
      <c r="M410" t="str">
        <f t="shared" si="37"/>
        <v>Q4</v>
      </c>
      <c r="N410" t="str">
        <f t="shared" si="38"/>
        <v>Medium</v>
      </c>
      <c r="O410">
        <f>_xlfn.XLOOKUP(I410,Helper_Table!A:A,Helper_Table!B:B)</f>
        <v>1.1000000000000001</v>
      </c>
      <c r="P410" s="1">
        <f t="shared" si="39"/>
        <v>28783.7</v>
      </c>
      <c r="Q410" s="4">
        <f t="shared" si="40"/>
        <v>0.90909090909090906</v>
      </c>
      <c r="R410" t="str">
        <f t="shared" si="41"/>
        <v>Below Target</v>
      </c>
    </row>
    <row r="411" spans="1:18">
      <c r="A411" t="s">
        <v>24</v>
      </c>
      <c r="B411" t="s">
        <v>19</v>
      </c>
      <c r="C411" t="s">
        <v>59</v>
      </c>
      <c r="D411" t="s">
        <v>14</v>
      </c>
      <c r="E411">
        <v>30</v>
      </c>
      <c r="F411">
        <v>1148</v>
      </c>
      <c r="G411" s="1">
        <v>49962</v>
      </c>
      <c r="H411" s="2">
        <v>45282</v>
      </c>
      <c r="I411" t="s">
        <v>39</v>
      </c>
      <c r="J411" t="s">
        <v>449</v>
      </c>
      <c r="K411" t="s">
        <v>18</v>
      </c>
      <c r="L411" t="str">
        <f t="shared" si="36"/>
        <v>Dec</v>
      </c>
      <c r="M411" t="str">
        <f t="shared" si="37"/>
        <v>Q4</v>
      </c>
      <c r="N411" t="str">
        <f t="shared" si="38"/>
        <v>High</v>
      </c>
      <c r="O411">
        <f>_xlfn.XLOOKUP(I411,Helper_Table!A:A,Helper_Table!B:B)</f>
        <v>1.1000000000000001</v>
      </c>
      <c r="P411" s="1">
        <f t="shared" si="39"/>
        <v>54958.200000000004</v>
      </c>
      <c r="Q411" s="4">
        <f t="shared" si="40"/>
        <v>0.90909090909090906</v>
      </c>
      <c r="R411" t="str">
        <f t="shared" si="41"/>
        <v>Below Target</v>
      </c>
    </row>
    <row r="412" spans="1:18">
      <c r="A412" t="s">
        <v>24</v>
      </c>
      <c r="B412" t="s">
        <v>51</v>
      </c>
      <c r="C412" t="s">
        <v>59</v>
      </c>
      <c r="D412" t="s">
        <v>66</v>
      </c>
      <c r="E412">
        <v>60</v>
      </c>
      <c r="F412">
        <v>1090</v>
      </c>
      <c r="G412" s="1">
        <v>1972</v>
      </c>
      <c r="H412" s="2">
        <v>45291</v>
      </c>
      <c r="I412" t="s">
        <v>27</v>
      </c>
      <c r="J412" t="s">
        <v>450</v>
      </c>
      <c r="K412" t="s">
        <v>34</v>
      </c>
      <c r="L412" t="str">
        <f t="shared" si="36"/>
        <v>Dec</v>
      </c>
      <c r="M412" t="str">
        <f t="shared" si="37"/>
        <v>Q4</v>
      </c>
      <c r="N412" t="str">
        <f t="shared" si="38"/>
        <v>Low</v>
      </c>
      <c r="O412">
        <f>_xlfn.XLOOKUP(I412,Helper_Table!A:A,Helper_Table!B:B)</f>
        <v>0.9</v>
      </c>
      <c r="P412" s="1">
        <f t="shared" si="39"/>
        <v>1774.8</v>
      </c>
      <c r="Q412" s="4">
        <f t="shared" si="40"/>
        <v>1.1111111111111112</v>
      </c>
      <c r="R412" t="str">
        <f t="shared" si="41"/>
        <v>Achieved</v>
      </c>
    </row>
    <row r="413" spans="1:18">
      <c r="A413" t="s">
        <v>11</v>
      </c>
      <c r="B413" t="s">
        <v>36</v>
      </c>
      <c r="C413" t="s">
        <v>30</v>
      </c>
      <c r="D413" t="s">
        <v>14</v>
      </c>
      <c r="E413" t="s">
        <v>22</v>
      </c>
      <c r="F413">
        <v>1944</v>
      </c>
      <c r="G413" s="1">
        <v>26394</v>
      </c>
      <c r="H413" s="2">
        <v>45413</v>
      </c>
      <c r="I413" t="s">
        <v>39</v>
      </c>
      <c r="J413" t="s">
        <v>451</v>
      </c>
      <c r="K413" t="s">
        <v>34</v>
      </c>
      <c r="L413" t="str">
        <f t="shared" si="36"/>
        <v>May</v>
      </c>
      <c r="M413" t="str">
        <f t="shared" si="37"/>
        <v>Q2</v>
      </c>
      <c r="N413" t="str">
        <f t="shared" si="38"/>
        <v>Medium</v>
      </c>
      <c r="O413">
        <f>_xlfn.XLOOKUP(I413,Helper_Table!A:A,Helper_Table!B:B)</f>
        <v>1.1000000000000001</v>
      </c>
      <c r="P413" s="1">
        <f t="shared" si="39"/>
        <v>29033.4</v>
      </c>
      <c r="Q413" s="4">
        <f t="shared" si="40"/>
        <v>0.90909090909090906</v>
      </c>
      <c r="R413" t="str">
        <f t="shared" si="41"/>
        <v>Below Target</v>
      </c>
    </row>
    <row r="414" spans="1:18">
      <c r="A414" t="s">
        <v>24</v>
      </c>
      <c r="B414" t="s">
        <v>51</v>
      </c>
      <c r="C414" t="s">
        <v>30</v>
      </c>
      <c r="D414" t="s">
        <v>31</v>
      </c>
      <c r="E414">
        <v>30</v>
      </c>
      <c r="F414">
        <v>835</v>
      </c>
      <c r="G414" s="1">
        <v>30738</v>
      </c>
      <c r="H414" s="2">
        <v>45466</v>
      </c>
      <c r="I414" t="s">
        <v>27</v>
      </c>
      <c r="J414" t="s">
        <v>452</v>
      </c>
      <c r="K414" t="s">
        <v>47</v>
      </c>
      <c r="L414" t="str">
        <f t="shared" si="36"/>
        <v>Jun</v>
      </c>
      <c r="M414" t="str">
        <f t="shared" si="37"/>
        <v>Q2</v>
      </c>
      <c r="N414" t="str">
        <f t="shared" si="38"/>
        <v>Medium</v>
      </c>
      <c r="O414">
        <f>_xlfn.XLOOKUP(I414,Helper_Table!A:A,Helper_Table!B:B)</f>
        <v>0.9</v>
      </c>
      <c r="P414" s="1">
        <f t="shared" si="39"/>
        <v>27664.2</v>
      </c>
      <c r="Q414" s="4">
        <f t="shared" si="40"/>
        <v>1.1111111111111112</v>
      </c>
      <c r="R414" t="str">
        <f t="shared" si="41"/>
        <v>Achieved</v>
      </c>
    </row>
    <row r="415" spans="1:18">
      <c r="A415" t="s">
        <v>45</v>
      </c>
      <c r="B415" t="s">
        <v>36</v>
      </c>
      <c r="C415" t="s">
        <v>30</v>
      </c>
      <c r="D415" t="s">
        <v>31</v>
      </c>
      <c r="E415" t="s">
        <v>22</v>
      </c>
      <c r="F415">
        <v>1156</v>
      </c>
      <c r="G415" s="1">
        <v>38835</v>
      </c>
      <c r="H415" s="2">
        <v>45396</v>
      </c>
      <c r="I415" t="s">
        <v>39</v>
      </c>
      <c r="J415" t="s">
        <v>453</v>
      </c>
      <c r="K415" t="s">
        <v>34</v>
      </c>
      <c r="L415" t="str">
        <f t="shared" si="36"/>
        <v>Apr</v>
      </c>
      <c r="M415" t="str">
        <f t="shared" si="37"/>
        <v>Q2</v>
      </c>
      <c r="N415" t="str">
        <f t="shared" si="38"/>
        <v>Medium</v>
      </c>
      <c r="O415">
        <f>_xlfn.XLOOKUP(I415,Helper_Table!A:A,Helper_Table!B:B)</f>
        <v>1.1000000000000001</v>
      </c>
      <c r="P415" s="1">
        <f t="shared" si="39"/>
        <v>42718.5</v>
      </c>
      <c r="Q415" s="4">
        <f t="shared" si="40"/>
        <v>0.90909090909090906</v>
      </c>
      <c r="R415" t="str">
        <f t="shared" si="41"/>
        <v>Below Target</v>
      </c>
    </row>
    <row r="416" spans="1:18">
      <c r="A416" t="s">
        <v>35</v>
      </c>
      <c r="B416" t="s">
        <v>51</v>
      </c>
      <c r="C416" t="s">
        <v>20</v>
      </c>
      <c r="D416" t="s">
        <v>21</v>
      </c>
      <c r="E416">
        <v>60</v>
      </c>
      <c r="F416">
        <v>728</v>
      </c>
      <c r="G416" s="1">
        <v>11807</v>
      </c>
      <c r="H416" s="2">
        <v>45299</v>
      </c>
      <c r="I416" t="s">
        <v>32</v>
      </c>
      <c r="J416" t="s">
        <v>454</v>
      </c>
      <c r="K416" t="s">
        <v>34</v>
      </c>
      <c r="L416" t="str">
        <f t="shared" si="36"/>
        <v>Jan</v>
      </c>
      <c r="M416" t="str">
        <f t="shared" si="37"/>
        <v>Q1</v>
      </c>
      <c r="N416" t="str">
        <f t="shared" si="38"/>
        <v>Low</v>
      </c>
      <c r="O416">
        <f>_xlfn.XLOOKUP(I416,Helper_Table!A:A,Helper_Table!B:B)</f>
        <v>0.95</v>
      </c>
      <c r="P416" s="1">
        <f t="shared" si="39"/>
        <v>11216.65</v>
      </c>
      <c r="Q416" s="4">
        <f t="shared" si="40"/>
        <v>1.0526315789473684</v>
      </c>
      <c r="R416" t="str">
        <f t="shared" si="41"/>
        <v>Achieved</v>
      </c>
    </row>
    <row r="417" spans="1:18">
      <c r="A417" t="s">
        <v>24</v>
      </c>
      <c r="B417" t="s">
        <v>51</v>
      </c>
      <c r="C417" t="s">
        <v>59</v>
      </c>
      <c r="D417" t="s">
        <v>66</v>
      </c>
      <c r="E417" t="s">
        <v>22</v>
      </c>
      <c r="F417">
        <v>1706</v>
      </c>
      <c r="G417" s="1">
        <v>30997</v>
      </c>
      <c r="H417" s="2">
        <v>45238</v>
      </c>
      <c r="I417" t="s">
        <v>16</v>
      </c>
      <c r="J417" t="s">
        <v>455</v>
      </c>
      <c r="K417" t="s">
        <v>44</v>
      </c>
      <c r="L417" t="str">
        <f t="shared" si="36"/>
        <v>Nov</v>
      </c>
      <c r="M417" t="str">
        <f t="shared" si="37"/>
        <v>Q4</v>
      </c>
      <c r="N417" t="str">
        <f t="shared" si="38"/>
        <v>Medium</v>
      </c>
      <c r="O417">
        <f>_xlfn.XLOOKUP(I417,Helper_Table!A:A,Helper_Table!B:B)</f>
        <v>1.1000000000000001</v>
      </c>
      <c r="P417" s="1">
        <f t="shared" si="39"/>
        <v>34096.700000000004</v>
      </c>
      <c r="Q417" s="4">
        <f t="shared" si="40"/>
        <v>0.90909090909090895</v>
      </c>
      <c r="R417" t="str">
        <f t="shared" si="41"/>
        <v>Below Target</v>
      </c>
    </row>
    <row r="418" spans="1:18">
      <c r="A418" t="s">
        <v>11</v>
      </c>
      <c r="B418" t="s">
        <v>12</v>
      </c>
      <c r="C418" t="s">
        <v>20</v>
      </c>
      <c r="D418" t="s">
        <v>31</v>
      </c>
      <c r="E418">
        <v>60</v>
      </c>
      <c r="F418">
        <v>1281</v>
      </c>
      <c r="G418" s="1">
        <v>18807</v>
      </c>
      <c r="H418" s="2">
        <v>45476</v>
      </c>
      <c r="I418" t="s">
        <v>39</v>
      </c>
      <c r="J418" t="s">
        <v>456</v>
      </c>
      <c r="K418" t="s">
        <v>18</v>
      </c>
      <c r="L418" t="str">
        <f t="shared" si="36"/>
        <v>Jul</v>
      </c>
      <c r="M418" t="str">
        <f t="shared" si="37"/>
        <v>Q3</v>
      </c>
      <c r="N418" t="str">
        <f t="shared" si="38"/>
        <v>Low</v>
      </c>
      <c r="O418">
        <f>_xlfn.XLOOKUP(I418,Helper_Table!A:A,Helper_Table!B:B)</f>
        <v>1.1000000000000001</v>
      </c>
      <c r="P418" s="1">
        <f t="shared" si="39"/>
        <v>20687.7</v>
      </c>
      <c r="Q418" s="4">
        <f t="shared" si="40"/>
        <v>0.90909090909090906</v>
      </c>
      <c r="R418" t="str">
        <f t="shared" si="41"/>
        <v>Below Target</v>
      </c>
    </row>
    <row r="419" spans="1:18">
      <c r="A419" t="s">
        <v>45</v>
      </c>
      <c r="B419" t="s">
        <v>51</v>
      </c>
      <c r="C419" t="s">
        <v>25</v>
      </c>
      <c r="D419" t="s">
        <v>14</v>
      </c>
      <c r="E419">
        <v>30</v>
      </c>
      <c r="F419">
        <v>1507</v>
      </c>
      <c r="G419" s="1">
        <v>30246</v>
      </c>
      <c r="H419" s="2">
        <v>45424</v>
      </c>
      <c r="I419" t="s">
        <v>41</v>
      </c>
      <c r="J419" t="s">
        <v>457</v>
      </c>
      <c r="K419" t="s">
        <v>34</v>
      </c>
      <c r="L419" t="str">
        <f t="shared" si="36"/>
        <v>May</v>
      </c>
      <c r="M419" t="str">
        <f t="shared" si="37"/>
        <v>Q2</v>
      </c>
      <c r="N419" t="str">
        <f t="shared" si="38"/>
        <v>Medium</v>
      </c>
      <c r="O419">
        <f>_xlfn.XLOOKUP(I419,Helper_Table!A:A,Helper_Table!B:B)</f>
        <v>1.2</v>
      </c>
      <c r="P419" s="1">
        <f t="shared" si="39"/>
        <v>36295.199999999997</v>
      </c>
      <c r="Q419" s="4">
        <f t="shared" si="40"/>
        <v>0.83333333333333337</v>
      </c>
      <c r="R419" t="str">
        <f t="shared" si="41"/>
        <v>Below Target</v>
      </c>
    </row>
    <row r="420" spans="1:18">
      <c r="A420" t="s">
        <v>35</v>
      </c>
      <c r="B420" t="s">
        <v>12</v>
      </c>
      <c r="C420" t="s">
        <v>20</v>
      </c>
      <c r="D420" t="s">
        <v>14</v>
      </c>
      <c r="E420" t="s">
        <v>38</v>
      </c>
      <c r="F420">
        <v>1337</v>
      </c>
      <c r="G420" s="1">
        <v>1231</v>
      </c>
      <c r="H420" s="2">
        <v>45190</v>
      </c>
      <c r="I420" t="s">
        <v>39</v>
      </c>
      <c r="J420" t="s">
        <v>458</v>
      </c>
      <c r="K420" t="s">
        <v>34</v>
      </c>
      <c r="L420" t="str">
        <f t="shared" si="36"/>
        <v>Sep</v>
      </c>
      <c r="M420" t="str">
        <f t="shared" si="37"/>
        <v>Q3</v>
      </c>
      <c r="N420" t="str">
        <f t="shared" si="38"/>
        <v>Low</v>
      </c>
      <c r="O420">
        <f>_xlfn.XLOOKUP(I420,Helper_Table!A:A,Helper_Table!B:B)</f>
        <v>1.1000000000000001</v>
      </c>
      <c r="P420" s="1">
        <f t="shared" si="39"/>
        <v>1354.1000000000001</v>
      </c>
      <c r="Q420" s="4">
        <f t="shared" si="40"/>
        <v>0.90909090909090895</v>
      </c>
      <c r="R420" t="str">
        <f t="shared" si="41"/>
        <v>Below Target</v>
      </c>
    </row>
    <row r="421" spans="1:18">
      <c r="A421" t="s">
        <v>24</v>
      </c>
      <c r="B421" t="s">
        <v>51</v>
      </c>
      <c r="C421" t="s">
        <v>25</v>
      </c>
      <c r="D421" t="s">
        <v>14</v>
      </c>
      <c r="E421">
        <v>60</v>
      </c>
      <c r="F421">
        <v>483</v>
      </c>
      <c r="G421" s="1">
        <v>10434</v>
      </c>
      <c r="H421" s="2">
        <v>45394</v>
      </c>
      <c r="I421" t="s">
        <v>32</v>
      </c>
      <c r="J421" t="s">
        <v>459</v>
      </c>
      <c r="K421" t="s">
        <v>47</v>
      </c>
      <c r="L421" t="str">
        <f t="shared" si="36"/>
        <v>Apr</v>
      </c>
      <c r="M421" t="str">
        <f t="shared" si="37"/>
        <v>Q2</v>
      </c>
      <c r="N421" t="str">
        <f t="shared" si="38"/>
        <v>Low</v>
      </c>
      <c r="O421">
        <f>_xlfn.XLOOKUP(I421,Helper_Table!A:A,Helper_Table!B:B)</f>
        <v>0.95</v>
      </c>
      <c r="P421" s="1">
        <f t="shared" si="39"/>
        <v>9912.2999999999993</v>
      </c>
      <c r="Q421" s="4">
        <f t="shared" si="40"/>
        <v>1.0526315789473686</v>
      </c>
      <c r="R421" t="str">
        <f t="shared" si="41"/>
        <v>Achieved</v>
      </c>
    </row>
    <row r="422" spans="1:18">
      <c r="A422" t="s">
        <v>24</v>
      </c>
      <c r="B422" t="s">
        <v>19</v>
      </c>
      <c r="C422" t="s">
        <v>30</v>
      </c>
      <c r="D422" t="s">
        <v>66</v>
      </c>
      <c r="E422" t="s">
        <v>15</v>
      </c>
      <c r="F422">
        <v>1562</v>
      </c>
      <c r="G422" s="1">
        <v>4538</v>
      </c>
      <c r="H422" s="2">
        <v>45257</v>
      </c>
      <c r="I422" t="s">
        <v>39</v>
      </c>
      <c r="J422" t="s">
        <v>460</v>
      </c>
      <c r="K422" t="s">
        <v>47</v>
      </c>
      <c r="L422" t="str">
        <f t="shared" si="36"/>
        <v>Nov</v>
      </c>
      <c r="M422" t="str">
        <f t="shared" si="37"/>
        <v>Q4</v>
      </c>
      <c r="N422" t="str">
        <f t="shared" si="38"/>
        <v>Low</v>
      </c>
      <c r="O422">
        <f>_xlfn.XLOOKUP(I422,Helper_Table!A:A,Helper_Table!B:B)</f>
        <v>1.1000000000000001</v>
      </c>
      <c r="P422" s="1">
        <f t="shared" si="39"/>
        <v>4991.8</v>
      </c>
      <c r="Q422" s="4">
        <f t="shared" si="40"/>
        <v>0.90909090909090906</v>
      </c>
      <c r="R422" t="str">
        <f t="shared" si="41"/>
        <v>Below Target</v>
      </c>
    </row>
    <row r="423" spans="1:18">
      <c r="A423" t="s">
        <v>45</v>
      </c>
      <c r="B423" t="s">
        <v>49</v>
      </c>
      <c r="C423" t="s">
        <v>59</v>
      </c>
      <c r="D423" t="s">
        <v>66</v>
      </c>
      <c r="E423" t="s">
        <v>15</v>
      </c>
      <c r="F423">
        <v>1893</v>
      </c>
      <c r="G423" s="1">
        <v>10971</v>
      </c>
      <c r="H423" s="2">
        <v>45300</v>
      </c>
      <c r="I423" t="s">
        <v>27</v>
      </c>
      <c r="J423" t="s">
        <v>461</v>
      </c>
      <c r="K423" t="s">
        <v>18</v>
      </c>
      <c r="L423" t="str">
        <f t="shared" si="36"/>
        <v>Jan</v>
      </c>
      <c r="M423" t="str">
        <f t="shared" si="37"/>
        <v>Q1</v>
      </c>
      <c r="N423" t="str">
        <f t="shared" si="38"/>
        <v>Low</v>
      </c>
      <c r="O423">
        <f>_xlfn.XLOOKUP(I423,Helper_Table!A:A,Helper_Table!B:B)</f>
        <v>0.9</v>
      </c>
      <c r="P423" s="1">
        <f t="shared" si="39"/>
        <v>9873.9</v>
      </c>
      <c r="Q423" s="4">
        <f t="shared" si="40"/>
        <v>1.1111111111111112</v>
      </c>
      <c r="R423" t="str">
        <f t="shared" si="41"/>
        <v>Achieved</v>
      </c>
    </row>
    <row r="424" spans="1:18">
      <c r="A424" t="s">
        <v>11</v>
      </c>
      <c r="B424" t="s">
        <v>19</v>
      </c>
      <c r="C424" t="s">
        <v>13</v>
      </c>
      <c r="D424" t="s">
        <v>31</v>
      </c>
      <c r="E424" t="s">
        <v>38</v>
      </c>
      <c r="F424">
        <v>368</v>
      </c>
      <c r="G424" s="1">
        <v>16546</v>
      </c>
      <c r="H424" s="2">
        <v>45366</v>
      </c>
      <c r="I424" t="s">
        <v>32</v>
      </c>
      <c r="J424" t="s">
        <v>462</v>
      </c>
      <c r="K424" t="s">
        <v>29</v>
      </c>
      <c r="L424" t="str">
        <f t="shared" si="36"/>
        <v>Mar</v>
      </c>
      <c r="M424" t="str">
        <f t="shared" si="37"/>
        <v>Q1</v>
      </c>
      <c r="N424" t="str">
        <f t="shared" si="38"/>
        <v>Low</v>
      </c>
      <c r="O424">
        <f>_xlfn.XLOOKUP(I424,Helper_Table!A:A,Helper_Table!B:B)</f>
        <v>0.95</v>
      </c>
      <c r="P424" s="1">
        <f t="shared" si="39"/>
        <v>15718.699999999999</v>
      </c>
      <c r="Q424" s="4">
        <f t="shared" si="40"/>
        <v>1.0526315789473686</v>
      </c>
      <c r="R424" t="str">
        <f t="shared" si="41"/>
        <v>Achieved</v>
      </c>
    </row>
    <row r="425" spans="1:18">
      <c r="A425" t="s">
        <v>45</v>
      </c>
      <c r="B425" t="s">
        <v>51</v>
      </c>
      <c r="C425" t="s">
        <v>20</v>
      </c>
      <c r="D425" t="s">
        <v>26</v>
      </c>
      <c r="E425" t="s">
        <v>15</v>
      </c>
      <c r="F425">
        <v>1781</v>
      </c>
      <c r="G425" s="1">
        <v>2138</v>
      </c>
      <c r="H425" s="2">
        <v>45321</v>
      </c>
      <c r="I425" t="s">
        <v>39</v>
      </c>
      <c r="J425" t="s">
        <v>463</v>
      </c>
      <c r="K425" t="s">
        <v>29</v>
      </c>
      <c r="L425" t="str">
        <f t="shared" si="36"/>
        <v>Jan</v>
      </c>
      <c r="M425" t="str">
        <f t="shared" si="37"/>
        <v>Q1</v>
      </c>
      <c r="N425" t="str">
        <f t="shared" si="38"/>
        <v>Low</v>
      </c>
      <c r="O425">
        <f>_xlfn.XLOOKUP(I425,Helper_Table!A:A,Helper_Table!B:B)</f>
        <v>1.1000000000000001</v>
      </c>
      <c r="P425" s="1">
        <f t="shared" si="39"/>
        <v>2351.8000000000002</v>
      </c>
      <c r="Q425" s="4">
        <f t="shared" si="40"/>
        <v>0.90909090909090906</v>
      </c>
      <c r="R425" t="str">
        <f t="shared" si="41"/>
        <v>Below Target</v>
      </c>
    </row>
    <row r="426" spans="1:18">
      <c r="A426" t="s">
        <v>64</v>
      </c>
      <c r="B426" t="s">
        <v>19</v>
      </c>
      <c r="C426" t="s">
        <v>30</v>
      </c>
      <c r="D426" t="s">
        <v>66</v>
      </c>
      <c r="E426">
        <v>30</v>
      </c>
      <c r="F426">
        <v>440</v>
      </c>
      <c r="G426" s="1">
        <v>20986</v>
      </c>
      <c r="H426" s="2">
        <v>45219</v>
      </c>
      <c r="I426" t="s">
        <v>32</v>
      </c>
      <c r="J426" t="s">
        <v>464</v>
      </c>
      <c r="K426" t="s">
        <v>18</v>
      </c>
      <c r="L426" t="str">
        <f t="shared" si="36"/>
        <v>Oct</v>
      </c>
      <c r="M426" t="str">
        <f t="shared" si="37"/>
        <v>Q4</v>
      </c>
      <c r="N426" t="str">
        <f t="shared" si="38"/>
        <v>Medium</v>
      </c>
      <c r="O426">
        <f>_xlfn.XLOOKUP(I426,Helper_Table!A:A,Helper_Table!B:B)</f>
        <v>0.95</v>
      </c>
      <c r="P426" s="1">
        <f t="shared" si="39"/>
        <v>19936.7</v>
      </c>
      <c r="Q426" s="4">
        <f t="shared" si="40"/>
        <v>1.0526315789473684</v>
      </c>
      <c r="R426" t="str">
        <f t="shared" si="41"/>
        <v>Achieved</v>
      </c>
    </row>
    <row r="427" spans="1:18">
      <c r="A427" t="s">
        <v>24</v>
      </c>
      <c r="B427" t="s">
        <v>51</v>
      </c>
      <c r="C427" t="s">
        <v>59</v>
      </c>
      <c r="D427" t="s">
        <v>14</v>
      </c>
      <c r="E427" t="s">
        <v>22</v>
      </c>
      <c r="F427">
        <v>214</v>
      </c>
      <c r="G427" s="1">
        <v>43574</v>
      </c>
      <c r="H427" s="2">
        <v>45212</v>
      </c>
      <c r="I427" t="s">
        <v>41</v>
      </c>
      <c r="J427" t="s">
        <v>465</v>
      </c>
      <c r="K427" t="s">
        <v>34</v>
      </c>
      <c r="L427" t="str">
        <f t="shared" si="36"/>
        <v>Oct</v>
      </c>
      <c r="M427" t="str">
        <f t="shared" si="37"/>
        <v>Q4</v>
      </c>
      <c r="N427" t="str">
        <f t="shared" si="38"/>
        <v>High</v>
      </c>
      <c r="O427">
        <f>_xlfn.XLOOKUP(I427,Helper_Table!A:A,Helper_Table!B:B)</f>
        <v>1.2</v>
      </c>
      <c r="P427" s="1">
        <f t="shared" si="39"/>
        <v>52288.799999999996</v>
      </c>
      <c r="Q427" s="4">
        <f t="shared" si="40"/>
        <v>0.83333333333333337</v>
      </c>
      <c r="R427" t="str">
        <f t="shared" si="41"/>
        <v>Below Target</v>
      </c>
    </row>
    <row r="428" spans="1:18">
      <c r="A428" t="s">
        <v>11</v>
      </c>
      <c r="B428" t="s">
        <v>12</v>
      </c>
      <c r="C428" t="s">
        <v>13</v>
      </c>
      <c r="D428" t="s">
        <v>21</v>
      </c>
      <c r="E428">
        <v>30</v>
      </c>
      <c r="F428">
        <v>472</v>
      </c>
      <c r="G428" s="1">
        <v>19038</v>
      </c>
      <c r="H428" s="2">
        <v>45431</v>
      </c>
      <c r="I428" t="s">
        <v>41</v>
      </c>
      <c r="J428" t="s">
        <v>466</v>
      </c>
      <c r="K428" t="s">
        <v>18</v>
      </c>
      <c r="L428" t="str">
        <f t="shared" si="36"/>
        <v>May</v>
      </c>
      <c r="M428" t="str">
        <f t="shared" si="37"/>
        <v>Q2</v>
      </c>
      <c r="N428" t="str">
        <f t="shared" si="38"/>
        <v>Low</v>
      </c>
      <c r="O428">
        <f>_xlfn.XLOOKUP(I428,Helper_Table!A:A,Helper_Table!B:B)</f>
        <v>1.2</v>
      </c>
      <c r="P428" s="1">
        <f t="shared" si="39"/>
        <v>22845.599999999999</v>
      </c>
      <c r="Q428" s="4">
        <f t="shared" si="40"/>
        <v>0.83333333333333337</v>
      </c>
      <c r="R428" t="str">
        <f t="shared" si="41"/>
        <v>Below Target</v>
      </c>
    </row>
    <row r="429" spans="1:18">
      <c r="A429" t="s">
        <v>11</v>
      </c>
      <c r="B429" t="s">
        <v>12</v>
      </c>
      <c r="C429" t="s">
        <v>13</v>
      </c>
      <c r="D429" t="s">
        <v>26</v>
      </c>
      <c r="E429">
        <v>30</v>
      </c>
      <c r="F429">
        <v>1484</v>
      </c>
      <c r="G429" s="1">
        <v>29949</v>
      </c>
      <c r="H429" s="2">
        <v>45388</v>
      </c>
      <c r="I429" t="s">
        <v>27</v>
      </c>
      <c r="J429" t="s">
        <v>467</v>
      </c>
      <c r="K429" t="s">
        <v>47</v>
      </c>
      <c r="L429" t="str">
        <f t="shared" si="36"/>
        <v>Apr</v>
      </c>
      <c r="M429" t="str">
        <f t="shared" si="37"/>
        <v>Q2</v>
      </c>
      <c r="N429" t="str">
        <f t="shared" si="38"/>
        <v>Medium</v>
      </c>
      <c r="O429">
        <f>_xlfn.XLOOKUP(I429,Helper_Table!A:A,Helper_Table!B:B)</f>
        <v>0.9</v>
      </c>
      <c r="P429" s="1">
        <f t="shared" si="39"/>
        <v>26954.100000000002</v>
      </c>
      <c r="Q429" s="4">
        <f t="shared" si="40"/>
        <v>1.1111111111111109</v>
      </c>
      <c r="R429" t="str">
        <f t="shared" si="41"/>
        <v>Achieved</v>
      </c>
    </row>
    <row r="430" spans="1:18">
      <c r="A430" t="s">
        <v>35</v>
      </c>
      <c r="B430" t="s">
        <v>19</v>
      </c>
      <c r="C430" t="s">
        <v>13</v>
      </c>
      <c r="D430" t="s">
        <v>66</v>
      </c>
      <c r="E430" t="s">
        <v>22</v>
      </c>
      <c r="F430">
        <v>914</v>
      </c>
      <c r="G430" s="1">
        <v>34019</v>
      </c>
      <c r="H430" s="2">
        <v>45153</v>
      </c>
      <c r="I430" t="s">
        <v>41</v>
      </c>
      <c r="J430" t="s">
        <v>468</v>
      </c>
      <c r="K430" t="s">
        <v>34</v>
      </c>
      <c r="L430" t="str">
        <f t="shared" si="36"/>
        <v>Aug</v>
      </c>
      <c r="M430" t="str">
        <f t="shared" si="37"/>
        <v>Q3</v>
      </c>
      <c r="N430" t="str">
        <f t="shared" si="38"/>
        <v>Medium</v>
      </c>
      <c r="O430">
        <f>_xlfn.XLOOKUP(I430,Helper_Table!A:A,Helper_Table!B:B)</f>
        <v>1.2</v>
      </c>
      <c r="P430" s="1">
        <f t="shared" si="39"/>
        <v>40822.799999999996</v>
      </c>
      <c r="Q430" s="4">
        <f t="shared" si="40"/>
        <v>0.83333333333333337</v>
      </c>
      <c r="R430" t="str">
        <f t="shared" si="41"/>
        <v>Below Target</v>
      </c>
    </row>
    <row r="431" spans="1:18">
      <c r="A431" t="s">
        <v>35</v>
      </c>
      <c r="B431" t="s">
        <v>49</v>
      </c>
      <c r="C431" t="s">
        <v>25</v>
      </c>
      <c r="D431" t="s">
        <v>31</v>
      </c>
      <c r="E431" t="s">
        <v>22</v>
      </c>
      <c r="F431">
        <v>1423</v>
      </c>
      <c r="G431" s="1">
        <v>36260</v>
      </c>
      <c r="H431" s="2">
        <v>45238</v>
      </c>
      <c r="I431" t="s">
        <v>39</v>
      </c>
      <c r="J431" t="s">
        <v>469</v>
      </c>
      <c r="K431" t="s">
        <v>34</v>
      </c>
      <c r="L431" t="str">
        <f t="shared" si="36"/>
        <v>Nov</v>
      </c>
      <c r="M431" t="str">
        <f t="shared" si="37"/>
        <v>Q4</v>
      </c>
      <c r="N431" t="str">
        <f t="shared" si="38"/>
        <v>Medium</v>
      </c>
      <c r="O431">
        <f>_xlfn.XLOOKUP(I431,Helper_Table!A:A,Helper_Table!B:B)</f>
        <v>1.1000000000000001</v>
      </c>
      <c r="P431" s="1">
        <f t="shared" si="39"/>
        <v>39886</v>
      </c>
      <c r="Q431" s="4">
        <f t="shared" si="40"/>
        <v>0.90909090909090906</v>
      </c>
      <c r="R431" t="str">
        <f t="shared" si="41"/>
        <v>Below Target</v>
      </c>
    </row>
    <row r="432" spans="1:18">
      <c r="A432" t="s">
        <v>45</v>
      </c>
      <c r="B432" t="s">
        <v>51</v>
      </c>
      <c r="C432" t="s">
        <v>13</v>
      </c>
      <c r="D432" t="s">
        <v>21</v>
      </c>
      <c r="E432">
        <v>60</v>
      </c>
      <c r="F432">
        <v>1566</v>
      </c>
      <c r="G432" s="1">
        <v>16223</v>
      </c>
      <c r="H432" s="2">
        <v>45324</v>
      </c>
      <c r="I432" t="s">
        <v>41</v>
      </c>
      <c r="J432" t="s">
        <v>470</v>
      </c>
      <c r="K432" t="s">
        <v>47</v>
      </c>
      <c r="L432" t="str">
        <f t="shared" si="36"/>
        <v>Feb</v>
      </c>
      <c r="M432" t="str">
        <f t="shared" si="37"/>
        <v>Q1</v>
      </c>
      <c r="N432" t="str">
        <f t="shared" si="38"/>
        <v>Low</v>
      </c>
      <c r="O432">
        <f>_xlfn.XLOOKUP(I432,Helper_Table!A:A,Helper_Table!B:B)</f>
        <v>1.2</v>
      </c>
      <c r="P432" s="1">
        <f t="shared" si="39"/>
        <v>19467.599999999999</v>
      </c>
      <c r="Q432" s="4">
        <f t="shared" si="40"/>
        <v>0.83333333333333337</v>
      </c>
      <c r="R432" t="str">
        <f t="shared" si="41"/>
        <v>Below Target</v>
      </c>
    </row>
    <row r="433" spans="1:18">
      <c r="A433" t="s">
        <v>35</v>
      </c>
      <c r="B433" t="s">
        <v>51</v>
      </c>
      <c r="C433" t="s">
        <v>59</v>
      </c>
      <c r="D433" t="s">
        <v>31</v>
      </c>
      <c r="E433">
        <v>30</v>
      </c>
      <c r="F433">
        <v>908</v>
      </c>
      <c r="G433" s="1">
        <v>43749</v>
      </c>
      <c r="H433" s="2">
        <v>45221</v>
      </c>
      <c r="I433" t="s">
        <v>27</v>
      </c>
      <c r="J433" t="s">
        <v>471</v>
      </c>
      <c r="K433" t="s">
        <v>44</v>
      </c>
      <c r="L433" t="str">
        <f t="shared" si="36"/>
        <v>Oct</v>
      </c>
      <c r="M433" t="str">
        <f t="shared" si="37"/>
        <v>Q4</v>
      </c>
      <c r="N433" t="str">
        <f t="shared" si="38"/>
        <v>High</v>
      </c>
      <c r="O433">
        <f>_xlfn.XLOOKUP(I433,Helper_Table!A:A,Helper_Table!B:B)</f>
        <v>0.9</v>
      </c>
      <c r="P433" s="1">
        <f t="shared" si="39"/>
        <v>39374.1</v>
      </c>
      <c r="Q433" s="4">
        <f t="shared" si="40"/>
        <v>1.1111111111111112</v>
      </c>
      <c r="R433" t="str">
        <f t="shared" si="41"/>
        <v>Achieved</v>
      </c>
    </row>
    <row r="434" spans="1:18">
      <c r="A434" t="s">
        <v>45</v>
      </c>
      <c r="B434" t="s">
        <v>19</v>
      </c>
      <c r="C434" t="s">
        <v>13</v>
      </c>
      <c r="D434" t="s">
        <v>66</v>
      </c>
      <c r="E434">
        <v>60</v>
      </c>
      <c r="F434">
        <v>1387</v>
      </c>
      <c r="G434" s="1">
        <v>44173</v>
      </c>
      <c r="H434" s="2">
        <v>45475</v>
      </c>
      <c r="I434" t="s">
        <v>41</v>
      </c>
      <c r="J434" t="s">
        <v>472</v>
      </c>
      <c r="K434" t="s">
        <v>34</v>
      </c>
      <c r="L434" t="str">
        <f t="shared" si="36"/>
        <v>Jul</v>
      </c>
      <c r="M434" t="str">
        <f t="shared" si="37"/>
        <v>Q3</v>
      </c>
      <c r="N434" t="str">
        <f t="shared" si="38"/>
        <v>High</v>
      </c>
      <c r="O434">
        <f>_xlfn.XLOOKUP(I434,Helper_Table!A:A,Helper_Table!B:B)</f>
        <v>1.2</v>
      </c>
      <c r="P434" s="1">
        <f t="shared" si="39"/>
        <v>53007.6</v>
      </c>
      <c r="Q434" s="4">
        <f t="shared" si="40"/>
        <v>0.83333333333333337</v>
      </c>
      <c r="R434" t="str">
        <f t="shared" si="41"/>
        <v>Below Target</v>
      </c>
    </row>
    <row r="435" spans="1:18">
      <c r="A435" t="s">
        <v>35</v>
      </c>
      <c r="B435" t="s">
        <v>36</v>
      </c>
      <c r="C435" t="s">
        <v>25</v>
      </c>
      <c r="D435" t="s">
        <v>66</v>
      </c>
      <c r="E435">
        <v>60</v>
      </c>
      <c r="F435">
        <v>755</v>
      </c>
      <c r="G435" s="1">
        <v>34127</v>
      </c>
      <c r="H435" s="2">
        <v>45238</v>
      </c>
      <c r="I435" t="s">
        <v>16</v>
      </c>
      <c r="J435" t="s">
        <v>473</v>
      </c>
      <c r="K435" t="s">
        <v>34</v>
      </c>
      <c r="L435" t="str">
        <f t="shared" si="36"/>
        <v>Nov</v>
      </c>
      <c r="M435" t="str">
        <f t="shared" si="37"/>
        <v>Q4</v>
      </c>
      <c r="N435" t="str">
        <f t="shared" si="38"/>
        <v>Medium</v>
      </c>
      <c r="O435">
        <f>_xlfn.XLOOKUP(I435,Helper_Table!A:A,Helper_Table!B:B)</f>
        <v>1.1000000000000001</v>
      </c>
      <c r="P435" s="1">
        <f t="shared" si="39"/>
        <v>37539.700000000004</v>
      </c>
      <c r="Q435" s="4">
        <f t="shared" si="40"/>
        <v>0.90909090909090895</v>
      </c>
      <c r="R435" t="str">
        <f t="shared" si="41"/>
        <v>Below Target</v>
      </c>
    </row>
    <row r="436" spans="1:18">
      <c r="A436" t="s">
        <v>45</v>
      </c>
      <c r="B436" t="s">
        <v>36</v>
      </c>
      <c r="C436" t="s">
        <v>25</v>
      </c>
      <c r="D436" t="s">
        <v>21</v>
      </c>
      <c r="E436" t="s">
        <v>22</v>
      </c>
      <c r="F436">
        <v>1434</v>
      </c>
      <c r="G436" s="1">
        <v>43000</v>
      </c>
      <c r="H436" s="2">
        <v>45316</v>
      </c>
      <c r="I436" t="s">
        <v>32</v>
      </c>
      <c r="J436" t="s">
        <v>474</v>
      </c>
      <c r="K436" t="s">
        <v>47</v>
      </c>
      <c r="L436" t="str">
        <f t="shared" si="36"/>
        <v>Jan</v>
      </c>
      <c r="M436" t="str">
        <f t="shared" si="37"/>
        <v>Q1</v>
      </c>
      <c r="N436" t="str">
        <f t="shared" si="38"/>
        <v>High</v>
      </c>
      <c r="O436">
        <f>_xlfn.XLOOKUP(I436,Helper_Table!A:A,Helper_Table!B:B)</f>
        <v>0.95</v>
      </c>
      <c r="P436" s="1">
        <f t="shared" si="39"/>
        <v>40850</v>
      </c>
      <c r="Q436" s="4">
        <f t="shared" si="40"/>
        <v>1.0526315789473684</v>
      </c>
      <c r="R436" t="str">
        <f t="shared" si="41"/>
        <v>Achieved</v>
      </c>
    </row>
    <row r="437" spans="1:18">
      <c r="A437" t="s">
        <v>11</v>
      </c>
      <c r="B437" t="s">
        <v>51</v>
      </c>
      <c r="C437" t="s">
        <v>59</v>
      </c>
      <c r="D437" t="s">
        <v>26</v>
      </c>
      <c r="E437" t="s">
        <v>38</v>
      </c>
      <c r="F437">
        <v>1286</v>
      </c>
      <c r="G437" s="1">
        <v>1777</v>
      </c>
      <c r="H437" s="2">
        <v>45233</v>
      </c>
      <c r="I437" t="s">
        <v>39</v>
      </c>
      <c r="J437" t="s">
        <v>475</v>
      </c>
      <c r="K437" t="s">
        <v>29</v>
      </c>
      <c r="L437" t="str">
        <f t="shared" si="36"/>
        <v>Nov</v>
      </c>
      <c r="M437" t="str">
        <f t="shared" si="37"/>
        <v>Q4</v>
      </c>
      <c r="N437" t="str">
        <f t="shared" si="38"/>
        <v>Low</v>
      </c>
      <c r="O437">
        <f>_xlfn.XLOOKUP(I437,Helper_Table!A:A,Helper_Table!B:B)</f>
        <v>1.1000000000000001</v>
      </c>
      <c r="P437" s="1">
        <f t="shared" si="39"/>
        <v>1954.7</v>
      </c>
      <c r="Q437" s="4">
        <f t="shared" si="40"/>
        <v>0.90909090909090906</v>
      </c>
      <c r="R437" t="str">
        <f t="shared" si="41"/>
        <v>Below Target</v>
      </c>
    </row>
    <row r="438" spans="1:18">
      <c r="A438" t="s">
        <v>64</v>
      </c>
      <c r="B438" t="s">
        <v>36</v>
      </c>
      <c r="C438" t="s">
        <v>30</v>
      </c>
      <c r="D438" t="s">
        <v>21</v>
      </c>
      <c r="E438">
        <v>60</v>
      </c>
      <c r="F438">
        <v>992</v>
      </c>
      <c r="G438" s="1">
        <v>4119</v>
      </c>
      <c r="H438" s="2">
        <v>45357</v>
      </c>
      <c r="I438" t="s">
        <v>32</v>
      </c>
      <c r="J438" t="s">
        <v>476</v>
      </c>
      <c r="K438" t="s">
        <v>29</v>
      </c>
      <c r="L438" t="str">
        <f t="shared" si="36"/>
        <v>Mar</v>
      </c>
      <c r="M438" t="str">
        <f t="shared" si="37"/>
        <v>Q1</v>
      </c>
      <c r="N438" t="str">
        <f t="shared" si="38"/>
        <v>Low</v>
      </c>
      <c r="O438">
        <f>_xlfn.XLOOKUP(I438,Helper_Table!A:A,Helper_Table!B:B)</f>
        <v>0.95</v>
      </c>
      <c r="P438" s="1">
        <f t="shared" si="39"/>
        <v>3913.0499999999997</v>
      </c>
      <c r="Q438" s="4">
        <f t="shared" si="40"/>
        <v>1.0526315789473686</v>
      </c>
      <c r="R438" t="str">
        <f t="shared" si="41"/>
        <v>Achieved</v>
      </c>
    </row>
    <row r="439" spans="1:18">
      <c r="A439" t="s">
        <v>11</v>
      </c>
      <c r="B439" t="s">
        <v>51</v>
      </c>
      <c r="C439" t="s">
        <v>30</v>
      </c>
      <c r="D439" t="s">
        <v>14</v>
      </c>
      <c r="E439">
        <v>60</v>
      </c>
      <c r="F439">
        <v>130</v>
      </c>
      <c r="G439" s="1">
        <v>37525</v>
      </c>
      <c r="H439" s="2">
        <v>45415</v>
      </c>
      <c r="I439" t="s">
        <v>32</v>
      </c>
      <c r="J439" t="s">
        <v>477</v>
      </c>
      <c r="K439" t="s">
        <v>29</v>
      </c>
      <c r="L439" t="str">
        <f t="shared" si="36"/>
        <v>May</v>
      </c>
      <c r="M439" t="str">
        <f t="shared" si="37"/>
        <v>Q2</v>
      </c>
      <c r="N439" t="str">
        <f t="shared" si="38"/>
        <v>Medium</v>
      </c>
      <c r="O439">
        <f>_xlfn.XLOOKUP(I439,Helper_Table!A:A,Helper_Table!B:B)</f>
        <v>0.95</v>
      </c>
      <c r="P439" s="1">
        <f t="shared" si="39"/>
        <v>35648.75</v>
      </c>
      <c r="Q439" s="4">
        <f t="shared" si="40"/>
        <v>1.0526315789473684</v>
      </c>
      <c r="R439" t="str">
        <f t="shared" si="41"/>
        <v>Achieved</v>
      </c>
    </row>
    <row r="440" spans="1:18">
      <c r="A440" t="s">
        <v>35</v>
      </c>
      <c r="B440" t="s">
        <v>12</v>
      </c>
      <c r="C440" t="s">
        <v>13</v>
      </c>
      <c r="D440" t="s">
        <v>14</v>
      </c>
      <c r="E440" t="s">
        <v>38</v>
      </c>
      <c r="F440">
        <v>1575</v>
      </c>
      <c r="G440" s="1">
        <v>15314</v>
      </c>
      <c r="H440" s="2">
        <v>45141</v>
      </c>
      <c r="I440" t="s">
        <v>39</v>
      </c>
      <c r="J440" t="s">
        <v>478</v>
      </c>
      <c r="K440" t="s">
        <v>34</v>
      </c>
      <c r="L440" t="str">
        <f t="shared" si="36"/>
        <v>Aug</v>
      </c>
      <c r="M440" t="str">
        <f t="shared" si="37"/>
        <v>Q3</v>
      </c>
      <c r="N440" t="str">
        <f t="shared" si="38"/>
        <v>Low</v>
      </c>
      <c r="O440">
        <f>_xlfn.XLOOKUP(I440,Helper_Table!A:A,Helper_Table!B:B)</f>
        <v>1.1000000000000001</v>
      </c>
      <c r="P440" s="1">
        <f t="shared" si="39"/>
        <v>16845.400000000001</v>
      </c>
      <c r="Q440" s="4">
        <f t="shared" si="40"/>
        <v>0.90909090909090906</v>
      </c>
      <c r="R440" t="str">
        <f t="shared" si="41"/>
        <v>Below Target</v>
      </c>
    </row>
    <row r="441" spans="1:18">
      <c r="A441" t="s">
        <v>45</v>
      </c>
      <c r="B441" t="s">
        <v>49</v>
      </c>
      <c r="C441" t="s">
        <v>13</v>
      </c>
      <c r="D441" t="s">
        <v>14</v>
      </c>
      <c r="E441">
        <v>30</v>
      </c>
      <c r="F441">
        <v>634</v>
      </c>
      <c r="G441" s="1">
        <v>28930</v>
      </c>
      <c r="H441" s="2">
        <v>45164</v>
      </c>
      <c r="I441" t="s">
        <v>41</v>
      </c>
      <c r="J441" t="s">
        <v>479</v>
      </c>
      <c r="K441" t="s">
        <v>44</v>
      </c>
      <c r="L441" t="str">
        <f t="shared" si="36"/>
        <v>Aug</v>
      </c>
      <c r="M441" t="str">
        <f t="shared" si="37"/>
        <v>Q3</v>
      </c>
      <c r="N441" t="str">
        <f t="shared" si="38"/>
        <v>Medium</v>
      </c>
      <c r="O441">
        <f>_xlfn.XLOOKUP(I441,Helper_Table!A:A,Helper_Table!B:B)</f>
        <v>1.2</v>
      </c>
      <c r="P441" s="1">
        <f t="shared" si="39"/>
        <v>34716</v>
      </c>
      <c r="Q441" s="4">
        <f t="shared" si="40"/>
        <v>0.83333333333333337</v>
      </c>
      <c r="R441" t="str">
        <f t="shared" si="41"/>
        <v>Below Target</v>
      </c>
    </row>
    <row r="442" spans="1:18">
      <c r="A442" t="s">
        <v>35</v>
      </c>
      <c r="B442" t="s">
        <v>12</v>
      </c>
      <c r="C442" t="s">
        <v>20</v>
      </c>
      <c r="D442" t="s">
        <v>66</v>
      </c>
      <c r="E442" t="s">
        <v>22</v>
      </c>
      <c r="F442">
        <v>937</v>
      </c>
      <c r="G442" s="1">
        <v>1592</v>
      </c>
      <c r="H442" s="2">
        <v>45255</v>
      </c>
      <c r="I442" t="s">
        <v>27</v>
      </c>
      <c r="J442" t="s">
        <v>480</v>
      </c>
      <c r="K442" t="s">
        <v>29</v>
      </c>
      <c r="L442" t="str">
        <f t="shared" si="36"/>
        <v>Nov</v>
      </c>
      <c r="M442" t="str">
        <f t="shared" si="37"/>
        <v>Q4</v>
      </c>
      <c r="N442" t="str">
        <f t="shared" si="38"/>
        <v>Low</v>
      </c>
      <c r="O442">
        <f>_xlfn.XLOOKUP(I442,Helper_Table!A:A,Helper_Table!B:B)</f>
        <v>0.9</v>
      </c>
      <c r="P442" s="1">
        <f t="shared" si="39"/>
        <v>1432.8</v>
      </c>
      <c r="Q442" s="4">
        <f t="shared" si="40"/>
        <v>1.1111111111111112</v>
      </c>
      <c r="R442" t="str">
        <f t="shared" si="41"/>
        <v>Achieved</v>
      </c>
    </row>
    <row r="443" spans="1:18">
      <c r="A443" t="s">
        <v>45</v>
      </c>
      <c r="B443" t="s">
        <v>12</v>
      </c>
      <c r="C443" t="s">
        <v>30</v>
      </c>
      <c r="D443" t="s">
        <v>14</v>
      </c>
      <c r="E443">
        <v>60</v>
      </c>
      <c r="F443">
        <v>653</v>
      </c>
      <c r="G443" s="1">
        <v>40612</v>
      </c>
      <c r="H443" s="2">
        <v>45210</v>
      </c>
      <c r="I443" t="s">
        <v>16</v>
      </c>
      <c r="J443" t="s">
        <v>481</v>
      </c>
      <c r="K443" t="s">
        <v>18</v>
      </c>
      <c r="L443" t="str">
        <f t="shared" si="36"/>
        <v>Oct</v>
      </c>
      <c r="M443" t="str">
        <f t="shared" si="37"/>
        <v>Q4</v>
      </c>
      <c r="N443" t="str">
        <f t="shared" si="38"/>
        <v>High</v>
      </c>
      <c r="O443">
        <f>_xlfn.XLOOKUP(I443,Helper_Table!A:A,Helper_Table!B:B)</f>
        <v>1.1000000000000001</v>
      </c>
      <c r="P443" s="1">
        <f t="shared" si="39"/>
        <v>44673.200000000004</v>
      </c>
      <c r="Q443" s="4">
        <f t="shared" si="40"/>
        <v>0.90909090909090895</v>
      </c>
      <c r="R443" t="str">
        <f t="shared" si="41"/>
        <v>Below Target</v>
      </c>
    </row>
    <row r="444" spans="1:18">
      <c r="A444" t="s">
        <v>24</v>
      </c>
      <c r="B444" t="s">
        <v>12</v>
      </c>
      <c r="C444" t="s">
        <v>20</v>
      </c>
      <c r="D444" t="s">
        <v>21</v>
      </c>
      <c r="E444">
        <v>30</v>
      </c>
      <c r="F444">
        <v>924</v>
      </c>
      <c r="G444" s="1">
        <v>12763</v>
      </c>
      <c r="H444" s="2">
        <v>45288</v>
      </c>
      <c r="I444" t="s">
        <v>39</v>
      </c>
      <c r="J444" t="s">
        <v>482</v>
      </c>
      <c r="K444" t="s">
        <v>44</v>
      </c>
      <c r="L444" t="str">
        <f t="shared" si="36"/>
        <v>Dec</v>
      </c>
      <c r="M444" t="str">
        <f t="shared" si="37"/>
        <v>Q4</v>
      </c>
      <c r="N444" t="str">
        <f t="shared" si="38"/>
        <v>Low</v>
      </c>
      <c r="O444">
        <f>_xlfn.XLOOKUP(I444,Helper_Table!A:A,Helper_Table!B:B)</f>
        <v>1.1000000000000001</v>
      </c>
      <c r="P444" s="1">
        <f t="shared" si="39"/>
        <v>14039.300000000001</v>
      </c>
      <c r="Q444" s="4">
        <f t="shared" si="40"/>
        <v>0.90909090909090906</v>
      </c>
      <c r="R444" t="str">
        <f t="shared" si="41"/>
        <v>Below Target</v>
      </c>
    </row>
    <row r="445" spans="1:18">
      <c r="A445" t="s">
        <v>45</v>
      </c>
      <c r="B445" t="s">
        <v>51</v>
      </c>
      <c r="C445" t="s">
        <v>30</v>
      </c>
      <c r="D445" t="s">
        <v>14</v>
      </c>
      <c r="E445" t="s">
        <v>38</v>
      </c>
      <c r="F445">
        <v>1480</v>
      </c>
      <c r="G445" s="1">
        <v>22509</v>
      </c>
      <c r="H445" s="2">
        <v>45278</v>
      </c>
      <c r="I445" t="s">
        <v>27</v>
      </c>
      <c r="J445" t="s">
        <v>483</v>
      </c>
      <c r="K445" t="s">
        <v>44</v>
      </c>
      <c r="L445" t="str">
        <f t="shared" si="36"/>
        <v>Dec</v>
      </c>
      <c r="M445" t="str">
        <f t="shared" si="37"/>
        <v>Q4</v>
      </c>
      <c r="N445" t="str">
        <f t="shared" si="38"/>
        <v>Medium</v>
      </c>
      <c r="O445">
        <f>_xlfn.XLOOKUP(I445,Helper_Table!A:A,Helper_Table!B:B)</f>
        <v>0.9</v>
      </c>
      <c r="P445" s="1">
        <f t="shared" si="39"/>
        <v>20258.100000000002</v>
      </c>
      <c r="Q445" s="4">
        <f t="shared" si="40"/>
        <v>1.1111111111111109</v>
      </c>
      <c r="R445" t="str">
        <f t="shared" si="41"/>
        <v>Achieved</v>
      </c>
    </row>
    <row r="446" spans="1:18">
      <c r="A446" t="s">
        <v>11</v>
      </c>
      <c r="B446" t="s">
        <v>19</v>
      </c>
      <c r="C446" t="s">
        <v>20</v>
      </c>
      <c r="D446" t="s">
        <v>26</v>
      </c>
      <c r="E446">
        <v>30</v>
      </c>
      <c r="F446">
        <v>1069</v>
      </c>
      <c r="G446" s="1">
        <v>20868</v>
      </c>
      <c r="H446" s="2">
        <v>45389</v>
      </c>
      <c r="I446" t="s">
        <v>39</v>
      </c>
      <c r="J446" t="s">
        <v>484</v>
      </c>
      <c r="K446" t="s">
        <v>47</v>
      </c>
      <c r="L446" t="str">
        <f t="shared" si="36"/>
        <v>Apr</v>
      </c>
      <c r="M446" t="str">
        <f t="shared" si="37"/>
        <v>Q2</v>
      </c>
      <c r="N446" t="str">
        <f t="shared" si="38"/>
        <v>Medium</v>
      </c>
      <c r="O446">
        <f>_xlfn.XLOOKUP(I446,Helper_Table!A:A,Helper_Table!B:B)</f>
        <v>1.1000000000000001</v>
      </c>
      <c r="P446" s="1">
        <f t="shared" si="39"/>
        <v>22954.800000000003</v>
      </c>
      <c r="Q446" s="4">
        <f t="shared" si="40"/>
        <v>0.90909090909090895</v>
      </c>
      <c r="R446" t="str">
        <f t="shared" si="41"/>
        <v>Below Target</v>
      </c>
    </row>
    <row r="447" spans="1:18">
      <c r="A447" t="s">
        <v>11</v>
      </c>
      <c r="B447" t="s">
        <v>12</v>
      </c>
      <c r="C447" t="s">
        <v>59</v>
      </c>
      <c r="D447" t="s">
        <v>66</v>
      </c>
      <c r="E447">
        <v>30</v>
      </c>
      <c r="F447">
        <v>1480</v>
      </c>
      <c r="G447" s="1">
        <v>28254</v>
      </c>
      <c r="H447" s="2">
        <v>45456</v>
      </c>
      <c r="I447" t="s">
        <v>32</v>
      </c>
      <c r="J447" t="s">
        <v>485</v>
      </c>
      <c r="K447" t="s">
        <v>47</v>
      </c>
      <c r="L447" t="str">
        <f t="shared" si="36"/>
        <v>Jun</v>
      </c>
      <c r="M447" t="str">
        <f t="shared" si="37"/>
        <v>Q2</v>
      </c>
      <c r="N447" t="str">
        <f t="shared" si="38"/>
        <v>Medium</v>
      </c>
      <c r="O447">
        <f>_xlfn.XLOOKUP(I447,Helper_Table!A:A,Helper_Table!B:B)</f>
        <v>0.95</v>
      </c>
      <c r="P447" s="1">
        <f t="shared" si="39"/>
        <v>26841.3</v>
      </c>
      <c r="Q447" s="4">
        <f t="shared" si="40"/>
        <v>1.0526315789473684</v>
      </c>
      <c r="R447" t="str">
        <f t="shared" si="41"/>
        <v>Achieved</v>
      </c>
    </row>
    <row r="448" spans="1:18">
      <c r="A448" t="s">
        <v>24</v>
      </c>
      <c r="B448" t="s">
        <v>12</v>
      </c>
      <c r="C448" t="s">
        <v>30</v>
      </c>
      <c r="D448" t="s">
        <v>26</v>
      </c>
      <c r="E448" t="s">
        <v>22</v>
      </c>
      <c r="F448">
        <v>1744</v>
      </c>
      <c r="G448" s="1">
        <v>47553</v>
      </c>
      <c r="H448" s="2">
        <v>45144</v>
      </c>
      <c r="I448" t="s">
        <v>41</v>
      </c>
      <c r="J448" t="s">
        <v>486</v>
      </c>
      <c r="K448" t="s">
        <v>47</v>
      </c>
      <c r="L448" t="str">
        <f t="shared" si="36"/>
        <v>Aug</v>
      </c>
      <c r="M448" t="str">
        <f t="shared" si="37"/>
        <v>Q3</v>
      </c>
      <c r="N448" t="str">
        <f t="shared" si="38"/>
        <v>High</v>
      </c>
      <c r="O448">
        <f>_xlfn.XLOOKUP(I448,Helper_Table!A:A,Helper_Table!B:B)</f>
        <v>1.2</v>
      </c>
      <c r="P448" s="1">
        <f t="shared" si="39"/>
        <v>57063.6</v>
      </c>
      <c r="Q448" s="4">
        <f t="shared" si="40"/>
        <v>0.83333333333333337</v>
      </c>
      <c r="R448" t="str">
        <f t="shared" si="41"/>
        <v>Below Target</v>
      </c>
    </row>
    <row r="449" spans="1:18">
      <c r="A449" t="s">
        <v>24</v>
      </c>
      <c r="B449" t="s">
        <v>49</v>
      </c>
      <c r="C449" t="s">
        <v>30</v>
      </c>
      <c r="D449" t="s">
        <v>66</v>
      </c>
      <c r="E449">
        <v>30</v>
      </c>
      <c r="F449">
        <v>343</v>
      </c>
      <c r="G449" s="1">
        <v>15580</v>
      </c>
      <c r="H449" s="2">
        <v>45175</v>
      </c>
      <c r="I449" t="s">
        <v>32</v>
      </c>
      <c r="J449" t="s">
        <v>487</v>
      </c>
      <c r="K449" t="s">
        <v>18</v>
      </c>
      <c r="L449" t="str">
        <f t="shared" si="36"/>
        <v>Sep</v>
      </c>
      <c r="M449" t="str">
        <f t="shared" si="37"/>
        <v>Q3</v>
      </c>
      <c r="N449" t="str">
        <f t="shared" si="38"/>
        <v>Low</v>
      </c>
      <c r="O449">
        <f>_xlfn.XLOOKUP(I449,Helper_Table!A:A,Helper_Table!B:B)</f>
        <v>0.95</v>
      </c>
      <c r="P449" s="1">
        <f t="shared" si="39"/>
        <v>14801</v>
      </c>
      <c r="Q449" s="4">
        <f t="shared" si="40"/>
        <v>1.0526315789473684</v>
      </c>
      <c r="R449" t="str">
        <f t="shared" si="41"/>
        <v>Achieved</v>
      </c>
    </row>
    <row r="450" spans="1:18">
      <c r="A450" t="s">
        <v>24</v>
      </c>
      <c r="B450" t="s">
        <v>36</v>
      </c>
      <c r="C450" t="s">
        <v>20</v>
      </c>
      <c r="D450" t="s">
        <v>14</v>
      </c>
      <c r="E450" t="s">
        <v>15</v>
      </c>
      <c r="F450">
        <v>1448</v>
      </c>
      <c r="G450" s="1">
        <v>36442</v>
      </c>
      <c r="H450" s="2">
        <v>45450</v>
      </c>
      <c r="I450" t="s">
        <v>41</v>
      </c>
      <c r="J450" t="s">
        <v>488</v>
      </c>
      <c r="K450" t="s">
        <v>18</v>
      </c>
      <c r="L450" t="str">
        <f t="shared" ref="L450:L513" si="42">TEXT(H450,"MMM")</f>
        <v>Jun</v>
      </c>
      <c r="M450" t="str">
        <f t="shared" ref="M450:M513" si="43">"Q"&amp;ROUNDUP(MONTH(H450)/3,0)</f>
        <v>Q2</v>
      </c>
      <c r="N450" t="str">
        <f t="shared" ref="N450:N513" si="44">IF(G450&gt;40000,"High",
IF(G450&gt;20000,"Medium","Low"))</f>
        <v>Medium</v>
      </c>
      <c r="O450">
        <f>_xlfn.XLOOKUP(I450,Helper_Table!A:A,Helper_Table!B:B)</f>
        <v>1.2</v>
      </c>
      <c r="P450" s="1">
        <f t="shared" ref="P450:P513" si="45">G450*O450</f>
        <v>43730.400000000001</v>
      </c>
      <c r="Q450" s="4">
        <f t="shared" ref="Q450:Q513" si="46">G450/P450</f>
        <v>0.83333333333333326</v>
      </c>
      <c r="R450" t="str">
        <f t="shared" ref="R450:R513" si="47">IF(Q450&gt;=1,"Achieved","Below Target")</f>
        <v>Below Target</v>
      </c>
    </row>
    <row r="451" spans="1:18">
      <c r="A451" t="s">
        <v>45</v>
      </c>
      <c r="B451" t="s">
        <v>51</v>
      </c>
      <c r="C451" t="s">
        <v>30</v>
      </c>
      <c r="D451" t="s">
        <v>14</v>
      </c>
      <c r="E451" t="s">
        <v>15</v>
      </c>
      <c r="F451">
        <v>1484</v>
      </c>
      <c r="G451" s="1">
        <v>24252</v>
      </c>
      <c r="H451" s="2">
        <v>45160</v>
      </c>
      <c r="I451" t="s">
        <v>32</v>
      </c>
      <c r="J451" t="s">
        <v>489</v>
      </c>
      <c r="K451" t="s">
        <v>34</v>
      </c>
      <c r="L451" t="str">
        <f t="shared" si="42"/>
        <v>Aug</v>
      </c>
      <c r="M451" t="str">
        <f t="shared" si="43"/>
        <v>Q3</v>
      </c>
      <c r="N451" t="str">
        <f t="shared" si="44"/>
        <v>Medium</v>
      </c>
      <c r="O451">
        <f>_xlfn.XLOOKUP(I451,Helper_Table!A:A,Helper_Table!B:B)</f>
        <v>0.95</v>
      </c>
      <c r="P451" s="1">
        <f t="shared" si="45"/>
        <v>23039.399999999998</v>
      </c>
      <c r="Q451" s="4">
        <f t="shared" si="46"/>
        <v>1.0526315789473686</v>
      </c>
      <c r="R451" t="str">
        <f t="shared" si="47"/>
        <v>Achieved</v>
      </c>
    </row>
    <row r="452" spans="1:18">
      <c r="A452" t="s">
        <v>35</v>
      </c>
      <c r="B452" t="s">
        <v>51</v>
      </c>
      <c r="C452" t="s">
        <v>30</v>
      </c>
      <c r="D452" t="s">
        <v>14</v>
      </c>
      <c r="E452" t="s">
        <v>15</v>
      </c>
      <c r="F452">
        <v>646</v>
      </c>
      <c r="G452" s="1">
        <v>39816</v>
      </c>
      <c r="H452" s="2">
        <v>45372</v>
      </c>
      <c r="I452" t="s">
        <v>16</v>
      </c>
      <c r="J452" t="s">
        <v>490</v>
      </c>
      <c r="K452" t="s">
        <v>47</v>
      </c>
      <c r="L452" t="str">
        <f t="shared" si="42"/>
        <v>Mar</v>
      </c>
      <c r="M452" t="str">
        <f t="shared" si="43"/>
        <v>Q1</v>
      </c>
      <c r="N452" t="str">
        <f t="shared" si="44"/>
        <v>Medium</v>
      </c>
      <c r="O452">
        <f>_xlfn.XLOOKUP(I452,Helper_Table!A:A,Helper_Table!B:B)</f>
        <v>1.1000000000000001</v>
      </c>
      <c r="P452" s="1">
        <f t="shared" si="45"/>
        <v>43797.600000000006</v>
      </c>
      <c r="Q452" s="4">
        <f t="shared" si="46"/>
        <v>0.90909090909090895</v>
      </c>
      <c r="R452" t="str">
        <f t="shared" si="47"/>
        <v>Below Target</v>
      </c>
    </row>
    <row r="453" spans="1:18">
      <c r="A453" t="s">
        <v>11</v>
      </c>
      <c r="B453" t="s">
        <v>12</v>
      </c>
      <c r="C453" t="s">
        <v>30</v>
      </c>
      <c r="D453" t="s">
        <v>21</v>
      </c>
      <c r="E453" t="s">
        <v>22</v>
      </c>
      <c r="F453">
        <v>873</v>
      </c>
      <c r="G453" s="1">
        <v>19598</v>
      </c>
      <c r="H453" s="2">
        <v>45378</v>
      </c>
      <c r="I453" t="s">
        <v>16</v>
      </c>
      <c r="J453" t="s">
        <v>491</v>
      </c>
      <c r="K453" t="s">
        <v>18</v>
      </c>
      <c r="L453" t="str">
        <f t="shared" si="42"/>
        <v>Mar</v>
      </c>
      <c r="M453" t="str">
        <f t="shared" si="43"/>
        <v>Q1</v>
      </c>
      <c r="N453" t="str">
        <f t="shared" si="44"/>
        <v>Low</v>
      </c>
      <c r="O453">
        <f>_xlfn.XLOOKUP(I453,Helper_Table!A:A,Helper_Table!B:B)</f>
        <v>1.1000000000000001</v>
      </c>
      <c r="P453" s="1">
        <f t="shared" si="45"/>
        <v>21557.800000000003</v>
      </c>
      <c r="Q453" s="4">
        <f t="shared" si="46"/>
        <v>0.90909090909090895</v>
      </c>
      <c r="R453" t="str">
        <f t="shared" si="47"/>
        <v>Below Target</v>
      </c>
    </row>
    <row r="454" spans="1:18">
      <c r="A454" t="s">
        <v>64</v>
      </c>
      <c r="B454" t="s">
        <v>51</v>
      </c>
      <c r="C454" t="s">
        <v>30</v>
      </c>
      <c r="D454" t="s">
        <v>21</v>
      </c>
      <c r="E454" t="s">
        <v>38</v>
      </c>
      <c r="F454">
        <v>507</v>
      </c>
      <c r="G454" s="1">
        <v>2658</v>
      </c>
      <c r="H454" s="2">
        <v>45247</v>
      </c>
      <c r="I454" t="s">
        <v>39</v>
      </c>
      <c r="J454" t="s">
        <v>492</v>
      </c>
      <c r="K454" t="s">
        <v>18</v>
      </c>
      <c r="L454" t="str">
        <f t="shared" si="42"/>
        <v>Nov</v>
      </c>
      <c r="M454" t="str">
        <f t="shared" si="43"/>
        <v>Q4</v>
      </c>
      <c r="N454" t="str">
        <f t="shared" si="44"/>
        <v>Low</v>
      </c>
      <c r="O454">
        <f>_xlfn.XLOOKUP(I454,Helper_Table!A:A,Helper_Table!B:B)</f>
        <v>1.1000000000000001</v>
      </c>
      <c r="P454" s="1">
        <f t="shared" si="45"/>
        <v>2923.8</v>
      </c>
      <c r="Q454" s="4">
        <f t="shared" si="46"/>
        <v>0.90909090909090906</v>
      </c>
      <c r="R454" t="str">
        <f t="shared" si="47"/>
        <v>Below Target</v>
      </c>
    </row>
    <row r="455" spans="1:18">
      <c r="A455" t="s">
        <v>24</v>
      </c>
      <c r="B455" t="s">
        <v>51</v>
      </c>
      <c r="C455" t="s">
        <v>30</v>
      </c>
      <c r="D455" t="s">
        <v>14</v>
      </c>
      <c r="E455">
        <v>30</v>
      </c>
      <c r="F455">
        <v>1465</v>
      </c>
      <c r="G455" s="1">
        <v>22742</v>
      </c>
      <c r="H455" s="2">
        <v>45462</v>
      </c>
      <c r="I455" t="s">
        <v>41</v>
      </c>
      <c r="J455" t="s">
        <v>493</v>
      </c>
      <c r="K455" t="s">
        <v>18</v>
      </c>
      <c r="L455" t="str">
        <f t="shared" si="42"/>
        <v>Jun</v>
      </c>
      <c r="M455" t="str">
        <f t="shared" si="43"/>
        <v>Q2</v>
      </c>
      <c r="N455" t="str">
        <f t="shared" si="44"/>
        <v>Medium</v>
      </c>
      <c r="O455">
        <f>_xlfn.XLOOKUP(I455,Helper_Table!A:A,Helper_Table!B:B)</f>
        <v>1.2</v>
      </c>
      <c r="P455" s="1">
        <f t="shared" si="45"/>
        <v>27290.399999999998</v>
      </c>
      <c r="Q455" s="4">
        <f t="shared" si="46"/>
        <v>0.83333333333333337</v>
      </c>
      <c r="R455" t="str">
        <f t="shared" si="47"/>
        <v>Below Target</v>
      </c>
    </row>
    <row r="456" spans="1:18">
      <c r="A456" t="s">
        <v>11</v>
      </c>
      <c r="B456" t="s">
        <v>51</v>
      </c>
      <c r="C456" t="s">
        <v>13</v>
      </c>
      <c r="D456" t="s">
        <v>66</v>
      </c>
      <c r="E456" t="s">
        <v>15</v>
      </c>
      <c r="F456">
        <v>917</v>
      </c>
      <c r="G456" s="1">
        <v>16758</v>
      </c>
      <c r="H456" s="2">
        <v>45349</v>
      </c>
      <c r="I456" t="s">
        <v>39</v>
      </c>
      <c r="J456" t="s">
        <v>494</v>
      </c>
      <c r="K456" t="s">
        <v>29</v>
      </c>
      <c r="L456" t="str">
        <f t="shared" si="42"/>
        <v>Feb</v>
      </c>
      <c r="M456" t="str">
        <f t="shared" si="43"/>
        <v>Q1</v>
      </c>
      <c r="N456" t="str">
        <f t="shared" si="44"/>
        <v>Low</v>
      </c>
      <c r="O456">
        <f>_xlfn.XLOOKUP(I456,Helper_Table!A:A,Helper_Table!B:B)</f>
        <v>1.1000000000000001</v>
      </c>
      <c r="P456" s="1">
        <f t="shared" si="45"/>
        <v>18433.800000000003</v>
      </c>
      <c r="Q456" s="4">
        <f t="shared" si="46"/>
        <v>0.90909090909090895</v>
      </c>
      <c r="R456" t="str">
        <f t="shared" si="47"/>
        <v>Below Target</v>
      </c>
    </row>
    <row r="457" spans="1:18">
      <c r="A457" t="s">
        <v>24</v>
      </c>
      <c r="B457" t="s">
        <v>12</v>
      </c>
      <c r="C457" t="s">
        <v>20</v>
      </c>
      <c r="D457" t="s">
        <v>21</v>
      </c>
      <c r="E457" t="s">
        <v>15</v>
      </c>
      <c r="F457">
        <v>450</v>
      </c>
      <c r="G457" s="1">
        <v>4842</v>
      </c>
      <c r="H457" s="2">
        <v>45403</v>
      </c>
      <c r="I457" t="s">
        <v>32</v>
      </c>
      <c r="J457" t="s">
        <v>495</v>
      </c>
      <c r="K457" t="s">
        <v>34</v>
      </c>
      <c r="L457" t="str">
        <f t="shared" si="42"/>
        <v>Apr</v>
      </c>
      <c r="M457" t="str">
        <f t="shared" si="43"/>
        <v>Q2</v>
      </c>
      <c r="N457" t="str">
        <f t="shared" si="44"/>
        <v>Low</v>
      </c>
      <c r="O457">
        <f>_xlfn.XLOOKUP(I457,Helper_Table!A:A,Helper_Table!B:B)</f>
        <v>0.95</v>
      </c>
      <c r="P457" s="1">
        <f t="shared" si="45"/>
        <v>4599.8999999999996</v>
      </c>
      <c r="Q457" s="4">
        <f t="shared" si="46"/>
        <v>1.0526315789473686</v>
      </c>
      <c r="R457" t="str">
        <f t="shared" si="47"/>
        <v>Achieved</v>
      </c>
    </row>
    <row r="458" spans="1:18">
      <c r="A458" t="s">
        <v>64</v>
      </c>
      <c r="B458" t="s">
        <v>36</v>
      </c>
      <c r="C458" t="s">
        <v>59</v>
      </c>
      <c r="D458" t="s">
        <v>14</v>
      </c>
      <c r="E458">
        <v>60</v>
      </c>
      <c r="F458">
        <v>1036</v>
      </c>
      <c r="G458" s="1">
        <v>28098</v>
      </c>
      <c r="H458" s="2">
        <v>45201</v>
      </c>
      <c r="I458" t="s">
        <v>16</v>
      </c>
      <c r="J458" t="s">
        <v>496</v>
      </c>
      <c r="K458" t="s">
        <v>18</v>
      </c>
      <c r="L458" t="str">
        <f t="shared" si="42"/>
        <v>Oct</v>
      </c>
      <c r="M458" t="str">
        <f t="shared" si="43"/>
        <v>Q4</v>
      </c>
      <c r="N458" t="str">
        <f t="shared" si="44"/>
        <v>Medium</v>
      </c>
      <c r="O458">
        <f>_xlfn.XLOOKUP(I458,Helper_Table!A:A,Helper_Table!B:B)</f>
        <v>1.1000000000000001</v>
      </c>
      <c r="P458" s="1">
        <f t="shared" si="45"/>
        <v>30907.800000000003</v>
      </c>
      <c r="Q458" s="4">
        <f t="shared" si="46"/>
        <v>0.90909090909090906</v>
      </c>
      <c r="R458" t="str">
        <f t="shared" si="47"/>
        <v>Below Target</v>
      </c>
    </row>
    <row r="459" spans="1:18">
      <c r="A459" t="s">
        <v>64</v>
      </c>
      <c r="B459" t="s">
        <v>12</v>
      </c>
      <c r="C459" t="s">
        <v>13</v>
      </c>
      <c r="D459" t="s">
        <v>26</v>
      </c>
      <c r="E459">
        <v>30</v>
      </c>
      <c r="F459">
        <v>355</v>
      </c>
      <c r="G459" s="1">
        <v>16758</v>
      </c>
      <c r="H459" s="2">
        <v>45203</v>
      </c>
      <c r="I459" t="s">
        <v>32</v>
      </c>
      <c r="J459" t="s">
        <v>497</v>
      </c>
      <c r="K459" t="s">
        <v>44</v>
      </c>
      <c r="L459" t="str">
        <f t="shared" si="42"/>
        <v>Oct</v>
      </c>
      <c r="M459" t="str">
        <f t="shared" si="43"/>
        <v>Q4</v>
      </c>
      <c r="N459" t="str">
        <f t="shared" si="44"/>
        <v>Low</v>
      </c>
      <c r="O459">
        <f>_xlfn.XLOOKUP(I459,Helper_Table!A:A,Helper_Table!B:B)</f>
        <v>0.95</v>
      </c>
      <c r="P459" s="1">
        <f t="shared" si="45"/>
        <v>15920.099999999999</v>
      </c>
      <c r="Q459" s="4">
        <f t="shared" si="46"/>
        <v>1.0526315789473686</v>
      </c>
      <c r="R459" t="str">
        <f t="shared" si="47"/>
        <v>Achieved</v>
      </c>
    </row>
    <row r="460" spans="1:18">
      <c r="A460" t="s">
        <v>24</v>
      </c>
      <c r="B460" t="s">
        <v>49</v>
      </c>
      <c r="C460" t="s">
        <v>25</v>
      </c>
      <c r="D460" t="s">
        <v>31</v>
      </c>
      <c r="E460" t="s">
        <v>38</v>
      </c>
      <c r="F460">
        <v>159</v>
      </c>
      <c r="G460" s="1">
        <v>10132</v>
      </c>
      <c r="H460" s="2">
        <v>45212</v>
      </c>
      <c r="I460" t="s">
        <v>41</v>
      </c>
      <c r="J460" t="s">
        <v>498</v>
      </c>
      <c r="K460" t="s">
        <v>34</v>
      </c>
      <c r="L460" t="str">
        <f t="shared" si="42"/>
        <v>Oct</v>
      </c>
      <c r="M460" t="str">
        <f t="shared" si="43"/>
        <v>Q4</v>
      </c>
      <c r="N460" t="str">
        <f t="shared" si="44"/>
        <v>Low</v>
      </c>
      <c r="O460">
        <f>_xlfn.XLOOKUP(I460,Helper_Table!A:A,Helper_Table!B:B)</f>
        <v>1.2</v>
      </c>
      <c r="P460" s="1">
        <f t="shared" si="45"/>
        <v>12158.4</v>
      </c>
      <c r="Q460" s="4">
        <f t="shared" si="46"/>
        <v>0.83333333333333337</v>
      </c>
      <c r="R460" t="str">
        <f t="shared" si="47"/>
        <v>Below Target</v>
      </c>
    </row>
    <row r="461" spans="1:18">
      <c r="A461" t="s">
        <v>35</v>
      </c>
      <c r="B461" t="s">
        <v>36</v>
      </c>
      <c r="C461" t="s">
        <v>30</v>
      </c>
      <c r="D461" t="s">
        <v>14</v>
      </c>
      <c r="E461">
        <v>30</v>
      </c>
      <c r="F461">
        <v>1835</v>
      </c>
      <c r="G461" s="1">
        <v>48131</v>
      </c>
      <c r="H461" s="2">
        <v>45403</v>
      </c>
      <c r="I461" t="s">
        <v>16</v>
      </c>
      <c r="J461" t="s">
        <v>499</v>
      </c>
      <c r="K461" t="s">
        <v>34</v>
      </c>
      <c r="L461" t="str">
        <f t="shared" si="42"/>
        <v>Apr</v>
      </c>
      <c r="M461" t="str">
        <f t="shared" si="43"/>
        <v>Q2</v>
      </c>
      <c r="N461" t="str">
        <f t="shared" si="44"/>
        <v>High</v>
      </c>
      <c r="O461">
        <f>_xlfn.XLOOKUP(I461,Helper_Table!A:A,Helper_Table!B:B)</f>
        <v>1.1000000000000001</v>
      </c>
      <c r="P461" s="1">
        <f t="shared" si="45"/>
        <v>52944.100000000006</v>
      </c>
      <c r="Q461" s="4">
        <f t="shared" si="46"/>
        <v>0.90909090909090895</v>
      </c>
      <c r="R461" t="str">
        <f t="shared" si="47"/>
        <v>Below Target</v>
      </c>
    </row>
    <row r="462" spans="1:18">
      <c r="A462" t="s">
        <v>24</v>
      </c>
      <c r="B462" t="s">
        <v>49</v>
      </c>
      <c r="C462" t="s">
        <v>13</v>
      </c>
      <c r="D462" t="s">
        <v>26</v>
      </c>
      <c r="E462">
        <v>30</v>
      </c>
      <c r="F462">
        <v>345</v>
      </c>
      <c r="G462" s="1">
        <v>23783</v>
      </c>
      <c r="H462" s="2">
        <v>45214</v>
      </c>
      <c r="I462" t="s">
        <v>41</v>
      </c>
      <c r="J462" t="s">
        <v>500</v>
      </c>
      <c r="K462" t="s">
        <v>44</v>
      </c>
      <c r="L462" t="str">
        <f t="shared" si="42"/>
        <v>Oct</v>
      </c>
      <c r="M462" t="str">
        <f t="shared" si="43"/>
        <v>Q4</v>
      </c>
      <c r="N462" t="str">
        <f t="shared" si="44"/>
        <v>Medium</v>
      </c>
      <c r="O462">
        <f>_xlfn.XLOOKUP(I462,Helper_Table!A:A,Helper_Table!B:B)</f>
        <v>1.2</v>
      </c>
      <c r="P462" s="1">
        <f t="shared" si="45"/>
        <v>28539.599999999999</v>
      </c>
      <c r="Q462" s="4">
        <f t="shared" si="46"/>
        <v>0.83333333333333337</v>
      </c>
      <c r="R462" t="str">
        <f t="shared" si="47"/>
        <v>Below Target</v>
      </c>
    </row>
    <row r="463" spans="1:18">
      <c r="A463" t="s">
        <v>35</v>
      </c>
      <c r="B463" t="s">
        <v>51</v>
      </c>
      <c r="C463" t="s">
        <v>25</v>
      </c>
      <c r="D463" t="s">
        <v>14</v>
      </c>
      <c r="E463">
        <v>30</v>
      </c>
      <c r="F463">
        <v>1701</v>
      </c>
      <c r="G463" s="1">
        <v>38134</v>
      </c>
      <c r="H463" s="2">
        <v>45449</v>
      </c>
      <c r="I463" t="s">
        <v>41</v>
      </c>
      <c r="J463" t="s">
        <v>501</v>
      </c>
      <c r="K463" t="s">
        <v>18</v>
      </c>
      <c r="L463" t="str">
        <f t="shared" si="42"/>
        <v>Jun</v>
      </c>
      <c r="M463" t="str">
        <f t="shared" si="43"/>
        <v>Q2</v>
      </c>
      <c r="N463" t="str">
        <f t="shared" si="44"/>
        <v>Medium</v>
      </c>
      <c r="O463">
        <f>_xlfn.XLOOKUP(I463,Helper_Table!A:A,Helper_Table!B:B)</f>
        <v>1.2</v>
      </c>
      <c r="P463" s="1">
        <f t="shared" si="45"/>
        <v>45760.799999999996</v>
      </c>
      <c r="Q463" s="4">
        <f t="shared" si="46"/>
        <v>0.83333333333333337</v>
      </c>
      <c r="R463" t="str">
        <f t="shared" si="47"/>
        <v>Below Target</v>
      </c>
    </row>
    <row r="464" spans="1:18">
      <c r="A464" t="s">
        <v>35</v>
      </c>
      <c r="B464" t="s">
        <v>19</v>
      </c>
      <c r="C464" t="s">
        <v>25</v>
      </c>
      <c r="D464" t="s">
        <v>31</v>
      </c>
      <c r="E464">
        <v>30</v>
      </c>
      <c r="F464">
        <v>966</v>
      </c>
      <c r="G464" s="1">
        <v>29754</v>
      </c>
      <c r="H464" s="2">
        <v>45196</v>
      </c>
      <c r="I464" t="s">
        <v>41</v>
      </c>
      <c r="J464" t="s">
        <v>502</v>
      </c>
      <c r="K464" t="s">
        <v>34</v>
      </c>
      <c r="L464" t="str">
        <f t="shared" si="42"/>
        <v>Sep</v>
      </c>
      <c r="M464" t="str">
        <f t="shared" si="43"/>
        <v>Q3</v>
      </c>
      <c r="N464" t="str">
        <f t="shared" si="44"/>
        <v>Medium</v>
      </c>
      <c r="O464">
        <f>_xlfn.XLOOKUP(I464,Helper_Table!A:A,Helper_Table!B:B)</f>
        <v>1.2</v>
      </c>
      <c r="P464" s="1">
        <f t="shared" si="45"/>
        <v>35704.799999999996</v>
      </c>
      <c r="Q464" s="4">
        <f t="shared" si="46"/>
        <v>0.83333333333333348</v>
      </c>
      <c r="R464" t="str">
        <f t="shared" si="47"/>
        <v>Below Target</v>
      </c>
    </row>
    <row r="465" spans="1:18">
      <c r="A465" t="s">
        <v>45</v>
      </c>
      <c r="B465" t="s">
        <v>19</v>
      </c>
      <c r="C465" t="s">
        <v>20</v>
      </c>
      <c r="D465" t="s">
        <v>26</v>
      </c>
      <c r="E465" t="s">
        <v>15</v>
      </c>
      <c r="F465">
        <v>1876</v>
      </c>
      <c r="G465" s="1">
        <v>35523</v>
      </c>
      <c r="H465" s="2">
        <v>45433</v>
      </c>
      <c r="I465" t="s">
        <v>41</v>
      </c>
      <c r="J465" t="s">
        <v>503</v>
      </c>
      <c r="K465" t="s">
        <v>34</v>
      </c>
      <c r="L465" t="str">
        <f t="shared" si="42"/>
        <v>May</v>
      </c>
      <c r="M465" t="str">
        <f t="shared" si="43"/>
        <v>Q2</v>
      </c>
      <c r="N465" t="str">
        <f t="shared" si="44"/>
        <v>Medium</v>
      </c>
      <c r="O465">
        <f>_xlfn.XLOOKUP(I465,Helper_Table!A:A,Helper_Table!B:B)</f>
        <v>1.2</v>
      </c>
      <c r="P465" s="1">
        <f t="shared" si="45"/>
        <v>42627.6</v>
      </c>
      <c r="Q465" s="4">
        <f t="shared" si="46"/>
        <v>0.83333333333333337</v>
      </c>
      <c r="R465" t="str">
        <f t="shared" si="47"/>
        <v>Below Target</v>
      </c>
    </row>
    <row r="466" spans="1:18">
      <c r="A466" t="s">
        <v>64</v>
      </c>
      <c r="B466" t="s">
        <v>51</v>
      </c>
      <c r="C466" t="s">
        <v>13</v>
      </c>
      <c r="D466" t="s">
        <v>31</v>
      </c>
      <c r="E466" t="s">
        <v>22</v>
      </c>
      <c r="F466">
        <v>1589</v>
      </c>
      <c r="G466" s="1">
        <v>39611</v>
      </c>
      <c r="H466" s="2">
        <v>45489</v>
      </c>
      <c r="I466" t="s">
        <v>16</v>
      </c>
      <c r="J466" t="s">
        <v>504</v>
      </c>
      <c r="K466" t="s">
        <v>29</v>
      </c>
      <c r="L466" t="str">
        <f t="shared" si="42"/>
        <v>Jul</v>
      </c>
      <c r="M466" t="str">
        <f t="shared" si="43"/>
        <v>Q3</v>
      </c>
      <c r="N466" t="str">
        <f t="shared" si="44"/>
        <v>Medium</v>
      </c>
      <c r="O466">
        <f>_xlfn.XLOOKUP(I466,Helper_Table!A:A,Helper_Table!B:B)</f>
        <v>1.1000000000000001</v>
      </c>
      <c r="P466" s="1">
        <f t="shared" si="45"/>
        <v>43572.100000000006</v>
      </c>
      <c r="Q466" s="4">
        <f t="shared" si="46"/>
        <v>0.90909090909090895</v>
      </c>
      <c r="R466" t="str">
        <f t="shared" si="47"/>
        <v>Below Target</v>
      </c>
    </row>
    <row r="467" spans="1:18">
      <c r="A467" t="s">
        <v>24</v>
      </c>
      <c r="B467" t="s">
        <v>51</v>
      </c>
      <c r="C467" t="s">
        <v>59</v>
      </c>
      <c r="D467" t="s">
        <v>14</v>
      </c>
      <c r="E467">
        <v>60</v>
      </c>
      <c r="F467">
        <v>1236</v>
      </c>
      <c r="G467" s="1">
        <v>5976</v>
      </c>
      <c r="H467" s="2">
        <v>45361</v>
      </c>
      <c r="I467" t="s">
        <v>32</v>
      </c>
      <c r="J467" t="s">
        <v>505</v>
      </c>
      <c r="K467" t="s">
        <v>47</v>
      </c>
      <c r="L467" t="str">
        <f t="shared" si="42"/>
        <v>Mar</v>
      </c>
      <c r="M467" t="str">
        <f t="shared" si="43"/>
        <v>Q1</v>
      </c>
      <c r="N467" t="str">
        <f t="shared" si="44"/>
        <v>Low</v>
      </c>
      <c r="O467">
        <f>_xlfn.XLOOKUP(I467,Helper_Table!A:A,Helper_Table!B:B)</f>
        <v>0.95</v>
      </c>
      <c r="P467" s="1">
        <f t="shared" si="45"/>
        <v>5677.2</v>
      </c>
      <c r="Q467" s="4">
        <f t="shared" si="46"/>
        <v>1.0526315789473684</v>
      </c>
      <c r="R467" t="str">
        <f t="shared" si="47"/>
        <v>Achieved</v>
      </c>
    </row>
    <row r="468" spans="1:18">
      <c r="A468" t="s">
        <v>64</v>
      </c>
      <c r="B468" t="s">
        <v>12</v>
      </c>
      <c r="C468" t="s">
        <v>25</v>
      </c>
      <c r="D468" t="s">
        <v>14</v>
      </c>
      <c r="E468">
        <v>30</v>
      </c>
      <c r="F468">
        <v>406</v>
      </c>
      <c r="G468" s="1">
        <v>19800</v>
      </c>
      <c r="H468" s="2">
        <v>45205</v>
      </c>
      <c r="I468" t="s">
        <v>16</v>
      </c>
      <c r="J468" t="s">
        <v>506</v>
      </c>
      <c r="K468" t="s">
        <v>44</v>
      </c>
      <c r="L468" t="str">
        <f t="shared" si="42"/>
        <v>Oct</v>
      </c>
      <c r="M468" t="str">
        <f t="shared" si="43"/>
        <v>Q4</v>
      </c>
      <c r="N468" t="str">
        <f t="shared" si="44"/>
        <v>Low</v>
      </c>
      <c r="O468">
        <f>_xlfn.XLOOKUP(I468,Helper_Table!A:A,Helper_Table!B:B)</f>
        <v>1.1000000000000001</v>
      </c>
      <c r="P468" s="1">
        <f t="shared" si="45"/>
        <v>21780</v>
      </c>
      <c r="Q468" s="4">
        <f t="shared" si="46"/>
        <v>0.90909090909090906</v>
      </c>
      <c r="R468" t="str">
        <f t="shared" si="47"/>
        <v>Below Target</v>
      </c>
    </row>
    <row r="469" spans="1:18">
      <c r="A469" t="s">
        <v>24</v>
      </c>
      <c r="B469" t="s">
        <v>12</v>
      </c>
      <c r="C469" t="s">
        <v>25</v>
      </c>
      <c r="D469" t="s">
        <v>66</v>
      </c>
      <c r="E469">
        <v>60</v>
      </c>
      <c r="F469">
        <v>1477</v>
      </c>
      <c r="G469" s="1">
        <v>42087</v>
      </c>
      <c r="H469" s="2">
        <v>45302</v>
      </c>
      <c r="I469" t="s">
        <v>41</v>
      </c>
      <c r="J469" t="s">
        <v>507</v>
      </c>
      <c r="K469" t="s">
        <v>34</v>
      </c>
      <c r="L469" t="str">
        <f t="shared" si="42"/>
        <v>Jan</v>
      </c>
      <c r="M469" t="str">
        <f t="shared" si="43"/>
        <v>Q1</v>
      </c>
      <c r="N469" t="str">
        <f t="shared" si="44"/>
        <v>High</v>
      </c>
      <c r="O469">
        <f>_xlfn.XLOOKUP(I469,Helper_Table!A:A,Helper_Table!B:B)</f>
        <v>1.2</v>
      </c>
      <c r="P469" s="1">
        <f t="shared" si="45"/>
        <v>50504.4</v>
      </c>
      <c r="Q469" s="4">
        <f t="shared" si="46"/>
        <v>0.83333333333333326</v>
      </c>
      <c r="R469" t="str">
        <f t="shared" si="47"/>
        <v>Below Target</v>
      </c>
    </row>
    <row r="470" spans="1:18">
      <c r="A470" t="s">
        <v>35</v>
      </c>
      <c r="B470" t="s">
        <v>49</v>
      </c>
      <c r="C470" t="s">
        <v>59</v>
      </c>
      <c r="D470" t="s">
        <v>14</v>
      </c>
      <c r="E470" t="s">
        <v>22</v>
      </c>
      <c r="F470">
        <v>1684</v>
      </c>
      <c r="G470" s="1">
        <v>49229</v>
      </c>
      <c r="H470" s="2">
        <v>45421</v>
      </c>
      <c r="I470" t="s">
        <v>39</v>
      </c>
      <c r="J470" t="s">
        <v>508</v>
      </c>
      <c r="K470" t="s">
        <v>44</v>
      </c>
      <c r="L470" t="str">
        <f t="shared" si="42"/>
        <v>May</v>
      </c>
      <c r="M470" t="str">
        <f t="shared" si="43"/>
        <v>Q2</v>
      </c>
      <c r="N470" t="str">
        <f t="shared" si="44"/>
        <v>High</v>
      </c>
      <c r="O470">
        <f>_xlfn.XLOOKUP(I470,Helper_Table!A:A,Helper_Table!B:B)</f>
        <v>1.1000000000000001</v>
      </c>
      <c r="P470" s="1">
        <f t="shared" si="45"/>
        <v>54151.9</v>
      </c>
      <c r="Q470" s="4">
        <f t="shared" si="46"/>
        <v>0.90909090909090906</v>
      </c>
      <c r="R470" t="str">
        <f t="shared" si="47"/>
        <v>Below Target</v>
      </c>
    </row>
    <row r="471" spans="1:18">
      <c r="A471" t="s">
        <v>35</v>
      </c>
      <c r="B471" t="s">
        <v>49</v>
      </c>
      <c r="C471" t="s">
        <v>20</v>
      </c>
      <c r="D471" t="s">
        <v>14</v>
      </c>
      <c r="E471" t="s">
        <v>15</v>
      </c>
      <c r="F471">
        <v>849</v>
      </c>
      <c r="G471" s="1">
        <v>45151</v>
      </c>
      <c r="H471" s="2">
        <v>45140</v>
      </c>
      <c r="I471" t="s">
        <v>39</v>
      </c>
      <c r="J471" t="s">
        <v>509</v>
      </c>
      <c r="K471" t="s">
        <v>44</v>
      </c>
      <c r="L471" t="str">
        <f t="shared" si="42"/>
        <v>Aug</v>
      </c>
      <c r="M471" t="str">
        <f t="shared" si="43"/>
        <v>Q3</v>
      </c>
      <c r="N471" t="str">
        <f t="shared" si="44"/>
        <v>High</v>
      </c>
      <c r="O471">
        <f>_xlfn.XLOOKUP(I471,Helper_Table!A:A,Helper_Table!B:B)</f>
        <v>1.1000000000000001</v>
      </c>
      <c r="P471" s="1">
        <f t="shared" si="45"/>
        <v>49666.100000000006</v>
      </c>
      <c r="Q471" s="4">
        <f t="shared" si="46"/>
        <v>0.90909090909090895</v>
      </c>
      <c r="R471" t="str">
        <f t="shared" si="47"/>
        <v>Below Target</v>
      </c>
    </row>
    <row r="472" spans="1:18">
      <c r="A472" t="s">
        <v>45</v>
      </c>
      <c r="B472" t="s">
        <v>19</v>
      </c>
      <c r="C472" t="s">
        <v>13</v>
      </c>
      <c r="D472" t="s">
        <v>21</v>
      </c>
      <c r="E472" t="s">
        <v>15</v>
      </c>
      <c r="F472">
        <v>849</v>
      </c>
      <c r="G472" s="1">
        <v>39729</v>
      </c>
      <c r="H472" s="2">
        <v>45162</v>
      </c>
      <c r="I472" t="s">
        <v>16</v>
      </c>
      <c r="J472" t="s">
        <v>510</v>
      </c>
      <c r="K472" t="s">
        <v>34</v>
      </c>
      <c r="L472" t="str">
        <f t="shared" si="42"/>
        <v>Aug</v>
      </c>
      <c r="M472" t="str">
        <f t="shared" si="43"/>
        <v>Q3</v>
      </c>
      <c r="N472" t="str">
        <f t="shared" si="44"/>
        <v>Medium</v>
      </c>
      <c r="O472">
        <f>_xlfn.XLOOKUP(I472,Helper_Table!A:A,Helper_Table!B:B)</f>
        <v>1.1000000000000001</v>
      </c>
      <c r="P472" s="1">
        <f t="shared" si="45"/>
        <v>43701.9</v>
      </c>
      <c r="Q472" s="4">
        <f t="shared" si="46"/>
        <v>0.90909090909090906</v>
      </c>
      <c r="R472" t="str">
        <f t="shared" si="47"/>
        <v>Below Target</v>
      </c>
    </row>
    <row r="473" spans="1:18">
      <c r="A473" t="s">
        <v>64</v>
      </c>
      <c r="B473" t="s">
        <v>12</v>
      </c>
      <c r="C473" t="s">
        <v>25</v>
      </c>
      <c r="D473" t="s">
        <v>26</v>
      </c>
      <c r="E473">
        <v>30</v>
      </c>
      <c r="F473">
        <v>1743</v>
      </c>
      <c r="G473" s="1">
        <v>11137</v>
      </c>
      <c r="H473" s="2">
        <v>45260</v>
      </c>
      <c r="I473" t="s">
        <v>32</v>
      </c>
      <c r="J473" t="s">
        <v>511</v>
      </c>
      <c r="K473" t="s">
        <v>18</v>
      </c>
      <c r="L473" t="str">
        <f t="shared" si="42"/>
        <v>Nov</v>
      </c>
      <c r="M473" t="str">
        <f t="shared" si="43"/>
        <v>Q4</v>
      </c>
      <c r="N473" t="str">
        <f t="shared" si="44"/>
        <v>Low</v>
      </c>
      <c r="O473">
        <f>_xlfn.XLOOKUP(I473,Helper_Table!A:A,Helper_Table!B:B)</f>
        <v>0.95</v>
      </c>
      <c r="P473" s="1">
        <f t="shared" si="45"/>
        <v>10580.15</v>
      </c>
      <c r="Q473" s="4">
        <f t="shared" si="46"/>
        <v>1.0526315789473684</v>
      </c>
      <c r="R473" t="str">
        <f t="shared" si="47"/>
        <v>Achieved</v>
      </c>
    </row>
    <row r="474" spans="1:18">
      <c r="A474" t="s">
        <v>24</v>
      </c>
      <c r="B474" t="s">
        <v>51</v>
      </c>
      <c r="C474" t="s">
        <v>30</v>
      </c>
      <c r="D474" t="s">
        <v>31</v>
      </c>
      <c r="E474" t="s">
        <v>15</v>
      </c>
      <c r="F474">
        <v>359</v>
      </c>
      <c r="G474" s="1">
        <v>14269</v>
      </c>
      <c r="H474" s="2">
        <v>45237</v>
      </c>
      <c r="I474" t="s">
        <v>41</v>
      </c>
      <c r="J474" t="s">
        <v>512</v>
      </c>
      <c r="K474" t="s">
        <v>47</v>
      </c>
      <c r="L474" t="str">
        <f t="shared" si="42"/>
        <v>Nov</v>
      </c>
      <c r="M474" t="str">
        <f t="shared" si="43"/>
        <v>Q4</v>
      </c>
      <c r="N474" t="str">
        <f t="shared" si="44"/>
        <v>Low</v>
      </c>
      <c r="O474">
        <f>_xlfn.XLOOKUP(I474,Helper_Table!A:A,Helper_Table!B:B)</f>
        <v>1.2</v>
      </c>
      <c r="P474" s="1">
        <f t="shared" si="45"/>
        <v>17122.8</v>
      </c>
      <c r="Q474" s="4">
        <f t="shared" si="46"/>
        <v>0.83333333333333337</v>
      </c>
      <c r="R474" t="str">
        <f t="shared" si="47"/>
        <v>Below Target</v>
      </c>
    </row>
    <row r="475" spans="1:18">
      <c r="A475" t="s">
        <v>11</v>
      </c>
      <c r="B475" t="s">
        <v>51</v>
      </c>
      <c r="C475" t="s">
        <v>13</v>
      </c>
      <c r="D475" t="s">
        <v>14</v>
      </c>
      <c r="E475" t="s">
        <v>22</v>
      </c>
      <c r="F475">
        <v>573</v>
      </c>
      <c r="G475" s="1">
        <v>4115</v>
      </c>
      <c r="H475" s="2">
        <v>45455</v>
      </c>
      <c r="I475" t="s">
        <v>16</v>
      </c>
      <c r="J475" t="s">
        <v>513</v>
      </c>
      <c r="K475" t="s">
        <v>47</v>
      </c>
      <c r="L475" t="str">
        <f t="shared" si="42"/>
        <v>Jun</v>
      </c>
      <c r="M475" t="str">
        <f t="shared" si="43"/>
        <v>Q2</v>
      </c>
      <c r="N475" t="str">
        <f t="shared" si="44"/>
        <v>Low</v>
      </c>
      <c r="O475">
        <f>_xlfn.XLOOKUP(I475,Helper_Table!A:A,Helper_Table!B:B)</f>
        <v>1.1000000000000001</v>
      </c>
      <c r="P475" s="1">
        <f t="shared" si="45"/>
        <v>4526.5</v>
      </c>
      <c r="Q475" s="4">
        <f t="shared" si="46"/>
        <v>0.90909090909090906</v>
      </c>
      <c r="R475" t="str">
        <f t="shared" si="47"/>
        <v>Below Target</v>
      </c>
    </row>
    <row r="476" spans="1:18">
      <c r="A476" t="s">
        <v>11</v>
      </c>
      <c r="B476" t="s">
        <v>12</v>
      </c>
      <c r="C476" t="s">
        <v>20</v>
      </c>
      <c r="D476" t="s">
        <v>21</v>
      </c>
      <c r="E476" t="s">
        <v>38</v>
      </c>
      <c r="F476">
        <v>1330</v>
      </c>
      <c r="G476" s="1">
        <v>28423</v>
      </c>
      <c r="H476" s="2">
        <v>45185</v>
      </c>
      <c r="I476" t="s">
        <v>16</v>
      </c>
      <c r="J476" t="s">
        <v>514</v>
      </c>
      <c r="K476" t="s">
        <v>34</v>
      </c>
      <c r="L476" t="str">
        <f t="shared" si="42"/>
        <v>Sep</v>
      </c>
      <c r="M476" t="str">
        <f t="shared" si="43"/>
        <v>Q3</v>
      </c>
      <c r="N476" t="str">
        <f t="shared" si="44"/>
        <v>Medium</v>
      </c>
      <c r="O476">
        <f>_xlfn.XLOOKUP(I476,Helper_Table!A:A,Helper_Table!B:B)</f>
        <v>1.1000000000000001</v>
      </c>
      <c r="P476" s="1">
        <f t="shared" si="45"/>
        <v>31265.300000000003</v>
      </c>
      <c r="Q476" s="4">
        <f t="shared" si="46"/>
        <v>0.90909090909090906</v>
      </c>
      <c r="R476" t="str">
        <f t="shared" si="47"/>
        <v>Below Target</v>
      </c>
    </row>
    <row r="477" spans="1:18">
      <c r="A477" t="s">
        <v>24</v>
      </c>
      <c r="B477" t="s">
        <v>51</v>
      </c>
      <c r="C477" t="s">
        <v>13</v>
      </c>
      <c r="D477" t="s">
        <v>14</v>
      </c>
      <c r="E477">
        <v>30</v>
      </c>
      <c r="F477">
        <v>1087</v>
      </c>
      <c r="G477" s="1">
        <v>15485</v>
      </c>
      <c r="H477" s="2">
        <v>45357</v>
      </c>
      <c r="I477" t="s">
        <v>32</v>
      </c>
      <c r="J477" t="s">
        <v>515</v>
      </c>
      <c r="K477" t="s">
        <v>47</v>
      </c>
      <c r="L477" t="str">
        <f t="shared" si="42"/>
        <v>Mar</v>
      </c>
      <c r="M477" t="str">
        <f t="shared" si="43"/>
        <v>Q1</v>
      </c>
      <c r="N477" t="str">
        <f t="shared" si="44"/>
        <v>Low</v>
      </c>
      <c r="O477">
        <f>_xlfn.XLOOKUP(I477,Helper_Table!A:A,Helper_Table!B:B)</f>
        <v>0.95</v>
      </c>
      <c r="P477" s="1">
        <f t="shared" si="45"/>
        <v>14710.75</v>
      </c>
      <c r="Q477" s="4">
        <f t="shared" si="46"/>
        <v>1.0526315789473684</v>
      </c>
      <c r="R477" t="str">
        <f t="shared" si="47"/>
        <v>Achieved</v>
      </c>
    </row>
    <row r="478" spans="1:18">
      <c r="A478" t="s">
        <v>11</v>
      </c>
      <c r="B478" t="s">
        <v>12</v>
      </c>
      <c r="C478" t="s">
        <v>25</v>
      </c>
      <c r="D478" t="s">
        <v>26</v>
      </c>
      <c r="E478" t="s">
        <v>22</v>
      </c>
      <c r="F478">
        <v>404</v>
      </c>
      <c r="G478" s="1">
        <v>8798</v>
      </c>
      <c r="H478" s="2">
        <v>45207</v>
      </c>
      <c r="I478" t="s">
        <v>32</v>
      </c>
      <c r="J478" t="s">
        <v>516</v>
      </c>
      <c r="K478" t="s">
        <v>47</v>
      </c>
      <c r="L478" t="str">
        <f t="shared" si="42"/>
        <v>Oct</v>
      </c>
      <c r="M478" t="str">
        <f t="shared" si="43"/>
        <v>Q4</v>
      </c>
      <c r="N478" t="str">
        <f t="shared" si="44"/>
        <v>Low</v>
      </c>
      <c r="O478">
        <f>_xlfn.XLOOKUP(I478,Helper_Table!A:A,Helper_Table!B:B)</f>
        <v>0.95</v>
      </c>
      <c r="P478" s="1">
        <f t="shared" si="45"/>
        <v>8358.1</v>
      </c>
      <c r="Q478" s="4">
        <f t="shared" si="46"/>
        <v>1.0526315789473684</v>
      </c>
      <c r="R478" t="str">
        <f t="shared" si="47"/>
        <v>Achieved</v>
      </c>
    </row>
    <row r="479" spans="1:18">
      <c r="A479" t="s">
        <v>45</v>
      </c>
      <c r="B479" t="s">
        <v>19</v>
      </c>
      <c r="C479" t="s">
        <v>20</v>
      </c>
      <c r="D479" t="s">
        <v>66</v>
      </c>
      <c r="E479">
        <v>60</v>
      </c>
      <c r="F479">
        <v>1641</v>
      </c>
      <c r="G479" s="1">
        <v>4850</v>
      </c>
      <c r="H479" s="2">
        <v>45200</v>
      </c>
      <c r="I479" t="s">
        <v>41</v>
      </c>
      <c r="J479" t="s">
        <v>517</v>
      </c>
      <c r="K479" t="s">
        <v>29</v>
      </c>
      <c r="L479" t="str">
        <f t="shared" si="42"/>
        <v>Oct</v>
      </c>
      <c r="M479" t="str">
        <f t="shared" si="43"/>
        <v>Q4</v>
      </c>
      <c r="N479" t="str">
        <f t="shared" si="44"/>
        <v>Low</v>
      </c>
      <c r="O479">
        <f>_xlfn.XLOOKUP(I479,Helper_Table!A:A,Helper_Table!B:B)</f>
        <v>1.2</v>
      </c>
      <c r="P479" s="1">
        <f t="shared" si="45"/>
        <v>5820</v>
      </c>
      <c r="Q479" s="4">
        <f t="shared" si="46"/>
        <v>0.83333333333333337</v>
      </c>
      <c r="R479" t="str">
        <f t="shared" si="47"/>
        <v>Below Target</v>
      </c>
    </row>
    <row r="480" spans="1:18">
      <c r="A480" t="s">
        <v>64</v>
      </c>
      <c r="B480" t="s">
        <v>19</v>
      </c>
      <c r="C480" t="s">
        <v>25</v>
      </c>
      <c r="D480" t="s">
        <v>21</v>
      </c>
      <c r="E480" t="s">
        <v>15</v>
      </c>
      <c r="F480">
        <v>1013</v>
      </c>
      <c r="G480" s="1">
        <v>38304</v>
      </c>
      <c r="H480" s="2">
        <v>45187</v>
      </c>
      <c r="I480" t="s">
        <v>39</v>
      </c>
      <c r="J480" t="s">
        <v>518</v>
      </c>
      <c r="K480" t="s">
        <v>34</v>
      </c>
      <c r="L480" t="str">
        <f t="shared" si="42"/>
        <v>Sep</v>
      </c>
      <c r="M480" t="str">
        <f t="shared" si="43"/>
        <v>Q3</v>
      </c>
      <c r="N480" t="str">
        <f t="shared" si="44"/>
        <v>Medium</v>
      </c>
      <c r="O480">
        <f>_xlfn.XLOOKUP(I480,Helper_Table!A:A,Helper_Table!B:B)</f>
        <v>1.1000000000000001</v>
      </c>
      <c r="P480" s="1">
        <f t="shared" si="45"/>
        <v>42134.400000000001</v>
      </c>
      <c r="Q480" s="4">
        <f t="shared" si="46"/>
        <v>0.90909090909090906</v>
      </c>
      <c r="R480" t="str">
        <f t="shared" si="47"/>
        <v>Below Target</v>
      </c>
    </row>
    <row r="481" spans="1:18">
      <c r="A481" t="s">
        <v>24</v>
      </c>
      <c r="B481" t="s">
        <v>51</v>
      </c>
      <c r="C481" t="s">
        <v>30</v>
      </c>
      <c r="D481" t="s">
        <v>31</v>
      </c>
      <c r="E481" t="s">
        <v>38</v>
      </c>
      <c r="F481">
        <v>434</v>
      </c>
      <c r="G481" s="1">
        <v>32258</v>
      </c>
      <c r="H481" s="2">
        <v>45496</v>
      </c>
      <c r="I481" t="s">
        <v>41</v>
      </c>
      <c r="J481" t="s">
        <v>519</v>
      </c>
      <c r="K481" t="s">
        <v>18</v>
      </c>
      <c r="L481" t="str">
        <f t="shared" si="42"/>
        <v>Jul</v>
      </c>
      <c r="M481" t="str">
        <f t="shared" si="43"/>
        <v>Q3</v>
      </c>
      <c r="N481" t="str">
        <f t="shared" si="44"/>
        <v>Medium</v>
      </c>
      <c r="O481">
        <f>_xlfn.XLOOKUP(I481,Helper_Table!A:A,Helper_Table!B:B)</f>
        <v>1.2</v>
      </c>
      <c r="P481" s="1">
        <f t="shared" si="45"/>
        <v>38709.599999999999</v>
      </c>
      <c r="Q481" s="4">
        <f t="shared" si="46"/>
        <v>0.83333333333333337</v>
      </c>
      <c r="R481" t="str">
        <f t="shared" si="47"/>
        <v>Below Target</v>
      </c>
    </row>
    <row r="482" spans="1:18">
      <c r="A482" t="s">
        <v>64</v>
      </c>
      <c r="B482" t="s">
        <v>49</v>
      </c>
      <c r="C482" t="s">
        <v>30</v>
      </c>
      <c r="D482" t="s">
        <v>26</v>
      </c>
      <c r="E482">
        <v>30</v>
      </c>
      <c r="F482">
        <v>857</v>
      </c>
      <c r="G482" s="1">
        <v>25111</v>
      </c>
      <c r="H482" s="2">
        <v>45168</v>
      </c>
      <c r="I482" t="s">
        <v>41</v>
      </c>
      <c r="J482" t="s">
        <v>520</v>
      </c>
      <c r="K482" t="s">
        <v>29</v>
      </c>
      <c r="L482" t="str">
        <f t="shared" si="42"/>
        <v>Aug</v>
      </c>
      <c r="M482" t="str">
        <f t="shared" si="43"/>
        <v>Q3</v>
      </c>
      <c r="N482" t="str">
        <f t="shared" si="44"/>
        <v>Medium</v>
      </c>
      <c r="O482">
        <f>_xlfn.XLOOKUP(I482,Helper_Table!A:A,Helper_Table!B:B)</f>
        <v>1.2</v>
      </c>
      <c r="P482" s="1">
        <f t="shared" si="45"/>
        <v>30133.199999999997</v>
      </c>
      <c r="Q482" s="4">
        <f t="shared" si="46"/>
        <v>0.83333333333333337</v>
      </c>
      <c r="R482" t="str">
        <f t="shared" si="47"/>
        <v>Below Target</v>
      </c>
    </row>
    <row r="483" spans="1:18">
      <c r="A483" t="s">
        <v>24</v>
      </c>
      <c r="B483" t="s">
        <v>36</v>
      </c>
      <c r="C483" t="s">
        <v>20</v>
      </c>
      <c r="D483" t="s">
        <v>66</v>
      </c>
      <c r="E483">
        <v>30</v>
      </c>
      <c r="F483">
        <v>1215</v>
      </c>
      <c r="G483" s="1">
        <v>3802</v>
      </c>
      <c r="H483" s="2">
        <v>45434</v>
      </c>
      <c r="I483" t="s">
        <v>16</v>
      </c>
      <c r="J483" t="s">
        <v>521</v>
      </c>
      <c r="K483" t="s">
        <v>47</v>
      </c>
      <c r="L483" t="str">
        <f t="shared" si="42"/>
        <v>May</v>
      </c>
      <c r="M483" t="str">
        <f t="shared" si="43"/>
        <v>Q2</v>
      </c>
      <c r="N483" t="str">
        <f t="shared" si="44"/>
        <v>Low</v>
      </c>
      <c r="O483">
        <f>_xlfn.XLOOKUP(I483,Helper_Table!A:A,Helper_Table!B:B)</f>
        <v>1.1000000000000001</v>
      </c>
      <c r="P483" s="1">
        <f t="shared" si="45"/>
        <v>4182.2000000000007</v>
      </c>
      <c r="Q483" s="4">
        <f t="shared" si="46"/>
        <v>0.90909090909090895</v>
      </c>
      <c r="R483" t="str">
        <f t="shared" si="47"/>
        <v>Below Target</v>
      </c>
    </row>
    <row r="484" spans="1:18">
      <c r="A484" t="s">
        <v>24</v>
      </c>
      <c r="B484" t="s">
        <v>49</v>
      </c>
      <c r="C484" t="s">
        <v>30</v>
      </c>
      <c r="D484" t="s">
        <v>66</v>
      </c>
      <c r="E484">
        <v>60</v>
      </c>
      <c r="F484">
        <v>1206</v>
      </c>
      <c r="G484" s="1">
        <v>30473</v>
      </c>
      <c r="H484" s="2">
        <v>45208</v>
      </c>
      <c r="I484" t="s">
        <v>32</v>
      </c>
      <c r="J484" t="s">
        <v>522</v>
      </c>
      <c r="K484" t="s">
        <v>29</v>
      </c>
      <c r="L484" t="str">
        <f t="shared" si="42"/>
        <v>Oct</v>
      </c>
      <c r="M484" t="str">
        <f t="shared" si="43"/>
        <v>Q4</v>
      </c>
      <c r="N484" t="str">
        <f t="shared" si="44"/>
        <v>Medium</v>
      </c>
      <c r="O484">
        <f>_xlfn.XLOOKUP(I484,Helper_Table!A:A,Helper_Table!B:B)</f>
        <v>0.95</v>
      </c>
      <c r="P484" s="1">
        <f t="shared" si="45"/>
        <v>28949.35</v>
      </c>
      <c r="Q484" s="4">
        <f t="shared" si="46"/>
        <v>1.0526315789473686</v>
      </c>
      <c r="R484" t="str">
        <f t="shared" si="47"/>
        <v>Achieved</v>
      </c>
    </row>
    <row r="485" spans="1:18">
      <c r="A485" t="s">
        <v>45</v>
      </c>
      <c r="B485" t="s">
        <v>36</v>
      </c>
      <c r="C485" t="s">
        <v>20</v>
      </c>
      <c r="D485" t="s">
        <v>14</v>
      </c>
      <c r="E485" t="s">
        <v>15</v>
      </c>
      <c r="F485">
        <v>1028</v>
      </c>
      <c r="G485" s="1">
        <v>26345</v>
      </c>
      <c r="H485" s="2">
        <v>45293</v>
      </c>
      <c r="I485" t="s">
        <v>39</v>
      </c>
      <c r="J485" t="s">
        <v>523</v>
      </c>
      <c r="K485" t="s">
        <v>18</v>
      </c>
      <c r="L485" t="str">
        <f t="shared" si="42"/>
        <v>Jan</v>
      </c>
      <c r="M485" t="str">
        <f t="shared" si="43"/>
        <v>Q1</v>
      </c>
      <c r="N485" t="str">
        <f t="shared" si="44"/>
        <v>Medium</v>
      </c>
      <c r="O485">
        <f>_xlfn.XLOOKUP(I485,Helper_Table!A:A,Helper_Table!B:B)</f>
        <v>1.1000000000000001</v>
      </c>
      <c r="P485" s="1">
        <f t="shared" si="45"/>
        <v>28979.500000000004</v>
      </c>
      <c r="Q485" s="4">
        <f t="shared" si="46"/>
        <v>0.90909090909090895</v>
      </c>
      <c r="R485" t="str">
        <f t="shared" si="47"/>
        <v>Below Target</v>
      </c>
    </row>
    <row r="486" spans="1:18">
      <c r="A486" t="s">
        <v>11</v>
      </c>
      <c r="B486" t="s">
        <v>19</v>
      </c>
      <c r="C486" t="s">
        <v>59</v>
      </c>
      <c r="D486" t="s">
        <v>14</v>
      </c>
      <c r="E486" t="s">
        <v>22</v>
      </c>
      <c r="F486">
        <v>1821</v>
      </c>
      <c r="G486" s="1">
        <v>49772</v>
      </c>
      <c r="H486" s="2">
        <v>45143</v>
      </c>
      <c r="I486" t="s">
        <v>39</v>
      </c>
      <c r="J486" t="s">
        <v>524</v>
      </c>
      <c r="K486" t="s">
        <v>18</v>
      </c>
      <c r="L486" t="str">
        <f t="shared" si="42"/>
        <v>Aug</v>
      </c>
      <c r="M486" t="str">
        <f t="shared" si="43"/>
        <v>Q3</v>
      </c>
      <c r="N486" t="str">
        <f t="shared" si="44"/>
        <v>High</v>
      </c>
      <c r="O486">
        <f>_xlfn.XLOOKUP(I486,Helper_Table!A:A,Helper_Table!B:B)</f>
        <v>1.1000000000000001</v>
      </c>
      <c r="P486" s="1">
        <f t="shared" si="45"/>
        <v>54749.200000000004</v>
      </c>
      <c r="Q486" s="4">
        <f t="shared" si="46"/>
        <v>0.90909090909090906</v>
      </c>
      <c r="R486" t="str">
        <f t="shared" si="47"/>
        <v>Below Target</v>
      </c>
    </row>
    <row r="487" spans="1:18">
      <c r="A487" t="s">
        <v>64</v>
      </c>
      <c r="B487" t="s">
        <v>51</v>
      </c>
      <c r="C487" t="s">
        <v>25</v>
      </c>
      <c r="D487" t="s">
        <v>14</v>
      </c>
      <c r="E487" t="s">
        <v>22</v>
      </c>
      <c r="F487">
        <v>187</v>
      </c>
      <c r="G487" s="1">
        <v>33824</v>
      </c>
      <c r="H487" s="2">
        <v>45431</v>
      </c>
      <c r="I487" t="s">
        <v>41</v>
      </c>
      <c r="J487" t="s">
        <v>525</v>
      </c>
      <c r="K487" t="s">
        <v>47</v>
      </c>
      <c r="L487" t="str">
        <f t="shared" si="42"/>
        <v>May</v>
      </c>
      <c r="M487" t="str">
        <f t="shared" si="43"/>
        <v>Q2</v>
      </c>
      <c r="N487" t="str">
        <f t="shared" si="44"/>
        <v>Medium</v>
      </c>
      <c r="O487">
        <f>_xlfn.XLOOKUP(I487,Helper_Table!A:A,Helper_Table!B:B)</f>
        <v>1.2</v>
      </c>
      <c r="P487" s="1">
        <f t="shared" si="45"/>
        <v>40588.799999999996</v>
      </c>
      <c r="Q487" s="4">
        <f t="shared" si="46"/>
        <v>0.83333333333333337</v>
      </c>
      <c r="R487" t="str">
        <f t="shared" si="47"/>
        <v>Below Target</v>
      </c>
    </row>
    <row r="488" spans="1:18">
      <c r="A488" t="s">
        <v>45</v>
      </c>
      <c r="B488" t="s">
        <v>51</v>
      </c>
      <c r="C488" t="s">
        <v>25</v>
      </c>
      <c r="D488" t="s">
        <v>66</v>
      </c>
      <c r="E488" t="s">
        <v>38</v>
      </c>
      <c r="F488">
        <v>1978</v>
      </c>
      <c r="G488" s="1">
        <v>10298</v>
      </c>
      <c r="H488" s="2">
        <v>45409</v>
      </c>
      <c r="I488" t="s">
        <v>16</v>
      </c>
      <c r="J488" t="s">
        <v>526</v>
      </c>
      <c r="K488" t="s">
        <v>44</v>
      </c>
      <c r="L488" t="str">
        <f t="shared" si="42"/>
        <v>Apr</v>
      </c>
      <c r="M488" t="str">
        <f t="shared" si="43"/>
        <v>Q2</v>
      </c>
      <c r="N488" t="str">
        <f t="shared" si="44"/>
        <v>Low</v>
      </c>
      <c r="O488">
        <f>_xlfn.XLOOKUP(I488,Helper_Table!A:A,Helper_Table!B:B)</f>
        <v>1.1000000000000001</v>
      </c>
      <c r="P488" s="1">
        <f t="shared" si="45"/>
        <v>11327.800000000001</v>
      </c>
      <c r="Q488" s="4">
        <f t="shared" si="46"/>
        <v>0.90909090909090895</v>
      </c>
      <c r="R488" t="str">
        <f t="shared" si="47"/>
        <v>Below Target</v>
      </c>
    </row>
    <row r="489" spans="1:18">
      <c r="A489" t="s">
        <v>64</v>
      </c>
      <c r="B489" t="s">
        <v>12</v>
      </c>
      <c r="C489" t="s">
        <v>13</v>
      </c>
      <c r="D489" t="s">
        <v>26</v>
      </c>
      <c r="E489" t="s">
        <v>15</v>
      </c>
      <c r="F489">
        <v>310</v>
      </c>
      <c r="G489" s="1">
        <v>8780</v>
      </c>
      <c r="H489" s="2">
        <v>45281</v>
      </c>
      <c r="I489" t="s">
        <v>16</v>
      </c>
      <c r="J489" t="s">
        <v>527</v>
      </c>
      <c r="K489" t="s">
        <v>47</v>
      </c>
      <c r="L489" t="str">
        <f t="shared" si="42"/>
        <v>Dec</v>
      </c>
      <c r="M489" t="str">
        <f t="shared" si="43"/>
        <v>Q4</v>
      </c>
      <c r="N489" t="str">
        <f t="shared" si="44"/>
        <v>Low</v>
      </c>
      <c r="O489">
        <f>_xlfn.XLOOKUP(I489,Helper_Table!A:A,Helper_Table!B:B)</f>
        <v>1.1000000000000001</v>
      </c>
      <c r="P489" s="1">
        <f t="shared" si="45"/>
        <v>9658</v>
      </c>
      <c r="Q489" s="4">
        <f t="shared" si="46"/>
        <v>0.90909090909090906</v>
      </c>
      <c r="R489" t="str">
        <f t="shared" si="47"/>
        <v>Below Target</v>
      </c>
    </row>
    <row r="490" spans="1:18">
      <c r="A490" t="s">
        <v>35</v>
      </c>
      <c r="B490" t="s">
        <v>36</v>
      </c>
      <c r="C490" t="s">
        <v>25</v>
      </c>
      <c r="D490" t="s">
        <v>21</v>
      </c>
      <c r="E490">
        <v>30</v>
      </c>
      <c r="F490">
        <v>1232</v>
      </c>
      <c r="G490" s="1">
        <v>14892</v>
      </c>
      <c r="H490" s="2">
        <v>45286</v>
      </c>
      <c r="I490" t="s">
        <v>27</v>
      </c>
      <c r="J490" t="s">
        <v>528</v>
      </c>
      <c r="K490" t="s">
        <v>18</v>
      </c>
      <c r="L490" t="str">
        <f t="shared" si="42"/>
        <v>Dec</v>
      </c>
      <c r="M490" t="str">
        <f t="shared" si="43"/>
        <v>Q4</v>
      </c>
      <c r="N490" t="str">
        <f t="shared" si="44"/>
        <v>Low</v>
      </c>
      <c r="O490">
        <f>_xlfn.XLOOKUP(I490,Helper_Table!A:A,Helper_Table!B:B)</f>
        <v>0.9</v>
      </c>
      <c r="P490" s="1">
        <f t="shared" si="45"/>
        <v>13402.800000000001</v>
      </c>
      <c r="Q490" s="4">
        <f t="shared" si="46"/>
        <v>1.1111111111111109</v>
      </c>
      <c r="R490" t="str">
        <f t="shared" si="47"/>
        <v>Achieved</v>
      </c>
    </row>
    <row r="491" spans="1:18">
      <c r="A491" t="s">
        <v>24</v>
      </c>
      <c r="B491" t="s">
        <v>12</v>
      </c>
      <c r="C491" t="s">
        <v>13</v>
      </c>
      <c r="D491" t="s">
        <v>14</v>
      </c>
      <c r="E491" t="s">
        <v>22</v>
      </c>
      <c r="F491">
        <v>1147</v>
      </c>
      <c r="G491" s="1">
        <v>31546</v>
      </c>
      <c r="H491" s="2">
        <v>45263</v>
      </c>
      <c r="I491" t="s">
        <v>16</v>
      </c>
      <c r="J491" t="s">
        <v>529</v>
      </c>
      <c r="K491" t="s">
        <v>47</v>
      </c>
      <c r="L491" t="str">
        <f t="shared" si="42"/>
        <v>Dec</v>
      </c>
      <c r="M491" t="str">
        <f t="shared" si="43"/>
        <v>Q4</v>
      </c>
      <c r="N491" t="str">
        <f t="shared" si="44"/>
        <v>Medium</v>
      </c>
      <c r="O491">
        <f>_xlfn.XLOOKUP(I491,Helper_Table!A:A,Helper_Table!B:B)</f>
        <v>1.1000000000000001</v>
      </c>
      <c r="P491" s="1">
        <f t="shared" si="45"/>
        <v>34700.600000000006</v>
      </c>
      <c r="Q491" s="4">
        <f t="shared" si="46"/>
        <v>0.90909090909090895</v>
      </c>
      <c r="R491" t="str">
        <f t="shared" si="47"/>
        <v>Below Target</v>
      </c>
    </row>
    <row r="492" spans="1:18">
      <c r="A492" t="s">
        <v>64</v>
      </c>
      <c r="B492" t="s">
        <v>36</v>
      </c>
      <c r="C492" t="s">
        <v>25</v>
      </c>
      <c r="D492" t="s">
        <v>31</v>
      </c>
      <c r="E492">
        <v>60</v>
      </c>
      <c r="F492">
        <v>157</v>
      </c>
      <c r="G492" s="1">
        <v>25507</v>
      </c>
      <c r="H492" s="2">
        <v>45177</v>
      </c>
      <c r="I492" t="s">
        <v>32</v>
      </c>
      <c r="J492" t="s">
        <v>530</v>
      </c>
      <c r="K492" t="s">
        <v>47</v>
      </c>
      <c r="L492" t="str">
        <f t="shared" si="42"/>
        <v>Sep</v>
      </c>
      <c r="M492" t="str">
        <f t="shared" si="43"/>
        <v>Q3</v>
      </c>
      <c r="N492" t="str">
        <f t="shared" si="44"/>
        <v>Medium</v>
      </c>
      <c r="O492">
        <f>_xlfn.XLOOKUP(I492,Helper_Table!A:A,Helper_Table!B:B)</f>
        <v>0.95</v>
      </c>
      <c r="P492" s="1">
        <f t="shared" si="45"/>
        <v>24231.649999999998</v>
      </c>
      <c r="Q492" s="4">
        <f t="shared" si="46"/>
        <v>1.0526315789473686</v>
      </c>
      <c r="R492" t="str">
        <f t="shared" si="47"/>
        <v>Achieved</v>
      </c>
    </row>
    <row r="493" spans="1:18">
      <c r="A493" t="s">
        <v>45</v>
      </c>
      <c r="B493" t="s">
        <v>19</v>
      </c>
      <c r="C493" t="s">
        <v>25</v>
      </c>
      <c r="D493" t="s">
        <v>14</v>
      </c>
      <c r="E493">
        <v>30</v>
      </c>
      <c r="F493">
        <v>110</v>
      </c>
      <c r="G493" s="1">
        <v>48715</v>
      </c>
      <c r="H493" s="2">
        <v>45417</v>
      </c>
      <c r="I493" t="s">
        <v>16</v>
      </c>
      <c r="J493" t="s">
        <v>531</v>
      </c>
      <c r="K493" t="s">
        <v>18</v>
      </c>
      <c r="L493" t="str">
        <f t="shared" si="42"/>
        <v>May</v>
      </c>
      <c r="M493" t="str">
        <f t="shared" si="43"/>
        <v>Q2</v>
      </c>
      <c r="N493" t="str">
        <f t="shared" si="44"/>
        <v>High</v>
      </c>
      <c r="O493">
        <f>_xlfn.XLOOKUP(I493,Helper_Table!A:A,Helper_Table!B:B)</f>
        <v>1.1000000000000001</v>
      </c>
      <c r="P493" s="1">
        <f t="shared" si="45"/>
        <v>53586.500000000007</v>
      </c>
      <c r="Q493" s="4">
        <f t="shared" si="46"/>
        <v>0.90909090909090895</v>
      </c>
      <c r="R493" t="str">
        <f t="shared" si="47"/>
        <v>Below Target</v>
      </c>
    </row>
    <row r="494" spans="1:18">
      <c r="A494" t="s">
        <v>35</v>
      </c>
      <c r="B494" t="s">
        <v>36</v>
      </c>
      <c r="C494" t="s">
        <v>30</v>
      </c>
      <c r="D494" t="s">
        <v>26</v>
      </c>
      <c r="E494" t="s">
        <v>22</v>
      </c>
      <c r="F494">
        <v>1496</v>
      </c>
      <c r="G494" s="1">
        <v>30359</v>
      </c>
      <c r="H494" s="2">
        <v>45295</v>
      </c>
      <c r="I494" t="s">
        <v>39</v>
      </c>
      <c r="J494" t="s">
        <v>532</v>
      </c>
      <c r="K494" t="s">
        <v>44</v>
      </c>
      <c r="L494" t="str">
        <f t="shared" si="42"/>
        <v>Jan</v>
      </c>
      <c r="M494" t="str">
        <f t="shared" si="43"/>
        <v>Q1</v>
      </c>
      <c r="N494" t="str">
        <f t="shared" si="44"/>
        <v>Medium</v>
      </c>
      <c r="O494">
        <f>_xlfn.XLOOKUP(I494,Helper_Table!A:A,Helper_Table!B:B)</f>
        <v>1.1000000000000001</v>
      </c>
      <c r="P494" s="1">
        <f t="shared" si="45"/>
        <v>33394.9</v>
      </c>
      <c r="Q494" s="4">
        <f t="shared" si="46"/>
        <v>0.90909090909090906</v>
      </c>
      <c r="R494" t="str">
        <f t="shared" si="47"/>
        <v>Below Target</v>
      </c>
    </row>
    <row r="495" spans="1:18">
      <c r="A495" t="s">
        <v>64</v>
      </c>
      <c r="B495" t="s">
        <v>36</v>
      </c>
      <c r="C495" t="s">
        <v>59</v>
      </c>
      <c r="D495" t="s">
        <v>26</v>
      </c>
      <c r="E495" t="s">
        <v>15</v>
      </c>
      <c r="F495">
        <v>1677</v>
      </c>
      <c r="G495" s="1">
        <v>14519</v>
      </c>
      <c r="H495" s="2">
        <v>45421</v>
      </c>
      <c r="I495" t="s">
        <v>27</v>
      </c>
      <c r="J495" t="s">
        <v>533</v>
      </c>
      <c r="K495" t="s">
        <v>18</v>
      </c>
      <c r="L495" t="str">
        <f t="shared" si="42"/>
        <v>May</v>
      </c>
      <c r="M495" t="str">
        <f t="shared" si="43"/>
        <v>Q2</v>
      </c>
      <c r="N495" t="str">
        <f t="shared" si="44"/>
        <v>Low</v>
      </c>
      <c r="O495">
        <f>_xlfn.XLOOKUP(I495,Helper_Table!A:A,Helper_Table!B:B)</f>
        <v>0.9</v>
      </c>
      <c r="P495" s="1">
        <f t="shared" si="45"/>
        <v>13067.1</v>
      </c>
      <c r="Q495" s="4">
        <f t="shared" si="46"/>
        <v>1.1111111111111112</v>
      </c>
      <c r="R495" t="str">
        <f t="shared" si="47"/>
        <v>Achieved</v>
      </c>
    </row>
    <row r="496" spans="1:18">
      <c r="A496" t="s">
        <v>35</v>
      </c>
      <c r="B496" t="s">
        <v>49</v>
      </c>
      <c r="C496" t="s">
        <v>59</v>
      </c>
      <c r="D496" t="s">
        <v>31</v>
      </c>
      <c r="E496">
        <v>30</v>
      </c>
      <c r="F496">
        <v>103</v>
      </c>
      <c r="G496" s="1">
        <v>39963</v>
      </c>
      <c r="H496" s="2">
        <v>45317</v>
      </c>
      <c r="I496" t="s">
        <v>41</v>
      </c>
      <c r="J496" t="s">
        <v>534</v>
      </c>
      <c r="K496" t="s">
        <v>47</v>
      </c>
      <c r="L496" t="str">
        <f t="shared" si="42"/>
        <v>Jan</v>
      </c>
      <c r="M496" t="str">
        <f t="shared" si="43"/>
        <v>Q1</v>
      </c>
      <c r="N496" t="str">
        <f t="shared" si="44"/>
        <v>Medium</v>
      </c>
      <c r="O496">
        <f>_xlfn.XLOOKUP(I496,Helper_Table!A:A,Helper_Table!B:B)</f>
        <v>1.2</v>
      </c>
      <c r="P496" s="1">
        <f t="shared" si="45"/>
        <v>47955.6</v>
      </c>
      <c r="Q496" s="4">
        <f t="shared" si="46"/>
        <v>0.83333333333333337</v>
      </c>
      <c r="R496" t="str">
        <f t="shared" si="47"/>
        <v>Below Target</v>
      </c>
    </row>
    <row r="497" spans="1:18">
      <c r="A497" t="s">
        <v>64</v>
      </c>
      <c r="B497" t="s">
        <v>12</v>
      </c>
      <c r="C497" t="s">
        <v>20</v>
      </c>
      <c r="D497" t="s">
        <v>66</v>
      </c>
      <c r="E497">
        <v>30</v>
      </c>
      <c r="F497">
        <v>621</v>
      </c>
      <c r="G497" s="1">
        <v>14108</v>
      </c>
      <c r="H497" s="2">
        <v>45358</v>
      </c>
      <c r="I497" t="s">
        <v>27</v>
      </c>
      <c r="J497" t="s">
        <v>535</v>
      </c>
      <c r="K497" t="s">
        <v>34</v>
      </c>
      <c r="L497" t="str">
        <f t="shared" si="42"/>
        <v>Mar</v>
      </c>
      <c r="M497" t="str">
        <f t="shared" si="43"/>
        <v>Q1</v>
      </c>
      <c r="N497" t="str">
        <f t="shared" si="44"/>
        <v>Low</v>
      </c>
      <c r="O497">
        <f>_xlfn.XLOOKUP(I497,Helper_Table!A:A,Helper_Table!B:B)</f>
        <v>0.9</v>
      </c>
      <c r="P497" s="1">
        <f t="shared" si="45"/>
        <v>12697.2</v>
      </c>
      <c r="Q497" s="4">
        <f t="shared" si="46"/>
        <v>1.1111111111111109</v>
      </c>
      <c r="R497" t="str">
        <f t="shared" si="47"/>
        <v>Achieved</v>
      </c>
    </row>
    <row r="498" spans="1:18">
      <c r="A498" t="s">
        <v>11</v>
      </c>
      <c r="B498" t="s">
        <v>36</v>
      </c>
      <c r="C498" t="s">
        <v>13</v>
      </c>
      <c r="D498" t="s">
        <v>21</v>
      </c>
      <c r="E498">
        <v>30</v>
      </c>
      <c r="F498">
        <v>467</v>
      </c>
      <c r="G498" s="1">
        <v>42438</v>
      </c>
      <c r="H498" s="2">
        <v>45396</v>
      </c>
      <c r="I498" t="s">
        <v>41</v>
      </c>
      <c r="J498" t="s">
        <v>536</v>
      </c>
      <c r="K498" t="s">
        <v>29</v>
      </c>
      <c r="L498" t="str">
        <f t="shared" si="42"/>
        <v>Apr</v>
      </c>
      <c r="M498" t="str">
        <f t="shared" si="43"/>
        <v>Q2</v>
      </c>
      <c r="N498" t="str">
        <f t="shared" si="44"/>
        <v>High</v>
      </c>
      <c r="O498">
        <f>_xlfn.XLOOKUP(I498,Helper_Table!A:A,Helper_Table!B:B)</f>
        <v>1.2</v>
      </c>
      <c r="P498" s="1">
        <f t="shared" si="45"/>
        <v>50925.599999999999</v>
      </c>
      <c r="Q498" s="4">
        <f t="shared" si="46"/>
        <v>0.83333333333333337</v>
      </c>
      <c r="R498" t="str">
        <f t="shared" si="47"/>
        <v>Below Target</v>
      </c>
    </row>
    <row r="499" spans="1:18">
      <c r="A499" t="s">
        <v>45</v>
      </c>
      <c r="B499" t="s">
        <v>36</v>
      </c>
      <c r="C499" t="s">
        <v>59</v>
      </c>
      <c r="D499" t="s">
        <v>26</v>
      </c>
      <c r="E499">
        <v>60</v>
      </c>
      <c r="F499">
        <v>528</v>
      </c>
      <c r="G499" s="1">
        <v>12478</v>
      </c>
      <c r="H499" s="2">
        <v>45492</v>
      </c>
      <c r="I499" t="s">
        <v>32</v>
      </c>
      <c r="J499" t="s">
        <v>537</v>
      </c>
      <c r="K499" t="s">
        <v>34</v>
      </c>
      <c r="L499" t="str">
        <f t="shared" si="42"/>
        <v>Jul</v>
      </c>
      <c r="M499" t="str">
        <f t="shared" si="43"/>
        <v>Q3</v>
      </c>
      <c r="N499" t="str">
        <f t="shared" si="44"/>
        <v>Low</v>
      </c>
      <c r="O499">
        <f>_xlfn.XLOOKUP(I499,Helper_Table!A:A,Helper_Table!B:B)</f>
        <v>0.95</v>
      </c>
      <c r="P499" s="1">
        <f t="shared" si="45"/>
        <v>11854.099999999999</v>
      </c>
      <c r="Q499" s="4">
        <f t="shared" si="46"/>
        <v>1.0526315789473686</v>
      </c>
      <c r="R499" t="str">
        <f t="shared" si="47"/>
        <v>Achieved</v>
      </c>
    </row>
    <row r="500" spans="1:18">
      <c r="A500" t="s">
        <v>11</v>
      </c>
      <c r="B500" t="s">
        <v>49</v>
      </c>
      <c r="C500" t="s">
        <v>59</v>
      </c>
      <c r="D500" t="s">
        <v>14</v>
      </c>
      <c r="E500">
        <v>30</v>
      </c>
      <c r="F500">
        <v>651</v>
      </c>
      <c r="G500" s="1">
        <v>43294</v>
      </c>
      <c r="H500" s="2">
        <v>45184</v>
      </c>
      <c r="I500" t="s">
        <v>27</v>
      </c>
      <c r="J500" t="s">
        <v>538</v>
      </c>
      <c r="K500" t="s">
        <v>34</v>
      </c>
      <c r="L500" t="str">
        <f t="shared" si="42"/>
        <v>Sep</v>
      </c>
      <c r="M500" t="str">
        <f t="shared" si="43"/>
        <v>Q3</v>
      </c>
      <c r="N500" t="str">
        <f t="shared" si="44"/>
        <v>High</v>
      </c>
      <c r="O500">
        <f>_xlfn.XLOOKUP(I500,Helper_Table!A:A,Helper_Table!B:B)</f>
        <v>0.9</v>
      </c>
      <c r="P500" s="1">
        <f t="shared" si="45"/>
        <v>38964.6</v>
      </c>
      <c r="Q500" s="4">
        <f t="shared" si="46"/>
        <v>1.1111111111111112</v>
      </c>
      <c r="R500" t="str">
        <f t="shared" si="47"/>
        <v>Achieved</v>
      </c>
    </row>
    <row r="501" spans="1:18">
      <c r="A501" t="s">
        <v>35</v>
      </c>
      <c r="B501" t="s">
        <v>49</v>
      </c>
      <c r="C501" t="s">
        <v>25</v>
      </c>
      <c r="D501" t="s">
        <v>66</v>
      </c>
      <c r="E501" t="s">
        <v>22</v>
      </c>
      <c r="F501">
        <v>213</v>
      </c>
      <c r="G501" s="1">
        <v>41727</v>
      </c>
      <c r="H501" s="2">
        <v>45253</v>
      </c>
      <c r="I501" t="s">
        <v>32</v>
      </c>
      <c r="J501" t="s">
        <v>539</v>
      </c>
      <c r="K501" t="s">
        <v>44</v>
      </c>
      <c r="L501" t="str">
        <f t="shared" si="42"/>
        <v>Nov</v>
      </c>
      <c r="M501" t="str">
        <f t="shared" si="43"/>
        <v>Q4</v>
      </c>
      <c r="N501" t="str">
        <f t="shared" si="44"/>
        <v>High</v>
      </c>
      <c r="O501">
        <f>_xlfn.XLOOKUP(I501,Helper_Table!A:A,Helper_Table!B:B)</f>
        <v>0.95</v>
      </c>
      <c r="P501" s="1">
        <f t="shared" si="45"/>
        <v>39640.65</v>
      </c>
      <c r="Q501" s="4">
        <f t="shared" si="46"/>
        <v>1.0526315789473684</v>
      </c>
      <c r="R501" t="str">
        <f t="shared" si="47"/>
        <v>Achieved</v>
      </c>
    </row>
    <row r="502" spans="1:18">
      <c r="A502" t="s">
        <v>45</v>
      </c>
      <c r="B502" t="s">
        <v>49</v>
      </c>
      <c r="C502" t="s">
        <v>20</v>
      </c>
      <c r="D502" t="s">
        <v>66</v>
      </c>
      <c r="E502" t="s">
        <v>15</v>
      </c>
      <c r="F502">
        <v>1808</v>
      </c>
      <c r="G502" s="1">
        <v>18900</v>
      </c>
      <c r="H502" s="2">
        <v>45365</v>
      </c>
      <c r="I502" t="s">
        <v>32</v>
      </c>
      <c r="J502" t="s">
        <v>540</v>
      </c>
      <c r="K502" t="s">
        <v>29</v>
      </c>
      <c r="L502" t="str">
        <f t="shared" si="42"/>
        <v>Mar</v>
      </c>
      <c r="M502" t="str">
        <f t="shared" si="43"/>
        <v>Q1</v>
      </c>
      <c r="N502" t="str">
        <f t="shared" si="44"/>
        <v>Low</v>
      </c>
      <c r="O502">
        <f>_xlfn.XLOOKUP(I502,Helper_Table!A:A,Helper_Table!B:B)</f>
        <v>0.95</v>
      </c>
      <c r="P502" s="1">
        <f t="shared" si="45"/>
        <v>17955</v>
      </c>
      <c r="Q502" s="4">
        <f t="shared" si="46"/>
        <v>1.0526315789473684</v>
      </c>
      <c r="R502" t="str">
        <f t="shared" si="47"/>
        <v>Achieved</v>
      </c>
    </row>
    <row r="503" spans="1:18">
      <c r="A503" t="s">
        <v>11</v>
      </c>
      <c r="B503" t="s">
        <v>51</v>
      </c>
      <c r="C503" t="s">
        <v>13</v>
      </c>
      <c r="D503" t="s">
        <v>14</v>
      </c>
      <c r="E503">
        <v>30</v>
      </c>
      <c r="F503">
        <v>979</v>
      </c>
      <c r="G503" s="1">
        <v>33935</v>
      </c>
      <c r="H503" s="2">
        <v>45274</v>
      </c>
      <c r="I503" t="s">
        <v>39</v>
      </c>
      <c r="J503" t="s">
        <v>541</v>
      </c>
      <c r="K503" t="s">
        <v>44</v>
      </c>
      <c r="L503" t="str">
        <f t="shared" si="42"/>
        <v>Dec</v>
      </c>
      <c r="M503" t="str">
        <f t="shared" si="43"/>
        <v>Q4</v>
      </c>
      <c r="N503" t="str">
        <f t="shared" si="44"/>
        <v>Medium</v>
      </c>
      <c r="O503">
        <f>_xlfn.XLOOKUP(I503,Helper_Table!A:A,Helper_Table!B:B)</f>
        <v>1.1000000000000001</v>
      </c>
      <c r="P503" s="1">
        <f t="shared" si="45"/>
        <v>37328.5</v>
      </c>
      <c r="Q503" s="4">
        <f t="shared" si="46"/>
        <v>0.90909090909090906</v>
      </c>
      <c r="R503" t="str">
        <f t="shared" si="47"/>
        <v>Below Target</v>
      </c>
    </row>
    <row r="504" spans="1:18">
      <c r="A504" t="s">
        <v>24</v>
      </c>
      <c r="B504" t="s">
        <v>12</v>
      </c>
      <c r="C504" t="s">
        <v>30</v>
      </c>
      <c r="D504" t="s">
        <v>14</v>
      </c>
      <c r="E504" t="s">
        <v>38</v>
      </c>
      <c r="F504">
        <v>903</v>
      </c>
      <c r="G504" s="1">
        <v>29491</v>
      </c>
      <c r="H504" s="2">
        <v>45191</v>
      </c>
      <c r="I504" t="s">
        <v>27</v>
      </c>
      <c r="J504" t="s">
        <v>542</v>
      </c>
      <c r="K504" t="s">
        <v>44</v>
      </c>
      <c r="L504" t="str">
        <f t="shared" si="42"/>
        <v>Sep</v>
      </c>
      <c r="M504" t="str">
        <f t="shared" si="43"/>
        <v>Q3</v>
      </c>
      <c r="N504" t="str">
        <f t="shared" si="44"/>
        <v>Medium</v>
      </c>
      <c r="O504">
        <f>_xlfn.XLOOKUP(I504,Helper_Table!A:A,Helper_Table!B:B)</f>
        <v>0.9</v>
      </c>
      <c r="P504" s="1">
        <f t="shared" si="45"/>
        <v>26541.9</v>
      </c>
      <c r="Q504" s="4">
        <f t="shared" si="46"/>
        <v>1.1111111111111112</v>
      </c>
      <c r="R504" t="str">
        <f t="shared" si="47"/>
        <v>Achieved</v>
      </c>
    </row>
    <row r="505" spans="1:18">
      <c r="A505" t="s">
        <v>64</v>
      </c>
      <c r="B505" t="s">
        <v>51</v>
      </c>
      <c r="C505" t="s">
        <v>13</v>
      </c>
      <c r="D505" t="s">
        <v>21</v>
      </c>
      <c r="E505" t="s">
        <v>38</v>
      </c>
      <c r="F505">
        <v>1873</v>
      </c>
      <c r="G505" s="1">
        <v>47958</v>
      </c>
      <c r="H505" s="2">
        <v>45239</v>
      </c>
      <c r="I505" t="s">
        <v>16</v>
      </c>
      <c r="J505" t="s">
        <v>543</v>
      </c>
      <c r="K505" t="s">
        <v>29</v>
      </c>
      <c r="L505" t="str">
        <f t="shared" si="42"/>
        <v>Nov</v>
      </c>
      <c r="M505" t="str">
        <f t="shared" si="43"/>
        <v>Q4</v>
      </c>
      <c r="N505" t="str">
        <f t="shared" si="44"/>
        <v>High</v>
      </c>
      <c r="O505">
        <f>_xlfn.XLOOKUP(I505,Helper_Table!A:A,Helper_Table!B:B)</f>
        <v>1.1000000000000001</v>
      </c>
      <c r="P505" s="1">
        <f t="shared" si="45"/>
        <v>52753.8</v>
      </c>
      <c r="Q505" s="4">
        <f t="shared" si="46"/>
        <v>0.90909090909090906</v>
      </c>
      <c r="R505" t="str">
        <f t="shared" si="47"/>
        <v>Below Target</v>
      </c>
    </row>
    <row r="506" spans="1:18">
      <c r="A506" t="s">
        <v>64</v>
      </c>
      <c r="B506" t="s">
        <v>19</v>
      </c>
      <c r="C506" t="s">
        <v>59</v>
      </c>
      <c r="D506" t="s">
        <v>14</v>
      </c>
      <c r="E506">
        <v>30</v>
      </c>
      <c r="F506">
        <v>1575</v>
      </c>
      <c r="G506" s="1">
        <v>39809</v>
      </c>
      <c r="H506" s="2">
        <v>45285</v>
      </c>
      <c r="I506" t="s">
        <v>32</v>
      </c>
      <c r="J506" t="s">
        <v>544</v>
      </c>
      <c r="K506" t="s">
        <v>18</v>
      </c>
      <c r="L506" t="str">
        <f t="shared" si="42"/>
        <v>Dec</v>
      </c>
      <c r="M506" t="str">
        <f t="shared" si="43"/>
        <v>Q4</v>
      </c>
      <c r="N506" t="str">
        <f t="shared" si="44"/>
        <v>Medium</v>
      </c>
      <c r="O506">
        <f>_xlfn.XLOOKUP(I506,Helper_Table!A:A,Helper_Table!B:B)</f>
        <v>0.95</v>
      </c>
      <c r="P506" s="1">
        <f t="shared" si="45"/>
        <v>37818.549999999996</v>
      </c>
      <c r="Q506" s="4">
        <f t="shared" si="46"/>
        <v>1.0526315789473686</v>
      </c>
      <c r="R506" t="str">
        <f t="shared" si="47"/>
        <v>Achieved</v>
      </c>
    </row>
    <row r="507" spans="1:18">
      <c r="A507" t="s">
        <v>45</v>
      </c>
      <c r="B507" t="s">
        <v>36</v>
      </c>
      <c r="C507" t="s">
        <v>13</v>
      </c>
      <c r="D507" t="s">
        <v>26</v>
      </c>
      <c r="E507">
        <v>60</v>
      </c>
      <c r="F507">
        <v>1178</v>
      </c>
      <c r="G507" s="1">
        <v>26564</v>
      </c>
      <c r="H507" s="2">
        <v>45292</v>
      </c>
      <c r="I507" t="s">
        <v>32</v>
      </c>
      <c r="J507" t="s">
        <v>545</v>
      </c>
      <c r="K507" t="s">
        <v>44</v>
      </c>
      <c r="L507" t="str">
        <f t="shared" si="42"/>
        <v>Jan</v>
      </c>
      <c r="M507" t="str">
        <f t="shared" si="43"/>
        <v>Q1</v>
      </c>
      <c r="N507" t="str">
        <f t="shared" si="44"/>
        <v>Medium</v>
      </c>
      <c r="O507">
        <f>_xlfn.XLOOKUP(I507,Helper_Table!A:A,Helper_Table!B:B)</f>
        <v>0.95</v>
      </c>
      <c r="P507" s="1">
        <f t="shared" si="45"/>
        <v>25235.8</v>
      </c>
      <c r="Q507" s="4">
        <f t="shared" si="46"/>
        <v>1.0526315789473684</v>
      </c>
      <c r="R507" t="str">
        <f t="shared" si="47"/>
        <v>Achieved</v>
      </c>
    </row>
    <row r="508" spans="1:18">
      <c r="A508" t="s">
        <v>35</v>
      </c>
      <c r="B508" t="s">
        <v>49</v>
      </c>
      <c r="C508" t="s">
        <v>59</v>
      </c>
      <c r="D508" t="s">
        <v>31</v>
      </c>
      <c r="E508">
        <v>30</v>
      </c>
      <c r="F508">
        <v>136</v>
      </c>
      <c r="G508" s="1">
        <v>28942</v>
      </c>
      <c r="H508" s="2">
        <v>45230</v>
      </c>
      <c r="I508" t="s">
        <v>39</v>
      </c>
      <c r="J508" t="s">
        <v>546</v>
      </c>
      <c r="K508" t="s">
        <v>47</v>
      </c>
      <c r="L508" t="str">
        <f t="shared" si="42"/>
        <v>Oct</v>
      </c>
      <c r="M508" t="str">
        <f t="shared" si="43"/>
        <v>Q4</v>
      </c>
      <c r="N508" t="str">
        <f t="shared" si="44"/>
        <v>Medium</v>
      </c>
      <c r="O508">
        <f>_xlfn.XLOOKUP(I508,Helper_Table!A:A,Helper_Table!B:B)</f>
        <v>1.1000000000000001</v>
      </c>
      <c r="P508" s="1">
        <f t="shared" si="45"/>
        <v>31836.200000000004</v>
      </c>
      <c r="Q508" s="4">
        <f t="shared" si="46"/>
        <v>0.90909090909090895</v>
      </c>
      <c r="R508" t="str">
        <f t="shared" si="47"/>
        <v>Below Target</v>
      </c>
    </row>
    <row r="509" spans="1:18">
      <c r="A509" t="s">
        <v>35</v>
      </c>
      <c r="B509" t="s">
        <v>12</v>
      </c>
      <c r="C509" t="s">
        <v>13</v>
      </c>
      <c r="D509" t="s">
        <v>66</v>
      </c>
      <c r="E509" t="s">
        <v>15</v>
      </c>
      <c r="F509">
        <v>177</v>
      </c>
      <c r="G509" s="1">
        <v>38415</v>
      </c>
      <c r="H509" s="2">
        <v>45311</v>
      </c>
      <c r="I509" t="s">
        <v>39</v>
      </c>
      <c r="J509" t="s">
        <v>547</v>
      </c>
      <c r="K509" t="s">
        <v>47</v>
      </c>
      <c r="L509" t="str">
        <f t="shared" si="42"/>
        <v>Jan</v>
      </c>
      <c r="M509" t="str">
        <f t="shared" si="43"/>
        <v>Q1</v>
      </c>
      <c r="N509" t="str">
        <f t="shared" si="44"/>
        <v>Medium</v>
      </c>
      <c r="O509">
        <f>_xlfn.XLOOKUP(I509,Helper_Table!A:A,Helper_Table!B:B)</f>
        <v>1.1000000000000001</v>
      </c>
      <c r="P509" s="1">
        <f t="shared" si="45"/>
        <v>42256.5</v>
      </c>
      <c r="Q509" s="4">
        <f t="shared" si="46"/>
        <v>0.90909090909090906</v>
      </c>
      <c r="R509" t="str">
        <f t="shared" si="47"/>
        <v>Below Target</v>
      </c>
    </row>
    <row r="510" spans="1:18">
      <c r="A510" t="s">
        <v>35</v>
      </c>
      <c r="B510" t="s">
        <v>36</v>
      </c>
      <c r="C510" t="s">
        <v>25</v>
      </c>
      <c r="D510" t="s">
        <v>21</v>
      </c>
      <c r="E510" t="s">
        <v>38</v>
      </c>
      <c r="F510">
        <v>267</v>
      </c>
      <c r="G510" s="1">
        <v>37982</v>
      </c>
      <c r="H510" s="2">
        <v>45347</v>
      </c>
      <c r="I510" t="s">
        <v>27</v>
      </c>
      <c r="J510" t="s">
        <v>548</v>
      </c>
      <c r="K510" t="s">
        <v>44</v>
      </c>
      <c r="L510" t="str">
        <f t="shared" si="42"/>
        <v>Feb</v>
      </c>
      <c r="M510" t="str">
        <f t="shared" si="43"/>
        <v>Q1</v>
      </c>
      <c r="N510" t="str">
        <f t="shared" si="44"/>
        <v>Medium</v>
      </c>
      <c r="O510">
        <f>_xlfn.XLOOKUP(I510,Helper_Table!A:A,Helper_Table!B:B)</f>
        <v>0.9</v>
      </c>
      <c r="P510" s="1">
        <f t="shared" si="45"/>
        <v>34183.800000000003</v>
      </c>
      <c r="Q510" s="4">
        <f t="shared" si="46"/>
        <v>1.1111111111111109</v>
      </c>
      <c r="R510" t="str">
        <f t="shared" si="47"/>
        <v>Achieved</v>
      </c>
    </row>
    <row r="511" spans="1:18">
      <c r="A511" t="s">
        <v>45</v>
      </c>
      <c r="B511" t="s">
        <v>49</v>
      </c>
      <c r="C511" t="s">
        <v>59</v>
      </c>
      <c r="D511" t="s">
        <v>31</v>
      </c>
      <c r="E511" t="s">
        <v>38</v>
      </c>
      <c r="F511">
        <v>539</v>
      </c>
      <c r="G511" s="1">
        <v>28332</v>
      </c>
      <c r="H511" s="2">
        <v>45466</v>
      </c>
      <c r="I511" t="s">
        <v>16</v>
      </c>
      <c r="J511" t="s">
        <v>549</v>
      </c>
      <c r="K511" t="s">
        <v>29</v>
      </c>
      <c r="L511" t="str">
        <f t="shared" si="42"/>
        <v>Jun</v>
      </c>
      <c r="M511" t="str">
        <f t="shared" si="43"/>
        <v>Q2</v>
      </c>
      <c r="N511" t="str">
        <f t="shared" si="44"/>
        <v>Medium</v>
      </c>
      <c r="O511">
        <f>_xlfn.XLOOKUP(I511,Helper_Table!A:A,Helper_Table!B:B)</f>
        <v>1.1000000000000001</v>
      </c>
      <c r="P511" s="1">
        <f t="shared" si="45"/>
        <v>31165.200000000001</v>
      </c>
      <c r="Q511" s="4">
        <f t="shared" si="46"/>
        <v>0.90909090909090906</v>
      </c>
      <c r="R511" t="str">
        <f t="shared" si="47"/>
        <v>Below Target</v>
      </c>
    </row>
    <row r="512" spans="1:18">
      <c r="A512" t="s">
        <v>11</v>
      </c>
      <c r="B512" t="s">
        <v>49</v>
      </c>
      <c r="C512" t="s">
        <v>20</v>
      </c>
      <c r="D512" t="s">
        <v>14</v>
      </c>
      <c r="E512" t="s">
        <v>22</v>
      </c>
      <c r="F512">
        <v>1637</v>
      </c>
      <c r="G512" s="1">
        <v>28078</v>
      </c>
      <c r="H512" s="2">
        <v>45280</v>
      </c>
      <c r="I512" t="s">
        <v>16</v>
      </c>
      <c r="J512" t="s">
        <v>550</v>
      </c>
      <c r="K512" t="s">
        <v>34</v>
      </c>
      <c r="L512" t="str">
        <f t="shared" si="42"/>
        <v>Dec</v>
      </c>
      <c r="M512" t="str">
        <f t="shared" si="43"/>
        <v>Q4</v>
      </c>
      <c r="N512" t="str">
        <f t="shared" si="44"/>
        <v>Medium</v>
      </c>
      <c r="O512">
        <f>_xlfn.XLOOKUP(I512,Helper_Table!A:A,Helper_Table!B:B)</f>
        <v>1.1000000000000001</v>
      </c>
      <c r="P512" s="1">
        <f t="shared" si="45"/>
        <v>30885.800000000003</v>
      </c>
      <c r="Q512" s="4">
        <f t="shared" si="46"/>
        <v>0.90909090909090906</v>
      </c>
      <c r="R512" t="str">
        <f t="shared" si="47"/>
        <v>Below Target</v>
      </c>
    </row>
    <row r="513" spans="1:18">
      <c r="A513" t="s">
        <v>24</v>
      </c>
      <c r="B513" t="s">
        <v>36</v>
      </c>
      <c r="C513" t="s">
        <v>30</v>
      </c>
      <c r="D513" t="s">
        <v>14</v>
      </c>
      <c r="E513" t="s">
        <v>15</v>
      </c>
      <c r="F513">
        <v>895</v>
      </c>
      <c r="G513" s="1">
        <v>1117</v>
      </c>
      <c r="H513" s="2">
        <v>45398</v>
      </c>
      <c r="I513" t="s">
        <v>27</v>
      </c>
      <c r="J513" t="s">
        <v>551</v>
      </c>
      <c r="K513" t="s">
        <v>29</v>
      </c>
      <c r="L513" t="str">
        <f t="shared" si="42"/>
        <v>Apr</v>
      </c>
      <c r="M513" t="str">
        <f t="shared" si="43"/>
        <v>Q2</v>
      </c>
      <c r="N513" t="str">
        <f t="shared" si="44"/>
        <v>Low</v>
      </c>
      <c r="O513">
        <f>_xlfn.XLOOKUP(I513,Helper_Table!A:A,Helper_Table!B:B)</f>
        <v>0.9</v>
      </c>
      <c r="P513" s="1">
        <f t="shared" si="45"/>
        <v>1005.3000000000001</v>
      </c>
      <c r="Q513" s="4">
        <f t="shared" si="46"/>
        <v>1.1111111111111109</v>
      </c>
      <c r="R513" t="str">
        <f t="shared" si="47"/>
        <v>Achieved</v>
      </c>
    </row>
    <row r="514" spans="1:18">
      <c r="A514" t="s">
        <v>45</v>
      </c>
      <c r="B514" t="s">
        <v>51</v>
      </c>
      <c r="C514" t="s">
        <v>59</v>
      </c>
      <c r="D514" t="s">
        <v>14</v>
      </c>
      <c r="E514" t="s">
        <v>15</v>
      </c>
      <c r="F514">
        <v>545</v>
      </c>
      <c r="G514" s="1">
        <v>7812</v>
      </c>
      <c r="H514" s="2">
        <v>45366</v>
      </c>
      <c r="I514" t="s">
        <v>27</v>
      </c>
      <c r="J514" t="s">
        <v>552</v>
      </c>
      <c r="K514" t="s">
        <v>18</v>
      </c>
      <c r="L514" t="str">
        <f t="shared" ref="L514:L577" si="48">TEXT(H514,"MMM")</f>
        <v>Mar</v>
      </c>
      <c r="M514" t="str">
        <f t="shared" ref="M514:M577" si="49">"Q"&amp;ROUNDUP(MONTH(H514)/3,0)</f>
        <v>Q1</v>
      </c>
      <c r="N514" t="str">
        <f t="shared" ref="N514:N577" si="50">IF(G514&gt;40000,"High",
IF(G514&gt;20000,"Medium","Low"))</f>
        <v>Low</v>
      </c>
      <c r="O514">
        <f>_xlfn.XLOOKUP(I514,Helper_Table!A:A,Helper_Table!B:B)</f>
        <v>0.9</v>
      </c>
      <c r="P514" s="1">
        <f t="shared" ref="P514:P577" si="51">G514*O514</f>
        <v>7030.8</v>
      </c>
      <c r="Q514" s="4">
        <f t="shared" ref="Q514:Q577" si="52">G514/P514</f>
        <v>1.1111111111111112</v>
      </c>
      <c r="R514" t="str">
        <f t="shared" ref="R514:R577" si="53">IF(Q514&gt;=1,"Achieved","Below Target")</f>
        <v>Achieved</v>
      </c>
    </row>
    <row r="515" spans="1:18">
      <c r="A515" t="s">
        <v>64</v>
      </c>
      <c r="B515" t="s">
        <v>49</v>
      </c>
      <c r="C515" t="s">
        <v>59</v>
      </c>
      <c r="D515" t="s">
        <v>31</v>
      </c>
      <c r="E515">
        <v>60</v>
      </c>
      <c r="F515">
        <v>809</v>
      </c>
      <c r="G515" s="1">
        <v>34972</v>
      </c>
      <c r="H515" s="2">
        <v>45162</v>
      </c>
      <c r="I515" t="s">
        <v>32</v>
      </c>
      <c r="J515" t="s">
        <v>553</v>
      </c>
      <c r="K515" t="s">
        <v>29</v>
      </c>
      <c r="L515" t="str">
        <f t="shared" si="48"/>
        <v>Aug</v>
      </c>
      <c r="M515" t="str">
        <f t="shared" si="49"/>
        <v>Q3</v>
      </c>
      <c r="N515" t="str">
        <f t="shared" si="50"/>
        <v>Medium</v>
      </c>
      <c r="O515">
        <f>_xlfn.XLOOKUP(I515,Helper_Table!A:A,Helper_Table!B:B)</f>
        <v>0.95</v>
      </c>
      <c r="P515" s="1">
        <f t="shared" si="51"/>
        <v>33223.4</v>
      </c>
      <c r="Q515" s="4">
        <f t="shared" si="52"/>
        <v>1.0526315789473684</v>
      </c>
      <c r="R515" t="str">
        <f t="shared" si="53"/>
        <v>Achieved</v>
      </c>
    </row>
    <row r="516" spans="1:18">
      <c r="A516" t="s">
        <v>24</v>
      </c>
      <c r="B516" t="s">
        <v>19</v>
      </c>
      <c r="C516" t="s">
        <v>25</v>
      </c>
      <c r="D516" t="s">
        <v>26</v>
      </c>
      <c r="E516" t="s">
        <v>15</v>
      </c>
      <c r="F516">
        <v>251</v>
      </c>
      <c r="G516" s="1">
        <v>33441</v>
      </c>
      <c r="H516" s="2">
        <v>45145</v>
      </c>
      <c r="I516" t="s">
        <v>39</v>
      </c>
      <c r="J516" t="s">
        <v>554</v>
      </c>
      <c r="K516" t="s">
        <v>34</v>
      </c>
      <c r="L516" t="str">
        <f t="shared" si="48"/>
        <v>Aug</v>
      </c>
      <c r="M516" t="str">
        <f t="shared" si="49"/>
        <v>Q3</v>
      </c>
      <c r="N516" t="str">
        <f t="shared" si="50"/>
        <v>Medium</v>
      </c>
      <c r="O516">
        <f>_xlfn.XLOOKUP(I516,Helper_Table!A:A,Helper_Table!B:B)</f>
        <v>1.1000000000000001</v>
      </c>
      <c r="P516" s="1">
        <f t="shared" si="51"/>
        <v>36785.100000000006</v>
      </c>
      <c r="Q516" s="4">
        <f t="shared" si="52"/>
        <v>0.90909090909090895</v>
      </c>
      <c r="R516" t="str">
        <f t="shared" si="53"/>
        <v>Below Target</v>
      </c>
    </row>
    <row r="517" spans="1:18">
      <c r="A517" t="s">
        <v>64</v>
      </c>
      <c r="B517" t="s">
        <v>19</v>
      </c>
      <c r="C517" t="s">
        <v>20</v>
      </c>
      <c r="D517" t="s">
        <v>14</v>
      </c>
      <c r="E517" t="s">
        <v>15</v>
      </c>
      <c r="F517">
        <v>954</v>
      </c>
      <c r="G517" s="1">
        <v>6130</v>
      </c>
      <c r="H517" s="2">
        <v>45158</v>
      </c>
      <c r="I517" t="s">
        <v>27</v>
      </c>
      <c r="J517" t="s">
        <v>555</v>
      </c>
      <c r="K517" t="s">
        <v>34</v>
      </c>
      <c r="L517" t="str">
        <f t="shared" si="48"/>
        <v>Aug</v>
      </c>
      <c r="M517" t="str">
        <f t="shared" si="49"/>
        <v>Q3</v>
      </c>
      <c r="N517" t="str">
        <f t="shared" si="50"/>
        <v>Low</v>
      </c>
      <c r="O517">
        <f>_xlfn.XLOOKUP(I517,Helper_Table!A:A,Helper_Table!B:B)</f>
        <v>0.9</v>
      </c>
      <c r="P517" s="1">
        <f t="shared" si="51"/>
        <v>5517</v>
      </c>
      <c r="Q517" s="4">
        <f t="shared" si="52"/>
        <v>1.1111111111111112</v>
      </c>
      <c r="R517" t="str">
        <f t="shared" si="53"/>
        <v>Achieved</v>
      </c>
    </row>
    <row r="518" spans="1:18">
      <c r="A518" t="s">
        <v>11</v>
      </c>
      <c r="B518" t="s">
        <v>36</v>
      </c>
      <c r="C518" t="s">
        <v>59</v>
      </c>
      <c r="D518" t="s">
        <v>21</v>
      </c>
      <c r="E518" t="s">
        <v>15</v>
      </c>
      <c r="F518">
        <v>1105</v>
      </c>
      <c r="G518" s="1">
        <v>9186</v>
      </c>
      <c r="H518" s="2">
        <v>45216</v>
      </c>
      <c r="I518" t="s">
        <v>41</v>
      </c>
      <c r="J518" t="s">
        <v>556</v>
      </c>
      <c r="K518" t="s">
        <v>29</v>
      </c>
      <c r="L518" t="str">
        <f t="shared" si="48"/>
        <v>Oct</v>
      </c>
      <c r="M518" t="str">
        <f t="shared" si="49"/>
        <v>Q4</v>
      </c>
      <c r="N518" t="str">
        <f t="shared" si="50"/>
        <v>Low</v>
      </c>
      <c r="O518">
        <f>_xlfn.XLOOKUP(I518,Helper_Table!A:A,Helper_Table!B:B)</f>
        <v>1.2</v>
      </c>
      <c r="P518" s="1">
        <f t="shared" si="51"/>
        <v>11023.199999999999</v>
      </c>
      <c r="Q518" s="4">
        <f t="shared" si="52"/>
        <v>0.83333333333333337</v>
      </c>
      <c r="R518" t="str">
        <f t="shared" si="53"/>
        <v>Below Target</v>
      </c>
    </row>
    <row r="519" spans="1:18">
      <c r="A519" t="s">
        <v>45</v>
      </c>
      <c r="B519" t="s">
        <v>51</v>
      </c>
      <c r="C519" t="s">
        <v>25</v>
      </c>
      <c r="D519" t="s">
        <v>26</v>
      </c>
      <c r="E519" t="s">
        <v>15</v>
      </c>
      <c r="F519">
        <v>280</v>
      </c>
      <c r="G519" s="1">
        <v>41256</v>
      </c>
      <c r="H519" s="2">
        <v>45385</v>
      </c>
      <c r="I519" t="s">
        <v>32</v>
      </c>
      <c r="J519" t="s">
        <v>557</v>
      </c>
      <c r="K519" t="s">
        <v>34</v>
      </c>
      <c r="L519" t="str">
        <f t="shared" si="48"/>
        <v>Apr</v>
      </c>
      <c r="M519" t="str">
        <f t="shared" si="49"/>
        <v>Q2</v>
      </c>
      <c r="N519" t="str">
        <f t="shared" si="50"/>
        <v>High</v>
      </c>
      <c r="O519">
        <f>_xlfn.XLOOKUP(I519,Helper_Table!A:A,Helper_Table!B:B)</f>
        <v>0.95</v>
      </c>
      <c r="P519" s="1">
        <f t="shared" si="51"/>
        <v>39193.199999999997</v>
      </c>
      <c r="Q519" s="4">
        <f t="shared" si="52"/>
        <v>1.0526315789473686</v>
      </c>
      <c r="R519" t="str">
        <f t="shared" si="53"/>
        <v>Achieved</v>
      </c>
    </row>
    <row r="520" spans="1:18">
      <c r="A520" t="s">
        <v>35</v>
      </c>
      <c r="B520" t="s">
        <v>51</v>
      </c>
      <c r="C520" t="s">
        <v>59</v>
      </c>
      <c r="D520" t="s">
        <v>66</v>
      </c>
      <c r="E520">
        <v>30</v>
      </c>
      <c r="F520">
        <v>357</v>
      </c>
      <c r="G520" s="1">
        <v>2350</v>
      </c>
      <c r="H520" s="2">
        <v>45445</v>
      </c>
      <c r="I520" t="s">
        <v>16</v>
      </c>
      <c r="J520" t="s">
        <v>558</v>
      </c>
      <c r="K520" t="s">
        <v>44</v>
      </c>
      <c r="L520" t="str">
        <f t="shared" si="48"/>
        <v>Jun</v>
      </c>
      <c r="M520" t="str">
        <f t="shared" si="49"/>
        <v>Q2</v>
      </c>
      <c r="N520" t="str">
        <f t="shared" si="50"/>
        <v>Low</v>
      </c>
      <c r="O520">
        <f>_xlfn.XLOOKUP(I520,Helper_Table!A:A,Helper_Table!B:B)</f>
        <v>1.1000000000000001</v>
      </c>
      <c r="P520" s="1">
        <f t="shared" si="51"/>
        <v>2585</v>
      </c>
      <c r="Q520" s="4">
        <f t="shared" si="52"/>
        <v>0.90909090909090906</v>
      </c>
      <c r="R520" t="str">
        <f t="shared" si="53"/>
        <v>Below Target</v>
      </c>
    </row>
    <row r="521" spans="1:18">
      <c r="A521" t="s">
        <v>11</v>
      </c>
      <c r="B521" t="s">
        <v>36</v>
      </c>
      <c r="C521" t="s">
        <v>20</v>
      </c>
      <c r="D521" t="s">
        <v>26</v>
      </c>
      <c r="E521">
        <v>60</v>
      </c>
      <c r="F521">
        <v>1476</v>
      </c>
      <c r="G521" s="1">
        <v>21861</v>
      </c>
      <c r="H521" s="2">
        <v>45188</v>
      </c>
      <c r="I521" t="s">
        <v>32</v>
      </c>
      <c r="J521" t="s">
        <v>559</v>
      </c>
      <c r="K521" t="s">
        <v>34</v>
      </c>
      <c r="L521" t="str">
        <f t="shared" si="48"/>
        <v>Sep</v>
      </c>
      <c r="M521" t="str">
        <f t="shared" si="49"/>
        <v>Q3</v>
      </c>
      <c r="N521" t="str">
        <f t="shared" si="50"/>
        <v>Medium</v>
      </c>
      <c r="O521">
        <f>_xlfn.XLOOKUP(I521,Helper_Table!A:A,Helper_Table!B:B)</f>
        <v>0.95</v>
      </c>
      <c r="P521" s="1">
        <f t="shared" si="51"/>
        <v>20767.95</v>
      </c>
      <c r="Q521" s="4">
        <f t="shared" si="52"/>
        <v>1.0526315789473684</v>
      </c>
      <c r="R521" t="str">
        <f t="shared" si="53"/>
        <v>Achieved</v>
      </c>
    </row>
    <row r="522" spans="1:18">
      <c r="A522" t="s">
        <v>24</v>
      </c>
      <c r="B522" t="s">
        <v>36</v>
      </c>
      <c r="C522" t="s">
        <v>20</v>
      </c>
      <c r="D522" t="s">
        <v>31</v>
      </c>
      <c r="E522" t="s">
        <v>22</v>
      </c>
      <c r="F522">
        <v>1448</v>
      </c>
      <c r="G522" s="1">
        <v>37724</v>
      </c>
      <c r="H522" s="2">
        <v>45268</v>
      </c>
      <c r="I522" t="s">
        <v>39</v>
      </c>
      <c r="J522" t="s">
        <v>560</v>
      </c>
      <c r="K522" t="s">
        <v>18</v>
      </c>
      <c r="L522" t="str">
        <f t="shared" si="48"/>
        <v>Dec</v>
      </c>
      <c r="M522" t="str">
        <f t="shared" si="49"/>
        <v>Q4</v>
      </c>
      <c r="N522" t="str">
        <f t="shared" si="50"/>
        <v>Medium</v>
      </c>
      <c r="O522">
        <f>_xlfn.XLOOKUP(I522,Helper_Table!A:A,Helper_Table!B:B)</f>
        <v>1.1000000000000001</v>
      </c>
      <c r="P522" s="1">
        <f t="shared" si="51"/>
        <v>41496.400000000001</v>
      </c>
      <c r="Q522" s="4">
        <f t="shared" si="52"/>
        <v>0.90909090909090906</v>
      </c>
      <c r="R522" t="str">
        <f t="shared" si="53"/>
        <v>Below Target</v>
      </c>
    </row>
    <row r="523" spans="1:18">
      <c r="A523" t="s">
        <v>64</v>
      </c>
      <c r="B523" t="s">
        <v>49</v>
      </c>
      <c r="C523" t="s">
        <v>59</v>
      </c>
      <c r="D523" t="s">
        <v>14</v>
      </c>
      <c r="E523" t="s">
        <v>15</v>
      </c>
      <c r="F523">
        <v>1191</v>
      </c>
      <c r="G523" s="1">
        <v>27570</v>
      </c>
      <c r="H523" s="2">
        <v>45251</v>
      </c>
      <c r="I523" t="s">
        <v>39</v>
      </c>
      <c r="J523" t="s">
        <v>561</v>
      </c>
      <c r="K523" t="s">
        <v>29</v>
      </c>
      <c r="L523" t="str">
        <f t="shared" si="48"/>
        <v>Nov</v>
      </c>
      <c r="M523" t="str">
        <f t="shared" si="49"/>
        <v>Q4</v>
      </c>
      <c r="N523" t="str">
        <f t="shared" si="50"/>
        <v>Medium</v>
      </c>
      <c r="O523">
        <f>_xlfn.XLOOKUP(I523,Helper_Table!A:A,Helper_Table!B:B)</f>
        <v>1.1000000000000001</v>
      </c>
      <c r="P523" s="1">
        <f t="shared" si="51"/>
        <v>30327.000000000004</v>
      </c>
      <c r="Q523" s="4">
        <f t="shared" si="52"/>
        <v>0.90909090909090895</v>
      </c>
      <c r="R523" t="str">
        <f t="shared" si="53"/>
        <v>Below Target</v>
      </c>
    </row>
    <row r="524" spans="1:18">
      <c r="A524" t="s">
        <v>11</v>
      </c>
      <c r="B524" t="s">
        <v>19</v>
      </c>
      <c r="C524" t="s">
        <v>20</v>
      </c>
      <c r="D524" t="s">
        <v>66</v>
      </c>
      <c r="E524" t="s">
        <v>15</v>
      </c>
      <c r="F524">
        <v>451</v>
      </c>
      <c r="G524" s="1">
        <v>18899</v>
      </c>
      <c r="H524" s="2">
        <v>45388</v>
      </c>
      <c r="I524" t="s">
        <v>41</v>
      </c>
      <c r="J524" t="s">
        <v>562</v>
      </c>
      <c r="K524" t="s">
        <v>34</v>
      </c>
      <c r="L524" t="str">
        <f t="shared" si="48"/>
        <v>Apr</v>
      </c>
      <c r="M524" t="str">
        <f t="shared" si="49"/>
        <v>Q2</v>
      </c>
      <c r="N524" t="str">
        <f t="shared" si="50"/>
        <v>Low</v>
      </c>
      <c r="O524">
        <f>_xlfn.XLOOKUP(I524,Helper_Table!A:A,Helper_Table!B:B)</f>
        <v>1.2</v>
      </c>
      <c r="P524" s="1">
        <f t="shared" si="51"/>
        <v>22678.799999999999</v>
      </c>
      <c r="Q524" s="4">
        <f t="shared" si="52"/>
        <v>0.83333333333333337</v>
      </c>
      <c r="R524" t="str">
        <f t="shared" si="53"/>
        <v>Below Target</v>
      </c>
    </row>
    <row r="525" spans="1:18">
      <c r="A525" t="s">
        <v>11</v>
      </c>
      <c r="B525" t="s">
        <v>12</v>
      </c>
      <c r="C525" t="s">
        <v>25</v>
      </c>
      <c r="D525" t="s">
        <v>26</v>
      </c>
      <c r="E525">
        <v>60</v>
      </c>
      <c r="F525">
        <v>1978</v>
      </c>
      <c r="G525" s="1">
        <v>23993</v>
      </c>
      <c r="H525" s="2">
        <v>45447</v>
      </c>
      <c r="I525" t="s">
        <v>39</v>
      </c>
      <c r="J525" t="s">
        <v>158</v>
      </c>
      <c r="K525" t="s">
        <v>34</v>
      </c>
      <c r="L525" t="str">
        <f t="shared" si="48"/>
        <v>Jun</v>
      </c>
      <c r="M525" t="str">
        <f t="shared" si="49"/>
        <v>Q2</v>
      </c>
      <c r="N525" t="str">
        <f t="shared" si="50"/>
        <v>Medium</v>
      </c>
      <c r="O525">
        <f>_xlfn.XLOOKUP(I525,Helper_Table!A:A,Helper_Table!B:B)</f>
        <v>1.1000000000000001</v>
      </c>
      <c r="P525" s="1">
        <f t="shared" si="51"/>
        <v>26392.300000000003</v>
      </c>
      <c r="Q525" s="4">
        <f t="shared" si="52"/>
        <v>0.90909090909090895</v>
      </c>
      <c r="R525" t="str">
        <f t="shared" si="53"/>
        <v>Below Target</v>
      </c>
    </row>
    <row r="526" spans="1:18">
      <c r="A526" t="s">
        <v>64</v>
      </c>
      <c r="B526" t="s">
        <v>36</v>
      </c>
      <c r="C526" t="s">
        <v>30</v>
      </c>
      <c r="D526" t="s">
        <v>31</v>
      </c>
      <c r="E526" t="s">
        <v>22</v>
      </c>
      <c r="F526">
        <v>403</v>
      </c>
      <c r="G526" s="1">
        <v>4075</v>
      </c>
      <c r="H526" s="2">
        <v>45367</v>
      </c>
      <c r="I526" t="s">
        <v>16</v>
      </c>
      <c r="J526" t="s">
        <v>563</v>
      </c>
      <c r="K526" t="s">
        <v>29</v>
      </c>
      <c r="L526" t="str">
        <f t="shared" si="48"/>
        <v>Mar</v>
      </c>
      <c r="M526" t="str">
        <f t="shared" si="49"/>
        <v>Q1</v>
      </c>
      <c r="N526" t="str">
        <f t="shared" si="50"/>
        <v>Low</v>
      </c>
      <c r="O526">
        <f>_xlfn.XLOOKUP(I526,Helper_Table!A:A,Helper_Table!B:B)</f>
        <v>1.1000000000000001</v>
      </c>
      <c r="P526" s="1">
        <f t="shared" si="51"/>
        <v>4482.5</v>
      </c>
      <c r="Q526" s="4">
        <f t="shared" si="52"/>
        <v>0.90909090909090906</v>
      </c>
      <c r="R526" t="str">
        <f t="shared" si="53"/>
        <v>Below Target</v>
      </c>
    </row>
    <row r="527" spans="1:18">
      <c r="A527" t="s">
        <v>64</v>
      </c>
      <c r="B527" t="s">
        <v>19</v>
      </c>
      <c r="C527" t="s">
        <v>20</v>
      </c>
      <c r="D527" t="s">
        <v>31</v>
      </c>
      <c r="E527" t="s">
        <v>15</v>
      </c>
      <c r="F527">
        <v>309</v>
      </c>
      <c r="G527" s="1">
        <v>38835</v>
      </c>
      <c r="H527" s="2">
        <v>45359</v>
      </c>
      <c r="I527" t="s">
        <v>41</v>
      </c>
      <c r="J527" t="s">
        <v>564</v>
      </c>
      <c r="K527" t="s">
        <v>29</v>
      </c>
      <c r="L527" t="str">
        <f t="shared" si="48"/>
        <v>Mar</v>
      </c>
      <c r="M527" t="str">
        <f t="shared" si="49"/>
        <v>Q1</v>
      </c>
      <c r="N527" t="str">
        <f t="shared" si="50"/>
        <v>Medium</v>
      </c>
      <c r="O527">
        <f>_xlfn.XLOOKUP(I527,Helper_Table!A:A,Helper_Table!B:B)</f>
        <v>1.2</v>
      </c>
      <c r="P527" s="1">
        <f t="shared" si="51"/>
        <v>46602</v>
      </c>
      <c r="Q527" s="4">
        <f t="shared" si="52"/>
        <v>0.83333333333333337</v>
      </c>
      <c r="R527" t="str">
        <f t="shared" si="53"/>
        <v>Below Target</v>
      </c>
    </row>
    <row r="528" spans="1:18">
      <c r="A528" t="s">
        <v>35</v>
      </c>
      <c r="B528" t="s">
        <v>12</v>
      </c>
      <c r="C528" t="s">
        <v>30</v>
      </c>
      <c r="D528" t="s">
        <v>31</v>
      </c>
      <c r="E528" t="s">
        <v>38</v>
      </c>
      <c r="F528">
        <v>1448</v>
      </c>
      <c r="G528" s="1">
        <v>13865</v>
      </c>
      <c r="H528" s="2">
        <v>45268</v>
      </c>
      <c r="I528" t="s">
        <v>16</v>
      </c>
      <c r="J528" t="s">
        <v>565</v>
      </c>
      <c r="K528" t="s">
        <v>47</v>
      </c>
      <c r="L528" t="str">
        <f t="shared" si="48"/>
        <v>Dec</v>
      </c>
      <c r="M528" t="str">
        <f t="shared" si="49"/>
        <v>Q4</v>
      </c>
      <c r="N528" t="str">
        <f t="shared" si="50"/>
        <v>Low</v>
      </c>
      <c r="O528">
        <f>_xlfn.XLOOKUP(I528,Helper_Table!A:A,Helper_Table!B:B)</f>
        <v>1.1000000000000001</v>
      </c>
      <c r="P528" s="1">
        <f t="shared" si="51"/>
        <v>15251.500000000002</v>
      </c>
      <c r="Q528" s="4">
        <f t="shared" si="52"/>
        <v>0.90909090909090895</v>
      </c>
      <c r="R528" t="str">
        <f t="shared" si="53"/>
        <v>Below Target</v>
      </c>
    </row>
    <row r="529" spans="1:18">
      <c r="A529" t="s">
        <v>64</v>
      </c>
      <c r="B529" t="s">
        <v>12</v>
      </c>
      <c r="C529" t="s">
        <v>20</v>
      </c>
      <c r="D529" t="s">
        <v>14</v>
      </c>
      <c r="E529" t="s">
        <v>15</v>
      </c>
      <c r="F529">
        <v>704</v>
      </c>
      <c r="G529" s="1">
        <v>12836</v>
      </c>
      <c r="H529" s="2">
        <v>45308</v>
      </c>
      <c r="I529" t="s">
        <v>27</v>
      </c>
      <c r="J529" t="s">
        <v>566</v>
      </c>
      <c r="K529" t="s">
        <v>18</v>
      </c>
      <c r="L529" t="str">
        <f t="shared" si="48"/>
        <v>Jan</v>
      </c>
      <c r="M529" t="str">
        <f t="shared" si="49"/>
        <v>Q1</v>
      </c>
      <c r="N529" t="str">
        <f t="shared" si="50"/>
        <v>Low</v>
      </c>
      <c r="O529">
        <f>_xlfn.XLOOKUP(I529,Helper_Table!A:A,Helper_Table!B:B)</f>
        <v>0.9</v>
      </c>
      <c r="P529" s="1">
        <f t="shared" si="51"/>
        <v>11552.4</v>
      </c>
      <c r="Q529" s="4">
        <f t="shared" si="52"/>
        <v>1.1111111111111112</v>
      </c>
      <c r="R529" t="str">
        <f t="shared" si="53"/>
        <v>Achieved</v>
      </c>
    </row>
    <row r="530" spans="1:18">
      <c r="A530" t="s">
        <v>11</v>
      </c>
      <c r="B530" t="s">
        <v>49</v>
      </c>
      <c r="C530" t="s">
        <v>59</v>
      </c>
      <c r="D530" t="s">
        <v>31</v>
      </c>
      <c r="E530">
        <v>30</v>
      </c>
      <c r="F530">
        <v>165</v>
      </c>
      <c r="G530" s="1">
        <v>32484</v>
      </c>
      <c r="H530" s="2">
        <v>45484</v>
      </c>
      <c r="I530" t="s">
        <v>27</v>
      </c>
      <c r="J530" t="s">
        <v>567</v>
      </c>
      <c r="K530" t="s">
        <v>34</v>
      </c>
      <c r="L530" t="str">
        <f t="shared" si="48"/>
        <v>Jul</v>
      </c>
      <c r="M530" t="str">
        <f t="shared" si="49"/>
        <v>Q3</v>
      </c>
      <c r="N530" t="str">
        <f t="shared" si="50"/>
        <v>Medium</v>
      </c>
      <c r="O530">
        <f>_xlfn.XLOOKUP(I530,Helper_Table!A:A,Helper_Table!B:B)</f>
        <v>0.9</v>
      </c>
      <c r="P530" s="1">
        <f t="shared" si="51"/>
        <v>29235.600000000002</v>
      </c>
      <c r="Q530" s="4">
        <f t="shared" si="52"/>
        <v>1.1111111111111109</v>
      </c>
      <c r="R530" t="str">
        <f t="shared" si="53"/>
        <v>Achieved</v>
      </c>
    </row>
    <row r="531" spans="1:18">
      <c r="A531" t="s">
        <v>11</v>
      </c>
      <c r="B531" t="s">
        <v>12</v>
      </c>
      <c r="C531" t="s">
        <v>25</v>
      </c>
      <c r="D531" t="s">
        <v>66</v>
      </c>
      <c r="E531" t="s">
        <v>38</v>
      </c>
      <c r="F531">
        <v>1824</v>
      </c>
      <c r="G531" s="1">
        <v>12594</v>
      </c>
      <c r="H531" s="2">
        <v>45271</v>
      </c>
      <c r="I531" t="s">
        <v>16</v>
      </c>
      <c r="J531" t="s">
        <v>568</v>
      </c>
      <c r="K531" t="s">
        <v>29</v>
      </c>
      <c r="L531" t="str">
        <f t="shared" si="48"/>
        <v>Dec</v>
      </c>
      <c r="M531" t="str">
        <f t="shared" si="49"/>
        <v>Q4</v>
      </c>
      <c r="N531" t="str">
        <f t="shared" si="50"/>
        <v>Low</v>
      </c>
      <c r="O531">
        <f>_xlfn.XLOOKUP(I531,Helper_Table!A:A,Helper_Table!B:B)</f>
        <v>1.1000000000000001</v>
      </c>
      <c r="P531" s="1">
        <f t="shared" si="51"/>
        <v>13853.400000000001</v>
      </c>
      <c r="Q531" s="4">
        <f t="shared" si="52"/>
        <v>0.90909090909090895</v>
      </c>
      <c r="R531" t="str">
        <f t="shared" si="53"/>
        <v>Below Target</v>
      </c>
    </row>
    <row r="532" spans="1:18">
      <c r="A532" t="s">
        <v>45</v>
      </c>
      <c r="B532" t="s">
        <v>49</v>
      </c>
      <c r="C532" t="s">
        <v>13</v>
      </c>
      <c r="D532" t="s">
        <v>26</v>
      </c>
      <c r="E532" t="s">
        <v>38</v>
      </c>
      <c r="F532">
        <v>1553</v>
      </c>
      <c r="G532" s="1">
        <v>35920</v>
      </c>
      <c r="H532" s="2">
        <v>45154</v>
      </c>
      <c r="I532" t="s">
        <v>39</v>
      </c>
      <c r="J532" t="s">
        <v>569</v>
      </c>
      <c r="K532" t="s">
        <v>34</v>
      </c>
      <c r="L532" t="str">
        <f t="shared" si="48"/>
        <v>Aug</v>
      </c>
      <c r="M532" t="str">
        <f t="shared" si="49"/>
        <v>Q3</v>
      </c>
      <c r="N532" t="str">
        <f t="shared" si="50"/>
        <v>Medium</v>
      </c>
      <c r="O532">
        <f>_xlfn.XLOOKUP(I532,Helper_Table!A:A,Helper_Table!B:B)</f>
        <v>1.1000000000000001</v>
      </c>
      <c r="P532" s="1">
        <f t="shared" si="51"/>
        <v>39512</v>
      </c>
      <c r="Q532" s="4">
        <f t="shared" si="52"/>
        <v>0.90909090909090906</v>
      </c>
      <c r="R532" t="str">
        <f t="shared" si="53"/>
        <v>Below Target</v>
      </c>
    </row>
    <row r="533" spans="1:18">
      <c r="A533" t="s">
        <v>24</v>
      </c>
      <c r="B533" t="s">
        <v>12</v>
      </c>
      <c r="C533" t="s">
        <v>13</v>
      </c>
      <c r="D533" t="s">
        <v>66</v>
      </c>
      <c r="E533">
        <v>30</v>
      </c>
      <c r="F533">
        <v>1114</v>
      </c>
      <c r="G533" s="1">
        <v>45080</v>
      </c>
      <c r="H533" s="2">
        <v>45213</v>
      </c>
      <c r="I533" t="s">
        <v>27</v>
      </c>
      <c r="J533" t="s">
        <v>570</v>
      </c>
      <c r="K533" t="s">
        <v>29</v>
      </c>
      <c r="L533" t="str">
        <f t="shared" si="48"/>
        <v>Oct</v>
      </c>
      <c r="M533" t="str">
        <f t="shared" si="49"/>
        <v>Q4</v>
      </c>
      <c r="N533" t="str">
        <f t="shared" si="50"/>
        <v>High</v>
      </c>
      <c r="O533">
        <f>_xlfn.XLOOKUP(I533,Helper_Table!A:A,Helper_Table!B:B)</f>
        <v>0.9</v>
      </c>
      <c r="P533" s="1">
        <f t="shared" si="51"/>
        <v>40572</v>
      </c>
      <c r="Q533" s="4">
        <f t="shared" si="52"/>
        <v>1.1111111111111112</v>
      </c>
      <c r="R533" t="str">
        <f t="shared" si="53"/>
        <v>Achieved</v>
      </c>
    </row>
    <row r="534" spans="1:18">
      <c r="A534" t="s">
        <v>35</v>
      </c>
      <c r="B534" t="s">
        <v>49</v>
      </c>
      <c r="C534" t="s">
        <v>20</v>
      </c>
      <c r="D534" t="s">
        <v>14</v>
      </c>
      <c r="E534">
        <v>60</v>
      </c>
      <c r="F534">
        <v>1746</v>
      </c>
      <c r="G534" s="1">
        <v>7097</v>
      </c>
      <c r="H534" s="2">
        <v>45237</v>
      </c>
      <c r="I534" t="s">
        <v>32</v>
      </c>
      <c r="J534" t="s">
        <v>571</v>
      </c>
      <c r="K534" t="s">
        <v>47</v>
      </c>
      <c r="L534" t="str">
        <f t="shared" si="48"/>
        <v>Nov</v>
      </c>
      <c r="M534" t="str">
        <f t="shared" si="49"/>
        <v>Q4</v>
      </c>
      <c r="N534" t="str">
        <f t="shared" si="50"/>
        <v>Low</v>
      </c>
      <c r="O534">
        <f>_xlfn.XLOOKUP(I534,Helper_Table!A:A,Helper_Table!B:B)</f>
        <v>0.95</v>
      </c>
      <c r="P534" s="1">
        <f t="shared" si="51"/>
        <v>6742.15</v>
      </c>
      <c r="Q534" s="4">
        <f t="shared" si="52"/>
        <v>1.0526315789473686</v>
      </c>
      <c r="R534" t="str">
        <f t="shared" si="53"/>
        <v>Achieved</v>
      </c>
    </row>
    <row r="535" spans="1:18">
      <c r="A535" t="s">
        <v>64</v>
      </c>
      <c r="B535" t="s">
        <v>36</v>
      </c>
      <c r="C535" t="s">
        <v>25</v>
      </c>
      <c r="D535" t="s">
        <v>31</v>
      </c>
      <c r="E535">
        <v>30</v>
      </c>
      <c r="F535">
        <v>1468</v>
      </c>
      <c r="G535" s="1">
        <v>32272</v>
      </c>
      <c r="H535" s="2">
        <v>45403</v>
      </c>
      <c r="I535" t="s">
        <v>16</v>
      </c>
      <c r="J535" t="s">
        <v>572</v>
      </c>
      <c r="K535" t="s">
        <v>47</v>
      </c>
      <c r="L535" t="str">
        <f t="shared" si="48"/>
        <v>Apr</v>
      </c>
      <c r="M535" t="str">
        <f t="shared" si="49"/>
        <v>Q2</v>
      </c>
      <c r="N535" t="str">
        <f t="shared" si="50"/>
        <v>Medium</v>
      </c>
      <c r="O535">
        <f>_xlfn.XLOOKUP(I535,Helper_Table!A:A,Helper_Table!B:B)</f>
        <v>1.1000000000000001</v>
      </c>
      <c r="P535" s="1">
        <f t="shared" si="51"/>
        <v>35499.200000000004</v>
      </c>
      <c r="Q535" s="4">
        <f t="shared" si="52"/>
        <v>0.90909090909090895</v>
      </c>
      <c r="R535" t="str">
        <f t="shared" si="53"/>
        <v>Below Target</v>
      </c>
    </row>
    <row r="536" spans="1:18">
      <c r="A536" t="s">
        <v>11</v>
      </c>
      <c r="B536" t="s">
        <v>36</v>
      </c>
      <c r="C536" t="s">
        <v>30</v>
      </c>
      <c r="D536" t="s">
        <v>21</v>
      </c>
      <c r="E536" t="s">
        <v>15</v>
      </c>
      <c r="F536">
        <v>230</v>
      </c>
      <c r="G536" s="1">
        <v>41305</v>
      </c>
      <c r="H536" s="2">
        <v>45391</v>
      </c>
      <c r="I536" t="s">
        <v>39</v>
      </c>
      <c r="J536" t="s">
        <v>573</v>
      </c>
      <c r="K536" t="s">
        <v>18</v>
      </c>
      <c r="L536" t="str">
        <f t="shared" si="48"/>
        <v>Apr</v>
      </c>
      <c r="M536" t="str">
        <f t="shared" si="49"/>
        <v>Q2</v>
      </c>
      <c r="N536" t="str">
        <f t="shared" si="50"/>
        <v>High</v>
      </c>
      <c r="O536">
        <f>_xlfn.XLOOKUP(I536,Helper_Table!A:A,Helper_Table!B:B)</f>
        <v>1.1000000000000001</v>
      </c>
      <c r="P536" s="1">
        <f t="shared" si="51"/>
        <v>45435.500000000007</v>
      </c>
      <c r="Q536" s="4">
        <f t="shared" si="52"/>
        <v>0.90909090909090895</v>
      </c>
      <c r="R536" t="str">
        <f t="shared" si="53"/>
        <v>Below Target</v>
      </c>
    </row>
    <row r="537" spans="1:18">
      <c r="A537" t="s">
        <v>24</v>
      </c>
      <c r="B537" t="s">
        <v>19</v>
      </c>
      <c r="C537" t="s">
        <v>25</v>
      </c>
      <c r="D537" t="s">
        <v>21</v>
      </c>
      <c r="E537" t="s">
        <v>15</v>
      </c>
      <c r="F537">
        <v>776</v>
      </c>
      <c r="G537" s="1">
        <v>6165</v>
      </c>
      <c r="H537" s="2">
        <v>45396</v>
      </c>
      <c r="I537" t="s">
        <v>32</v>
      </c>
      <c r="J537" t="s">
        <v>574</v>
      </c>
      <c r="K537" t="s">
        <v>29</v>
      </c>
      <c r="L537" t="str">
        <f t="shared" si="48"/>
        <v>Apr</v>
      </c>
      <c r="M537" t="str">
        <f t="shared" si="49"/>
        <v>Q2</v>
      </c>
      <c r="N537" t="str">
        <f t="shared" si="50"/>
        <v>Low</v>
      </c>
      <c r="O537">
        <f>_xlfn.XLOOKUP(I537,Helper_Table!A:A,Helper_Table!B:B)</f>
        <v>0.95</v>
      </c>
      <c r="P537" s="1">
        <f t="shared" si="51"/>
        <v>5856.75</v>
      </c>
      <c r="Q537" s="4">
        <f t="shared" si="52"/>
        <v>1.0526315789473684</v>
      </c>
      <c r="R537" t="str">
        <f t="shared" si="53"/>
        <v>Achieved</v>
      </c>
    </row>
    <row r="538" spans="1:18">
      <c r="A538" t="s">
        <v>24</v>
      </c>
      <c r="B538" t="s">
        <v>12</v>
      </c>
      <c r="C538" t="s">
        <v>13</v>
      </c>
      <c r="D538" t="s">
        <v>21</v>
      </c>
      <c r="E538" t="s">
        <v>15</v>
      </c>
      <c r="F538">
        <v>1071</v>
      </c>
      <c r="G538" s="1">
        <v>3760</v>
      </c>
      <c r="H538" s="2">
        <v>45178</v>
      </c>
      <c r="I538" t="s">
        <v>39</v>
      </c>
      <c r="J538" t="s">
        <v>575</v>
      </c>
      <c r="K538" t="s">
        <v>29</v>
      </c>
      <c r="L538" t="str">
        <f t="shared" si="48"/>
        <v>Sep</v>
      </c>
      <c r="M538" t="str">
        <f t="shared" si="49"/>
        <v>Q3</v>
      </c>
      <c r="N538" t="str">
        <f t="shared" si="50"/>
        <v>Low</v>
      </c>
      <c r="O538">
        <f>_xlfn.XLOOKUP(I538,Helper_Table!A:A,Helper_Table!B:B)</f>
        <v>1.1000000000000001</v>
      </c>
      <c r="P538" s="1">
        <f t="shared" si="51"/>
        <v>4136</v>
      </c>
      <c r="Q538" s="4">
        <f t="shared" si="52"/>
        <v>0.90909090909090906</v>
      </c>
      <c r="R538" t="str">
        <f t="shared" si="53"/>
        <v>Below Target</v>
      </c>
    </row>
    <row r="539" spans="1:18">
      <c r="A539" t="s">
        <v>11</v>
      </c>
      <c r="B539" t="s">
        <v>51</v>
      </c>
      <c r="C539" t="s">
        <v>25</v>
      </c>
      <c r="D539" t="s">
        <v>21</v>
      </c>
      <c r="E539" t="s">
        <v>15</v>
      </c>
      <c r="F539">
        <v>1137</v>
      </c>
      <c r="G539" s="1">
        <v>1699</v>
      </c>
      <c r="H539" s="2">
        <v>45253</v>
      </c>
      <c r="I539" t="s">
        <v>39</v>
      </c>
      <c r="J539" t="s">
        <v>576</v>
      </c>
      <c r="K539" t="s">
        <v>47</v>
      </c>
      <c r="L539" t="str">
        <f t="shared" si="48"/>
        <v>Nov</v>
      </c>
      <c r="M539" t="str">
        <f t="shared" si="49"/>
        <v>Q4</v>
      </c>
      <c r="N539" t="str">
        <f t="shared" si="50"/>
        <v>Low</v>
      </c>
      <c r="O539">
        <f>_xlfn.XLOOKUP(I539,Helper_Table!A:A,Helper_Table!B:B)</f>
        <v>1.1000000000000001</v>
      </c>
      <c r="P539" s="1">
        <f t="shared" si="51"/>
        <v>1868.9</v>
      </c>
      <c r="Q539" s="4">
        <f t="shared" si="52"/>
        <v>0.90909090909090906</v>
      </c>
      <c r="R539" t="str">
        <f t="shared" si="53"/>
        <v>Below Target</v>
      </c>
    </row>
    <row r="540" spans="1:18">
      <c r="A540" t="s">
        <v>45</v>
      </c>
      <c r="B540" t="s">
        <v>49</v>
      </c>
      <c r="C540" t="s">
        <v>25</v>
      </c>
      <c r="D540" t="s">
        <v>31</v>
      </c>
      <c r="E540">
        <v>60</v>
      </c>
      <c r="F540">
        <v>787</v>
      </c>
      <c r="G540" s="1">
        <v>47912</v>
      </c>
      <c r="H540" s="2">
        <v>45452</v>
      </c>
      <c r="I540" t="s">
        <v>16</v>
      </c>
      <c r="J540" t="s">
        <v>577</v>
      </c>
      <c r="K540" t="s">
        <v>44</v>
      </c>
      <c r="L540" t="str">
        <f t="shared" si="48"/>
        <v>Jun</v>
      </c>
      <c r="M540" t="str">
        <f t="shared" si="49"/>
        <v>Q2</v>
      </c>
      <c r="N540" t="str">
        <f t="shared" si="50"/>
        <v>High</v>
      </c>
      <c r="O540">
        <f>_xlfn.XLOOKUP(I540,Helper_Table!A:A,Helper_Table!B:B)</f>
        <v>1.1000000000000001</v>
      </c>
      <c r="P540" s="1">
        <f t="shared" si="51"/>
        <v>52703.200000000004</v>
      </c>
      <c r="Q540" s="4">
        <f t="shared" si="52"/>
        <v>0.90909090909090906</v>
      </c>
      <c r="R540" t="str">
        <f t="shared" si="53"/>
        <v>Below Target</v>
      </c>
    </row>
    <row r="541" spans="1:18">
      <c r="A541" t="s">
        <v>64</v>
      </c>
      <c r="B541" t="s">
        <v>49</v>
      </c>
      <c r="C541" t="s">
        <v>30</v>
      </c>
      <c r="D541" t="s">
        <v>66</v>
      </c>
      <c r="E541">
        <v>30</v>
      </c>
      <c r="F541">
        <v>1479</v>
      </c>
      <c r="G541" s="1">
        <v>33505</v>
      </c>
      <c r="H541" s="2">
        <v>45473</v>
      </c>
      <c r="I541" t="s">
        <v>16</v>
      </c>
      <c r="J541" t="s">
        <v>578</v>
      </c>
      <c r="K541" t="s">
        <v>34</v>
      </c>
      <c r="L541" t="str">
        <f t="shared" si="48"/>
        <v>Jun</v>
      </c>
      <c r="M541" t="str">
        <f t="shared" si="49"/>
        <v>Q2</v>
      </c>
      <c r="N541" t="str">
        <f t="shared" si="50"/>
        <v>Medium</v>
      </c>
      <c r="O541">
        <f>_xlfn.XLOOKUP(I541,Helper_Table!A:A,Helper_Table!B:B)</f>
        <v>1.1000000000000001</v>
      </c>
      <c r="P541" s="1">
        <f t="shared" si="51"/>
        <v>36855.5</v>
      </c>
      <c r="Q541" s="4">
        <f t="shared" si="52"/>
        <v>0.90909090909090906</v>
      </c>
      <c r="R541" t="str">
        <f t="shared" si="53"/>
        <v>Below Target</v>
      </c>
    </row>
    <row r="542" spans="1:18">
      <c r="A542" t="s">
        <v>35</v>
      </c>
      <c r="B542" t="s">
        <v>36</v>
      </c>
      <c r="C542" t="s">
        <v>25</v>
      </c>
      <c r="D542" t="s">
        <v>21</v>
      </c>
      <c r="E542" t="s">
        <v>22</v>
      </c>
      <c r="F542">
        <v>405</v>
      </c>
      <c r="G542" s="1">
        <v>23360</v>
      </c>
      <c r="H542" s="2">
        <v>45233</v>
      </c>
      <c r="I542" t="s">
        <v>16</v>
      </c>
      <c r="J542" t="s">
        <v>579</v>
      </c>
      <c r="K542" t="s">
        <v>44</v>
      </c>
      <c r="L542" t="str">
        <f t="shared" si="48"/>
        <v>Nov</v>
      </c>
      <c r="M542" t="str">
        <f t="shared" si="49"/>
        <v>Q4</v>
      </c>
      <c r="N542" t="str">
        <f t="shared" si="50"/>
        <v>Medium</v>
      </c>
      <c r="O542">
        <f>_xlfn.XLOOKUP(I542,Helper_Table!A:A,Helper_Table!B:B)</f>
        <v>1.1000000000000001</v>
      </c>
      <c r="P542" s="1">
        <f t="shared" si="51"/>
        <v>25696.000000000004</v>
      </c>
      <c r="Q542" s="4">
        <f t="shared" si="52"/>
        <v>0.90909090909090895</v>
      </c>
      <c r="R542" t="str">
        <f t="shared" si="53"/>
        <v>Below Target</v>
      </c>
    </row>
    <row r="543" spans="1:18">
      <c r="A543" t="s">
        <v>35</v>
      </c>
      <c r="B543" t="s">
        <v>12</v>
      </c>
      <c r="C543" t="s">
        <v>20</v>
      </c>
      <c r="D543" t="s">
        <v>26</v>
      </c>
      <c r="E543" t="s">
        <v>38</v>
      </c>
      <c r="F543">
        <v>470</v>
      </c>
      <c r="G543" s="1">
        <v>45836</v>
      </c>
      <c r="H543" s="2">
        <v>45232</v>
      </c>
      <c r="I543" t="s">
        <v>16</v>
      </c>
      <c r="J543" t="s">
        <v>580</v>
      </c>
      <c r="K543" t="s">
        <v>44</v>
      </c>
      <c r="L543" t="str">
        <f t="shared" si="48"/>
        <v>Nov</v>
      </c>
      <c r="M543" t="str">
        <f t="shared" si="49"/>
        <v>Q4</v>
      </c>
      <c r="N543" t="str">
        <f t="shared" si="50"/>
        <v>High</v>
      </c>
      <c r="O543">
        <f>_xlfn.XLOOKUP(I543,Helper_Table!A:A,Helper_Table!B:B)</f>
        <v>1.1000000000000001</v>
      </c>
      <c r="P543" s="1">
        <f t="shared" si="51"/>
        <v>50419.600000000006</v>
      </c>
      <c r="Q543" s="4">
        <f t="shared" si="52"/>
        <v>0.90909090909090895</v>
      </c>
      <c r="R543" t="str">
        <f t="shared" si="53"/>
        <v>Below Target</v>
      </c>
    </row>
    <row r="544" spans="1:18">
      <c r="A544" t="s">
        <v>64</v>
      </c>
      <c r="B544" t="s">
        <v>12</v>
      </c>
      <c r="C544" t="s">
        <v>25</v>
      </c>
      <c r="D544" t="s">
        <v>31</v>
      </c>
      <c r="E544" t="s">
        <v>15</v>
      </c>
      <c r="F544">
        <v>1864</v>
      </c>
      <c r="G544" s="1">
        <v>26663</v>
      </c>
      <c r="H544" s="2">
        <v>45403</v>
      </c>
      <c r="I544" t="s">
        <v>16</v>
      </c>
      <c r="J544" t="s">
        <v>581</v>
      </c>
      <c r="K544" t="s">
        <v>34</v>
      </c>
      <c r="L544" t="str">
        <f t="shared" si="48"/>
        <v>Apr</v>
      </c>
      <c r="M544" t="str">
        <f t="shared" si="49"/>
        <v>Q2</v>
      </c>
      <c r="N544" t="str">
        <f t="shared" si="50"/>
        <v>Medium</v>
      </c>
      <c r="O544">
        <f>_xlfn.XLOOKUP(I544,Helper_Table!A:A,Helper_Table!B:B)</f>
        <v>1.1000000000000001</v>
      </c>
      <c r="P544" s="1">
        <f t="shared" si="51"/>
        <v>29329.300000000003</v>
      </c>
      <c r="Q544" s="4">
        <f t="shared" si="52"/>
        <v>0.90909090909090895</v>
      </c>
      <c r="R544" t="str">
        <f t="shared" si="53"/>
        <v>Below Target</v>
      </c>
    </row>
    <row r="545" spans="1:18">
      <c r="A545" t="s">
        <v>11</v>
      </c>
      <c r="B545" t="s">
        <v>19</v>
      </c>
      <c r="C545" t="s">
        <v>13</v>
      </c>
      <c r="D545" t="s">
        <v>21</v>
      </c>
      <c r="E545" t="s">
        <v>15</v>
      </c>
      <c r="F545">
        <v>1610</v>
      </c>
      <c r="G545" s="1">
        <v>22700</v>
      </c>
      <c r="H545" s="2">
        <v>45215</v>
      </c>
      <c r="I545" t="s">
        <v>39</v>
      </c>
      <c r="J545" t="s">
        <v>582</v>
      </c>
      <c r="K545" t="s">
        <v>18</v>
      </c>
      <c r="L545" t="str">
        <f t="shared" si="48"/>
        <v>Oct</v>
      </c>
      <c r="M545" t="str">
        <f t="shared" si="49"/>
        <v>Q4</v>
      </c>
      <c r="N545" t="str">
        <f t="shared" si="50"/>
        <v>Medium</v>
      </c>
      <c r="O545">
        <f>_xlfn.XLOOKUP(I545,Helper_Table!A:A,Helper_Table!B:B)</f>
        <v>1.1000000000000001</v>
      </c>
      <c r="P545" s="1">
        <f t="shared" si="51"/>
        <v>24970.000000000004</v>
      </c>
      <c r="Q545" s="4">
        <f t="shared" si="52"/>
        <v>0.90909090909090895</v>
      </c>
      <c r="R545" t="str">
        <f t="shared" si="53"/>
        <v>Below Target</v>
      </c>
    </row>
    <row r="546" spans="1:18">
      <c r="A546" t="s">
        <v>45</v>
      </c>
      <c r="B546" t="s">
        <v>19</v>
      </c>
      <c r="C546" t="s">
        <v>20</v>
      </c>
      <c r="D546" t="s">
        <v>31</v>
      </c>
      <c r="E546" t="s">
        <v>38</v>
      </c>
      <c r="F546">
        <v>1247</v>
      </c>
      <c r="G546" s="1">
        <v>23054</v>
      </c>
      <c r="H546" s="2">
        <v>45243</v>
      </c>
      <c r="I546" t="s">
        <v>27</v>
      </c>
      <c r="J546" t="s">
        <v>583</v>
      </c>
      <c r="K546" t="s">
        <v>29</v>
      </c>
      <c r="L546" t="str">
        <f t="shared" si="48"/>
        <v>Nov</v>
      </c>
      <c r="M546" t="str">
        <f t="shared" si="49"/>
        <v>Q4</v>
      </c>
      <c r="N546" t="str">
        <f t="shared" si="50"/>
        <v>Medium</v>
      </c>
      <c r="O546">
        <f>_xlfn.XLOOKUP(I546,Helper_Table!A:A,Helper_Table!B:B)</f>
        <v>0.9</v>
      </c>
      <c r="P546" s="1">
        <f t="shared" si="51"/>
        <v>20748.600000000002</v>
      </c>
      <c r="Q546" s="4">
        <f t="shared" si="52"/>
        <v>1.1111111111111109</v>
      </c>
      <c r="R546" t="str">
        <f t="shared" si="53"/>
        <v>Achieved</v>
      </c>
    </row>
    <row r="547" spans="1:18">
      <c r="A547" t="s">
        <v>24</v>
      </c>
      <c r="B547" t="s">
        <v>12</v>
      </c>
      <c r="C547" t="s">
        <v>30</v>
      </c>
      <c r="D547" t="s">
        <v>26</v>
      </c>
      <c r="E547">
        <v>60</v>
      </c>
      <c r="F547">
        <v>1515</v>
      </c>
      <c r="G547" s="1">
        <v>37393</v>
      </c>
      <c r="H547" s="2">
        <v>45290</v>
      </c>
      <c r="I547" t="s">
        <v>41</v>
      </c>
      <c r="J547" t="s">
        <v>584</v>
      </c>
      <c r="K547" t="s">
        <v>29</v>
      </c>
      <c r="L547" t="str">
        <f t="shared" si="48"/>
        <v>Dec</v>
      </c>
      <c r="M547" t="str">
        <f t="shared" si="49"/>
        <v>Q4</v>
      </c>
      <c r="N547" t="str">
        <f t="shared" si="50"/>
        <v>Medium</v>
      </c>
      <c r="O547">
        <f>_xlfn.XLOOKUP(I547,Helper_Table!A:A,Helper_Table!B:B)</f>
        <v>1.2</v>
      </c>
      <c r="P547" s="1">
        <f t="shared" si="51"/>
        <v>44871.6</v>
      </c>
      <c r="Q547" s="4">
        <f t="shared" si="52"/>
        <v>0.83333333333333337</v>
      </c>
      <c r="R547" t="str">
        <f t="shared" si="53"/>
        <v>Below Target</v>
      </c>
    </row>
    <row r="548" spans="1:18">
      <c r="A548" t="s">
        <v>24</v>
      </c>
      <c r="B548" t="s">
        <v>19</v>
      </c>
      <c r="C548" t="s">
        <v>59</v>
      </c>
      <c r="D548" t="s">
        <v>21</v>
      </c>
      <c r="E548">
        <v>30</v>
      </c>
      <c r="F548">
        <v>1064</v>
      </c>
      <c r="G548" s="1">
        <v>11558</v>
      </c>
      <c r="H548" s="2">
        <v>45485</v>
      </c>
      <c r="I548" t="s">
        <v>39</v>
      </c>
      <c r="J548" t="s">
        <v>585</v>
      </c>
      <c r="K548" t="s">
        <v>44</v>
      </c>
      <c r="L548" t="str">
        <f t="shared" si="48"/>
        <v>Jul</v>
      </c>
      <c r="M548" t="str">
        <f t="shared" si="49"/>
        <v>Q3</v>
      </c>
      <c r="N548" t="str">
        <f t="shared" si="50"/>
        <v>Low</v>
      </c>
      <c r="O548">
        <f>_xlfn.XLOOKUP(I548,Helper_Table!A:A,Helper_Table!B:B)</f>
        <v>1.1000000000000001</v>
      </c>
      <c r="P548" s="1">
        <f t="shared" si="51"/>
        <v>12713.800000000001</v>
      </c>
      <c r="Q548" s="4">
        <f t="shared" si="52"/>
        <v>0.90909090909090906</v>
      </c>
      <c r="R548" t="str">
        <f t="shared" si="53"/>
        <v>Below Target</v>
      </c>
    </row>
    <row r="549" spans="1:18">
      <c r="A549" t="s">
        <v>45</v>
      </c>
      <c r="B549" t="s">
        <v>51</v>
      </c>
      <c r="C549" t="s">
        <v>59</v>
      </c>
      <c r="D549" t="s">
        <v>14</v>
      </c>
      <c r="E549" t="s">
        <v>15</v>
      </c>
      <c r="F549">
        <v>336</v>
      </c>
      <c r="G549" s="1">
        <v>7855</v>
      </c>
      <c r="H549" s="2">
        <v>45166</v>
      </c>
      <c r="I549" t="s">
        <v>32</v>
      </c>
      <c r="J549" t="s">
        <v>586</v>
      </c>
      <c r="K549" t="s">
        <v>47</v>
      </c>
      <c r="L549" t="str">
        <f t="shared" si="48"/>
        <v>Aug</v>
      </c>
      <c r="M549" t="str">
        <f t="shared" si="49"/>
        <v>Q3</v>
      </c>
      <c r="N549" t="str">
        <f t="shared" si="50"/>
        <v>Low</v>
      </c>
      <c r="O549">
        <f>_xlfn.XLOOKUP(I549,Helper_Table!A:A,Helper_Table!B:B)</f>
        <v>0.95</v>
      </c>
      <c r="P549" s="1">
        <f t="shared" si="51"/>
        <v>7462.25</v>
      </c>
      <c r="Q549" s="4">
        <f t="shared" si="52"/>
        <v>1.0526315789473684</v>
      </c>
      <c r="R549" t="str">
        <f t="shared" si="53"/>
        <v>Achieved</v>
      </c>
    </row>
    <row r="550" spans="1:18">
      <c r="A550" t="s">
        <v>35</v>
      </c>
      <c r="B550" t="s">
        <v>36</v>
      </c>
      <c r="C550" t="s">
        <v>13</v>
      </c>
      <c r="D550" t="s">
        <v>21</v>
      </c>
      <c r="E550" t="s">
        <v>15</v>
      </c>
      <c r="F550">
        <v>1334</v>
      </c>
      <c r="G550" s="1">
        <v>30566</v>
      </c>
      <c r="H550" s="2">
        <v>45279</v>
      </c>
      <c r="I550" t="s">
        <v>41</v>
      </c>
      <c r="J550" t="s">
        <v>587</v>
      </c>
      <c r="K550" t="s">
        <v>34</v>
      </c>
      <c r="L550" t="str">
        <f t="shared" si="48"/>
        <v>Dec</v>
      </c>
      <c r="M550" t="str">
        <f t="shared" si="49"/>
        <v>Q4</v>
      </c>
      <c r="N550" t="str">
        <f t="shared" si="50"/>
        <v>Medium</v>
      </c>
      <c r="O550">
        <f>_xlfn.XLOOKUP(I550,Helper_Table!A:A,Helper_Table!B:B)</f>
        <v>1.2</v>
      </c>
      <c r="P550" s="1">
        <f t="shared" si="51"/>
        <v>36679.199999999997</v>
      </c>
      <c r="Q550" s="4">
        <f t="shared" si="52"/>
        <v>0.83333333333333337</v>
      </c>
      <c r="R550" t="str">
        <f t="shared" si="53"/>
        <v>Below Target</v>
      </c>
    </row>
    <row r="551" spans="1:18">
      <c r="A551" t="s">
        <v>64</v>
      </c>
      <c r="B551" t="s">
        <v>19</v>
      </c>
      <c r="C551" t="s">
        <v>20</v>
      </c>
      <c r="D551" t="s">
        <v>21</v>
      </c>
      <c r="E551" t="s">
        <v>22</v>
      </c>
      <c r="F551">
        <v>472</v>
      </c>
      <c r="G551" s="1">
        <v>23247</v>
      </c>
      <c r="H551" s="2">
        <v>45280</v>
      </c>
      <c r="I551" t="s">
        <v>32</v>
      </c>
      <c r="J551" t="s">
        <v>588</v>
      </c>
      <c r="K551" t="s">
        <v>29</v>
      </c>
      <c r="L551" t="str">
        <f t="shared" si="48"/>
        <v>Dec</v>
      </c>
      <c r="M551" t="str">
        <f t="shared" si="49"/>
        <v>Q4</v>
      </c>
      <c r="N551" t="str">
        <f t="shared" si="50"/>
        <v>Medium</v>
      </c>
      <c r="O551">
        <f>_xlfn.XLOOKUP(I551,Helper_Table!A:A,Helper_Table!B:B)</f>
        <v>0.95</v>
      </c>
      <c r="P551" s="1">
        <f t="shared" si="51"/>
        <v>22084.649999999998</v>
      </c>
      <c r="Q551" s="4">
        <f t="shared" si="52"/>
        <v>1.0526315789473686</v>
      </c>
      <c r="R551" t="str">
        <f t="shared" si="53"/>
        <v>Achieved</v>
      </c>
    </row>
    <row r="552" spans="1:18">
      <c r="A552" t="s">
        <v>64</v>
      </c>
      <c r="B552" t="s">
        <v>36</v>
      </c>
      <c r="C552" t="s">
        <v>25</v>
      </c>
      <c r="D552" t="s">
        <v>26</v>
      </c>
      <c r="E552" t="s">
        <v>22</v>
      </c>
      <c r="F552">
        <v>169</v>
      </c>
      <c r="G552" s="1">
        <v>18665</v>
      </c>
      <c r="H552" s="2">
        <v>45322</v>
      </c>
      <c r="I552" t="s">
        <v>39</v>
      </c>
      <c r="J552" t="s">
        <v>589</v>
      </c>
      <c r="K552" t="s">
        <v>34</v>
      </c>
      <c r="L552" t="str">
        <f t="shared" si="48"/>
        <v>Jan</v>
      </c>
      <c r="M552" t="str">
        <f t="shared" si="49"/>
        <v>Q1</v>
      </c>
      <c r="N552" t="str">
        <f t="shared" si="50"/>
        <v>Low</v>
      </c>
      <c r="O552">
        <f>_xlfn.XLOOKUP(I552,Helper_Table!A:A,Helper_Table!B:B)</f>
        <v>1.1000000000000001</v>
      </c>
      <c r="P552" s="1">
        <f t="shared" si="51"/>
        <v>20531.5</v>
      </c>
      <c r="Q552" s="4">
        <f t="shared" si="52"/>
        <v>0.90909090909090906</v>
      </c>
      <c r="R552" t="str">
        <f t="shared" si="53"/>
        <v>Below Target</v>
      </c>
    </row>
    <row r="553" spans="1:18">
      <c r="A553" t="s">
        <v>35</v>
      </c>
      <c r="B553" t="s">
        <v>49</v>
      </c>
      <c r="C553" t="s">
        <v>59</v>
      </c>
      <c r="D553" t="s">
        <v>14</v>
      </c>
      <c r="E553" t="s">
        <v>22</v>
      </c>
      <c r="F553">
        <v>150</v>
      </c>
      <c r="G553" s="1">
        <v>8735</v>
      </c>
      <c r="H553" s="2">
        <v>45217</v>
      </c>
      <c r="I553" t="s">
        <v>41</v>
      </c>
      <c r="J553" t="s">
        <v>590</v>
      </c>
      <c r="K553" t="s">
        <v>47</v>
      </c>
      <c r="L553" t="str">
        <f t="shared" si="48"/>
        <v>Oct</v>
      </c>
      <c r="M553" t="str">
        <f t="shared" si="49"/>
        <v>Q4</v>
      </c>
      <c r="N553" t="str">
        <f t="shared" si="50"/>
        <v>Low</v>
      </c>
      <c r="O553">
        <f>_xlfn.XLOOKUP(I553,Helper_Table!A:A,Helper_Table!B:B)</f>
        <v>1.2</v>
      </c>
      <c r="P553" s="1">
        <f t="shared" si="51"/>
        <v>10482</v>
      </c>
      <c r="Q553" s="4">
        <f t="shared" si="52"/>
        <v>0.83333333333333337</v>
      </c>
      <c r="R553" t="str">
        <f t="shared" si="53"/>
        <v>Below Target</v>
      </c>
    </row>
    <row r="554" spans="1:18">
      <c r="A554" t="s">
        <v>64</v>
      </c>
      <c r="B554" t="s">
        <v>36</v>
      </c>
      <c r="C554" t="s">
        <v>30</v>
      </c>
      <c r="D554" t="s">
        <v>14</v>
      </c>
      <c r="E554" t="s">
        <v>38</v>
      </c>
      <c r="F554">
        <v>1503</v>
      </c>
      <c r="G554" s="1">
        <v>19148</v>
      </c>
      <c r="H554" s="2">
        <v>45209</v>
      </c>
      <c r="I554" t="s">
        <v>41</v>
      </c>
      <c r="J554" t="s">
        <v>591</v>
      </c>
      <c r="K554" t="s">
        <v>18</v>
      </c>
      <c r="L554" t="str">
        <f t="shared" si="48"/>
        <v>Oct</v>
      </c>
      <c r="M554" t="str">
        <f t="shared" si="49"/>
        <v>Q4</v>
      </c>
      <c r="N554" t="str">
        <f t="shared" si="50"/>
        <v>Low</v>
      </c>
      <c r="O554">
        <f>_xlfn.XLOOKUP(I554,Helper_Table!A:A,Helper_Table!B:B)</f>
        <v>1.2</v>
      </c>
      <c r="P554" s="1">
        <f t="shared" si="51"/>
        <v>22977.599999999999</v>
      </c>
      <c r="Q554" s="4">
        <f t="shared" si="52"/>
        <v>0.83333333333333337</v>
      </c>
      <c r="R554" t="str">
        <f t="shared" si="53"/>
        <v>Below Target</v>
      </c>
    </row>
    <row r="555" spans="1:18">
      <c r="A555" t="s">
        <v>45</v>
      </c>
      <c r="B555" t="s">
        <v>19</v>
      </c>
      <c r="C555" t="s">
        <v>59</v>
      </c>
      <c r="D555" t="s">
        <v>14</v>
      </c>
      <c r="E555" t="s">
        <v>15</v>
      </c>
      <c r="F555">
        <v>355</v>
      </c>
      <c r="G555" s="1">
        <v>33093</v>
      </c>
      <c r="H555" s="2">
        <v>45430</v>
      </c>
      <c r="I555" t="s">
        <v>41</v>
      </c>
      <c r="J555" t="s">
        <v>592</v>
      </c>
      <c r="K555" t="s">
        <v>29</v>
      </c>
      <c r="L555" t="str">
        <f t="shared" si="48"/>
        <v>May</v>
      </c>
      <c r="M555" t="str">
        <f t="shared" si="49"/>
        <v>Q2</v>
      </c>
      <c r="N555" t="str">
        <f t="shared" si="50"/>
        <v>Medium</v>
      </c>
      <c r="O555">
        <f>_xlfn.XLOOKUP(I555,Helper_Table!A:A,Helper_Table!B:B)</f>
        <v>1.2</v>
      </c>
      <c r="P555" s="1">
        <f t="shared" si="51"/>
        <v>39711.599999999999</v>
      </c>
      <c r="Q555" s="4">
        <f t="shared" si="52"/>
        <v>0.83333333333333337</v>
      </c>
      <c r="R555" t="str">
        <f t="shared" si="53"/>
        <v>Below Target</v>
      </c>
    </row>
    <row r="556" spans="1:18">
      <c r="A556" t="s">
        <v>45</v>
      </c>
      <c r="B556" t="s">
        <v>12</v>
      </c>
      <c r="C556" t="s">
        <v>30</v>
      </c>
      <c r="D556" t="s">
        <v>14</v>
      </c>
      <c r="E556" t="s">
        <v>15</v>
      </c>
      <c r="F556">
        <v>1215</v>
      </c>
      <c r="G556" s="1">
        <v>12727</v>
      </c>
      <c r="H556" s="2">
        <v>45260</v>
      </c>
      <c r="I556" t="s">
        <v>41</v>
      </c>
      <c r="J556" t="s">
        <v>593</v>
      </c>
      <c r="K556" t="s">
        <v>34</v>
      </c>
      <c r="L556" t="str">
        <f t="shared" si="48"/>
        <v>Nov</v>
      </c>
      <c r="M556" t="str">
        <f t="shared" si="49"/>
        <v>Q4</v>
      </c>
      <c r="N556" t="str">
        <f t="shared" si="50"/>
        <v>Low</v>
      </c>
      <c r="O556">
        <f>_xlfn.XLOOKUP(I556,Helper_Table!A:A,Helper_Table!B:B)</f>
        <v>1.2</v>
      </c>
      <c r="P556" s="1">
        <f t="shared" si="51"/>
        <v>15272.4</v>
      </c>
      <c r="Q556" s="4">
        <f t="shared" si="52"/>
        <v>0.83333333333333337</v>
      </c>
      <c r="R556" t="str">
        <f t="shared" si="53"/>
        <v>Below Target</v>
      </c>
    </row>
    <row r="557" spans="1:18">
      <c r="A557" t="s">
        <v>64</v>
      </c>
      <c r="B557" t="s">
        <v>36</v>
      </c>
      <c r="C557" t="s">
        <v>13</v>
      </c>
      <c r="D557" t="s">
        <v>26</v>
      </c>
      <c r="E557" t="s">
        <v>15</v>
      </c>
      <c r="F557">
        <v>857</v>
      </c>
      <c r="G557" s="1">
        <v>26479</v>
      </c>
      <c r="H557" s="2">
        <v>45163</v>
      </c>
      <c r="I557" t="s">
        <v>32</v>
      </c>
      <c r="J557" t="s">
        <v>594</v>
      </c>
      <c r="K557" t="s">
        <v>34</v>
      </c>
      <c r="L557" t="str">
        <f t="shared" si="48"/>
        <v>Aug</v>
      </c>
      <c r="M557" t="str">
        <f t="shared" si="49"/>
        <v>Q3</v>
      </c>
      <c r="N557" t="str">
        <f t="shared" si="50"/>
        <v>Medium</v>
      </c>
      <c r="O557">
        <f>_xlfn.XLOOKUP(I557,Helper_Table!A:A,Helper_Table!B:B)</f>
        <v>0.95</v>
      </c>
      <c r="P557" s="1">
        <f t="shared" si="51"/>
        <v>25155.05</v>
      </c>
      <c r="Q557" s="4">
        <f t="shared" si="52"/>
        <v>1.0526315789473684</v>
      </c>
      <c r="R557" t="str">
        <f t="shared" si="53"/>
        <v>Achieved</v>
      </c>
    </row>
    <row r="558" spans="1:18">
      <c r="A558" t="s">
        <v>24</v>
      </c>
      <c r="B558" t="s">
        <v>12</v>
      </c>
      <c r="C558" t="s">
        <v>20</v>
      </c>
      <c r="D558" t="s">
        <v>66</v>
      </c>
      <c r="E558" t="s">
        <v>22</v>
      </c>
      <c r="F558">
        <v>914</v>
      </c>
      <c r="G558" s="1">
        <v>28345</v>
      </c>
      <c r="H558" s="2">
        <v>45343</v>
      </c>
      <c r="I558" t="s">
        <v>27</v>
      </c>
      <c r="J558" t="s">
        <v>595</v>
      </c>
      <c r="K558" t="s">
        <v>29</v>
      </c>
      <c r="L558" t="str">
        <f t="shared" si="48"/>
        <v>Feb</v>
      </c>
      <c r="M558" t="str">
        <f t="shared" si="49"/>
        <v>Q1</v>
      </c>
      <c r="N558" t="str">
        <f t="shared" si="50"/>
        <v>Medium</v>
      </c>
      <c r="O558">
        <f>_xlfn.XLOOKUP(I558,Helper_Table!A:A,Helper_Table!B:B)</f>
        <v>0.9</v>
      </c>
      <c r="P558" s="1">
        <f t="shared" si="51"/>
        <v>25510.5</v>
      </c>
      <c r="Q558" s="4">
        <f t="shared" si="52"/>
        <v>1.1111111111111112</v>
      </c>
      <c r="R558" t="str">
        <f t="shared" si="53"/>
        <v>Achieved</v>
      </c>
    </row>
    <row r="559" spans="1:18">
      <c r="A559" t="s">
        <v>24</v>
      </c>
      <c r="B559" t="s">
        <v>36</v>
      </c>
      <c r="C559" t="s">
        <v>13</v>
      </c>
      <c r="D559" t="s">
        <v>14</v>
      </c>
      <c r="E559" t="s">
        <v>22</v>
      </c>
      <c r="F559">
        <v>1513</v>
      </c>
      <c r="G559" s="1">
        <v>16791</v>
      </c>
      <c r="H559" s="2">
        <v>45501</v>
      </c>
      <c r="I559" t="s">
        <v>16</v>
      </c>
      <c r="J559" t="s">
        <v>596</v>
      </c>
      <c r="K559" t="s">
        <v>47</v>
      </c>
      <c r="L559" t="str">
        <f t="shared" si="48"/>
        <v>Jul</v>
      </c>
      <c r="M559" t="str">
        <f t="shared" si="49"/>
        <v>Q3</v>
      </c>
      <c r="N559" t="str">
        <f t="shared" si="50"/>
        <v>Low</v>
      </c>
      <c r="O559">
        <f>_xlfn.XLOOKUP(I559,Helper_Table!A:A,Helper_Table!B:B)</f>
        <v>1.1000000000000001</v>
      </c>
      <c r="P559" s="1">
        <f t="shared" si="51"/>
        <v>18470.100000000002</v>
      </c>
      <c r="Q559" s="4">
        <f t="shared" si="52"/>
        <v>0.90909090909090895</v>
      </c>
      <c r="R559" t="str">
        <f t="shared" si="53"/>
        <v>Below Target</v>
      </c>
    </row>
    <row r="560" spans="1:18">
      <c r="A560" t="s">
        <v>64</v>
      </c>
      <c r="B560" t="s">
        <v>36</v>
      </c>
      <c r="C560" t="s">
        <v>30</v>
      </c>
      <c r="D560" t="s">
        <v>21</v>
      </c>
      <c r="E560" t="s">
        <v>22</v>
      </c>
      <c r="F560">
        <v>809</v>
      </c>
      <c r="G560" s="1">
        <v>1788</v>
      </c>
      <c r="H560" s="2">
        <v>45188</v>
      </c>
      <c r="I560" t="s">
        <v>16</v>
      </c>
      <c r="J560" t="s">
        <v>597</v>
      </c>
      <c r="K560" t="s">
        <v>44</v>
      </c>
      <c r="L560" t="str">
        <f t="shared" si="48"/>
        <v>Sep</v>
      </c>
      <c r="M560" t="str">
        <f t="shared" si="49"/>
        <v>Q3</v>
      </c>
      <c r="N560" t="str">
        <f t="shared" si="50"/>
        <v>Low</v>
      </c>
      <c r="O560">
        <f>_xlfn.XLOOKUP(I560,Helper_Table!A:A,Helper_Table!B:B)</f>
        <v>1.1000000000000001</v>
      </c>
      <c r="P560" s="1">
        <f t="shared" si="51"/>
        <v>1966.8000000000002</v>
      </c>
      <c r="Q560" s="4">
        <f t="shared" si="52"/>
        <v>0.90909090909090906</v>
      </c>
      <c r="R560" t="str">
        <f t="shared" si="53"/>
        <v>Below Target</v>
      </c>
    </row>
    <row r="561" spans="1:18">
      <c r="A561" t="s">
        <v>45</v>
      </c>
      <c r="B561" t="s">
        <v>19</v>
      </c>
      <c r="C561" t="s">
        <v>13</v>
      </c>
      <c r="D561" t="s">
        <v>31</v>
      </c>
      <c r="E561" t="s">
        <v>38</v>
      </c>
      <c r="F561">
        <v>1696</v>
      </c>
      <c r="G561" s="1">
        <v>42076</v>
      </c>
      <c r="H561" s="2">
        <v>45378</v>
      </c>
      <c r="I561" t="s">
        <v>27</v>
      </c>
      <c r="J561" t="s">
        <v>598</v>
      </c>
      <c r="K561" t="s">
        <v>34</v>
      </c>
      <c r="L561" t="str">
        <f t="shared" si="48"/>
        <v>Mar</v>
      </c>
      <c r="M561" t="str">
        <f t="shared" si="49"/>
        <v>Q1</v>
      </c>
      <c r="N561" t="str">
        <f t="shared" si="50"/>
        <v>High</v>
      </c>
      <c r="O561">
        <f>_xlfn.XLOOKUP(I561,Helper_Table!A:A,Helper_Table!B:B)</f>
        <v>0.9</v>
      </c>
      <c r="P561" s="1">
        <f t="shared" si="51"/>
        <v>37868.400000000001</v>
      </c>
      <c r="Q561" s="4">
        <f t="shared" si="52"/>
        <v>1.1111111111111112</v>
      </c>
      <c r="R561" t="str">
        <f t="shared" si="53"/>
        <v>Achieved</v>
      </c>
    </row>
    <row r="562" spans="1:18">
      <c r="A562" t="s">
        <v>64</v>
      </c>
      <c r="B562" t="s">
        <v>36</v>
      </c>
      <c r="C562" t="s">
        <v>20</v>
      </c>
      <c r="D562" t="s">
        <v>21</v>
      </c>
      <c r="E562" t="s">
        <v>15</v>
      </c>
      <c r="F562">
        <v>1943</v>
      </c>
      <c r="G562" s="1">
        <v>42637</v>
      </c>
      <c r="H562" s="2">
        <v>45395</v>
      </c>
      <c r="I562" t="s">
        <v>41</v>
      </c>
      <c r="J562" t="s">
        <v>599</v>
      </c>
      <c r="K562" t="s">
        <v>44</v>
      </c>
      <c r="L562" t="str">
        <f t="shared" si="48"/>
        <v>Apr</v>
      </c>
      <c r="M562" t="str">
        <f t="shared" si="49"/>
        <v>Q2</v>
      </c>
      <c r="N562" t="str">
        <f t="shared" si="50"/>
        <v>High</v>
      </c>
      <c r="O562">
        <f>_xlfn.XLOOKUP(I562,Helper_Table!A:A,Helper_Table!B:B)</f>
        <v>1.2</v>
      </c>
      <c r="P562" s="1">
        <f t="shared" si="51"/>
        <v>51164.4</v>
      </c>
      <c r="Q562" s="4">
        <f t="shared" si="52"/>
        <v>0.83333333333333326</v>
      </c>
      <c r="R562" t="str">
        <f t="shared" si="53"/>
        <v>Below Target</v>
      </c>
    </row>
    <row r="563" spans="1:18">
      <c r="A563" t="s">
        <v>11</v>
      </c>
      <c r="B563" t="s">
        <v>12</v>
      </c>
      <c r="C563" t="s">
        <v>20</v>
      </c>
      <c r="D563" t="s">
        <v>14</v>
      </c>
      <c r="E563" t="s">
        <v>38</v>
      </c>
      <c r="F563">
        <v>794</v>
      </c>
      <c r="G563" s="1">
        <v>5918</v>
      </c>
      <c r="H563" s="2">
        <v>45396</v>
      </c>
      <c r="I563" t="s">
        <v>27</v>
      </c>
      <c r="J563" t="s">
        <v>600</v>
      </c>
      <c r="K563" t="s">
        <v>29</v>
      </c>
      <c r="L563" t="str">
        <f t="shared" si="48"/>
        <v>Apr</v>
      </c>
      <c r="M563" t="str">
        <f t="shared" si="49"/>
        <v>Q2</v>
      </c>
      <c r="N563" t="str">
        <f t="shared" si="50"/>
        <v>Low</v>
      </c>
      <c r="O563">
        <f>_xlfn.XLOOKUP(I563,Helper_Table!A:A,Helper_Table!B:B)</f>
        <v>0.9</v>
      </c>
      <c r="P563" s="1">
        <f t="shared" si="51"/>
        <v>5326.2</v>
      </c>
      <c r="Q563" s="4">
        <f t="shared" si="52"/>
        <v>1.1111111111111112</v>
      </c>
      <c r="R563" t="str">
        <f t="shared" si="53"/>
        <v>Achieved</v>
      </c>
    </row>
    <row r="564" spans="1:18">
      <c r="A564" t="s">
        <v>45</v>
      </c>
      <c r="B564" t="s">
        <v>49</v>
      </c>
      <c r="C564" t="s">
        <v>20</v>
      </c>
      <c r="D564" t="s">
        <v>21</v>
      </c>
      <c r="E564">
        <v>60</v>
      </c>
      <c r="F564">
        <v>601</v>
      </c>
      <c r="G564" s="1">
        <v>7096</v>
      </c>
      <c r="H564" s="2">
        <v>45471</v>
      </c>
      <c r="I564" t="s">
        <v>39</v>
      </c>
      <c r="J564" t="s">
        <v>601</v>
      </c>
      <c r="K564" t="s">
        <v>34</v>
      </c>
      <c r="L564" t="str">
        <f t="shared" si="48"/>
        <v>Jun</v>
      </c>
      <c r="M564" t="str">
        <f t="shared" si="49"/>
        <v>Q2</v>
      </c>
      <c r="N564" t="str">
        <f t="shared" si="50"/>
        <v>Low</v>
      </c>
      <c r="O564">
        <f>_xlfn.XLOOKUP(I564,Helper_Table!A:A,Helper_Table!B:B)</f>
        <v>1.1000000000000001</v>
      </c>
      <c r="P564" s="1">
        <f t="shared" si="51"/>
        <v>7805.6</v>
      </c>
      <c r="Q564" s="4">
        <f t="shared" si="52"/>
        <v>0.90909090909090906</v>
      </c>
      <c r="R564" t="str">
        <f t="shared" si="53"/>
        <v>Below Target</v>
      </c>
    </row>
    <row r="565" spans="1:18">
      <c r="A565" t="s">
        <v>64</v>
      </c>
      <c r="B565" t="s">
        <v>12</v>
      </c>
      <c r="C565" t="s">
        <v>20</v>
      </c>
      <c r="D565" t="s">
        <v>14</v>
      </c>
      <c r="E565">
        <v>30</v>
      </c>
      <c r="F565">
        <v>1954</v>
      </c>
      <c r="G565" s="1">
        <v>14676</v>
      </c>
      <c r="H565" s="2">
        <v>45280</v>
      </c>
      <c r="I565" t="s">
        <v>27</v>
      </c>
      <c r="J565" t="s">
        <v>602</v>
      </c>
      <c r="K565" t="s">
        <v>44</v>
      </c>
      <c r="L565" t="str">
        <f t="shared" si="48"/>
        <v>Dec</v>
      </c>
      <c r="M565" t="str">
        <f t="shared" si="49"/>
        <v>Q4</v>
      </c>
      <c r="N565" t="str">
        <f t="shared" si="50"/>
        <v>Low</v>
      </c>
      <c r="O565">
        <f>_xlfn.XLOOKUP(I565,Helper_Table!A:A,Helper_Table!B:B)</f>
        <v>0.9</v>
      </c>
      <c r="P565" s="1">
        <f t="shared" si="51"/>
        <v>13208.4</v>
      </c>
      <c r="Q565" s="4">
        <f t="shared" si="52"/>
        <v>1.1111111111111112</v>
      </c>
      <c r="R565" t="str">
        <f t="shared" si="53"/>
        <v>Achieved</v>
      </c>
    </row>
    <row r="566" spans="1:18">
      <c r="A566" t="s">
        <v>64</v>
      </c>
      <c r="B566" t="s">
        <v>49</v>
      </c>
      <c r="C566" t="s">
        <v>13</v>
      </c>
      <c r="D566" t="s">
        <v>31</v>
      </c>
      <c r="E566">
        <v>30</v>
      </c>
      <c r="F566">
        <v>301</v>
      </c>
      <c r="G566" s="1">
        <v>28337</v>
      </c>
      <c r="H566" s="2">
        <v>45209</v>
      </c>
      <c r="I566" t="s">
        <v>27</v>
      </c>
      <c r="J566" t="s">
        <v>603</v>
      </c>
      <c r="K566" t="s">
        <v>34</v>
      </c>
      <c r="L566" t="str">
        <f t="shared" si="48"/>
        <v>Oct</v>
      </c>
      <c r="M566" t="str">
        <f t="shared" si="49"/>
        <v>Q4</v>
      </c>
      <c r="N566" t="str">
        <f t="shared" si="50"/>
        <v>Medium</v>
      </c>
      <c r="O566">
        <f>_xlfn.XLOOKUP(I566,Helper_Table!A:A,Helper_Table!B:B)</f>
        <v>0.9</v>
      </c>
      <c r="P566" s="1">
        <f t="shared" si="51"/>
        <v>25503.3</v>
      </c>
      <c r="Q566" s="4">
        <f t="shared" si="52"/>
        <v>1.1111111111111112</v>
      </c>
      <c r="R566" t="str">
        <f t="shared" si="53"/>
        <v>Achieved</v>
      </c>
    </row>
    <row r="567" spans="1:18">
      <c r="A567" t="s">
        <v>64</v>
      </c>
      <c r="B567" t="s">
        <v>51</v>
      </c>
      <c r="C567" t="s">
        <v>20</v>
      </c>
      <c r="D567" t="s">
        <v>66</v>
      </c>
      <c r="E567" t="s">
        <v>15</v>
      </c>
      <c r="F567">
        <v>648</v>
      </c>
      <c r="G567" s="1">
        <v>34565</v>
      </c>
      <c r="H567" s="2">
        <v>45453</v>
      </c>
      <c r="I567" t="s">
        <v>16</v>
      </c>
      <c r="J567" t="s">
        <v>604</v>
      </c>
      <c r="K567" t="s">
        <v>44</v>
      </c>
      <c r="L567" t="str">
        <f t="shared" si="48"/>
        <v>Jun</v>
      </c>
      <c r="M567" t="str">
        <f t="shared" si="49"/>
        <v>Q2</v>
      </c>
      <c r="N567" t="str">
        <f t="shared" si="50"/>
        <v>Medium</v>
      </c>
      <c r="O567">
        <f>_xlfn.XLOOKUP(I567,Helper_Table!A:A,Helper_Table!B:B)</f>
        <v>1.1000000000000001</v>
      </c>
      <c r="P567" s="1">
        <f t="shared" si="51"/>
        <v>38021.5</v>
      </c>
      <c r="Q567" s="4">
        <f t="shared" si="52"/>
        <v>0.90909090909090906</v>
      </c>
      <c r="R567" t="str">
        <f t="shared" si="53"/>
        <v>Below Target</v>
      </c>
    </row>
    <row r="568" spans="1:18">
      <c r="A568" t="s">
        <v>24</v>
      </c>
      <c r="B568" t="s">
        <v>12</v>
      </c>
      <c r="C568" t="s">
        <v>30</v>
      </c>
      <c r="D568" t="s">
        <v>31</v>
      </c>
      <c r="E568" t="s">
        <v>15</v>
      </c>
      <c r="F568">
        <v>508</v>
      </c>
      <c r="G568" s="1">
        <v>9190</v>
      </c>
      <c r="H568" s="2">
        <v>45225</v>
      </c>
      <c r="I568" t="s">
        <v>27</v>
      </c>
      <c r="J568" t="s">
        <v>605</v>
      </c>
      <c r="K568" t="s">
        <v>29</v>
      </c>
      <c r="L568" t="str">
        <f t="shared" si="48"/>
        <v>Oct</v>
      </c>
      <c r="M568" t="str">
        <f t="shared" si="49"/>
        <v>Q4</v>
      </c>
      <c r="N568" t="str">
        <f t="shared" si="50"/>
        <v>Low</v>
      </c>
      <c r="O568">
        <f>_xlfn.XLOOKUP(I568,Helper_Table!A:A,Helper_Table!B:B)</f>
        <v>0.9</v>
      </c>
      <c r="P568" s="1">
        <f t="shared" si="51"/>
        <v>8271</v>
      </c>
      <c r="Q568" s="4">
        <f t="shared" si="52"/>
        <v>1.1111111111111112</v>
      </c>
      <c r="R568" t="str">
        <f t="shared" si="53"/>
        <v>Achieved</v>
      </c>
    </row>
    <row r="569" spans="1:18">
      <c r="A569" t="s">
        <v>24</v>
      </c>
      <c r="B569" t="s">
        <v>49</v>
      </c>
      <c r="C569" t="s">
        <v>30</v>
      </c>
      <c r="D569" t="s">
        <v>14</v>
      </c>
      <c r="E569">
        <v>30</v>
      </c>
      <c r="F569">
        <v>1259</v>
      </c>
      <c r="G569" s="1">
        <v>21505</v>
      </c>
      <c r="H569" s="2">
        <v>45204</v>
      </c>
      <c r="I569" t="s">
        <v>39</v>
      </c>
      <c r="J569" t="s">
        <v>606</v>
      </c>
      <c r="K569" t="s">
        <v>44</v>
      </c>
      <c r="L569" t="str">
        <f t="shared" si="48"/>
        <v>Oct</v>
      </c>
      <c r="M569" t="str">
        <f t="shared" si="49"/>
        <v>Q4</v>
      </c>
      <c r="N569" t="str">
        <f t="shared" si="50"/>
        <v>Medium</v>
      </c>
      <c r="O569">
        <f>_xlfn.XLOOKUP(I569,Helper_Table!A:A,Helper_Table!B:B)</f>
        <v>1.1000000000000001</v>
      </c>
      <c r="P569" s="1">
        <f t="shared" si="51"/>
        <v>23655.500000000004</v>
      </c>
      <c r="Q569" s="4">
        <f t="shared" si="52"/>
        <v>0.90909090909090895</v>
      </c>
      <c r="R569" t="str">
        <f t="shared" si="53"/>
        <v>Below Target</v>
      </c>
    </row>
    <row r="570" spans="1:18">
      <c r="A570" t="s">
        <v>35</v>
      </c>
      <c r="B570" t="s">
        <v>49</v>
      </c>
      <c r="C570" t="s">
        <v>30</v>
      </c>
      <c r="D570" t="s">
        <v>14</v>
      </c>
      <c r="E570">
        <v>60</v>
      </c>
      <c r="F570">
        <v>1922</v>
      </c>
      <c r="G570" s="1">
        <v>5404</v>
      </c>
      <c r="H570" s="2">
        <v>45287</v>
      </c>
      <c r="I570" t="s">
        <v>27</v>
      </c>
      <c r="J570" t="s">
        <v>607</v>
      </c>
      <c r="K570" t="s">
        <v>29</v>
      </c>
      <c r="L570" t="str">
        <f t="shared" si="48"/>
        <v>Dec</v>
      </c>
      <c r="M570" t="str">
        <f t="shared" si="49"/>
        <v>Q4</v>
      </c>
      <c r="N570" t="str">
        <f t="shared" si="50"/>
        <v>Low</v>
      </c>
      <c r="O570">
        <f>_xlfn.XLOOKUP(I570,Helper_Table!A:A,Helper_Table!B:B)</f>
        <v>0.9</v>
      </c>
      <c r="P570" s="1">
        <f t="shared" si="51"/>
        <v>4863.6000000000004</v>
      </c>
      <c r="Q570" s="4">
        <f t="shared" si="52"/>
        <v>1.1111111111111109</v>
      </c>
      <c r="R570" t="str">
        <f t="shared" si="53"/>
        <v>Achieved</v>
      </c>
    </row>
    <row r="571" spans="1:18">
      <c r="A571" t="s">
        <v>35</v>
      </c>
      <c r="B571" t="s">
        <v>12</v>
      </c>
      <c r="C571" t="s">
        <v>13</v>
      </c>
      <c r="D571" t="s">
        <v>14</v>
      </c>
      <c r="E571" t="s">
        <v>22</v>
      </c>
      <c r="F571">
        <v>1769</v>
      </c>
      <c r="G571" s="1">
        <v>49043</v>
      </c>
      <c r="H571" s="2">
        <v>45206</v>
      </c>
      <c r="I571" t="s">
        <v>16</v>
      </c>
      <c r="J571" t="s">
        <v>608</v>
      </c>
      <c r="K571" t="s">
        <v>44</v>
      </c>
      <c r="L571" t="str">
        <f t="shared" si="48"/>
        <v>Oct</v>
      </c>
      <c r="M571" t="str">
        <f t="shared" si="49"/>
        <v>Q4</v>
      </c>
      <c r="N571" t="str">
        <f t="shared" si="50"/>
        <v>High</v>
      </c>
      <c r="O571">
        <f>_xlfn.XLOOKUP(I571,Helper_Table!A:A,Helper_Table!B:B)</f>
        <v>1.1000000000000001</v>
      </c>
      <c r="P571" s="1">
        <f t="shared" si="51"/>
        <v>53947.3</v>
      </c>
      <c r="Q571" s="4">
        <f t="shared" si="52"/>
        <v>0.90909090909090906</v>
      </c>
      <c r="R571" t="str">
        <f t="shared" si="53"/>
        <v>Below Target</v>
      </c>
    </row>
    <row r="572" spans="1:18">
      <c r="A572" t="s">
        <v>11</v>
      </c>
      <c r="B572" t="s">
        <v>49</v>
      </c>
      <c r="C572" t="s">
        <v>25</v>
      </c>
      <c r="D572" t="s">
        <v>26</v>
      </c>
      <c r="E572" t="s">
        <v>22</v>
      </c>
      <c r="F572">
        <v>348</v>
      </c>
      <c r="G572" s="1">
        <v>40962</v>
      </c>
      <c r="H572" s="2">
        <v>45145</v>
      </c>
      <c r="I572" t="s">
        <v>16</v>
      </c>
      <c r="J572" t="s">
        <v>609</v>
      </c>
      <c r="K572" t="s">
        <v>29</v>
      </c>
      <c r="L572" t="str">
        <f t="shared" si="48"/>
        <v>Aug</v>
      </c>
      <c r="M572" t="str">
        <f t="shared" si="49"/>
        <v>Q3</v>
      </c>
      <c r="N572" t="str">
        <f t="shared" si="50"/>
        <v>High</v>
      </c>
      <c r="O572">
        <f>_xlfn.XLOOKUP(I572,Helper_Table!A:A,Helper_Table!B:B)</f>
        <v>1.1000000000000001</v>
      </c>
      <c r="P572" s="1">
        <f t="shared" si="51"/>
        <v>45058.200000000004</v>
      </c>
      <c r="Q572" s="4">
        <f t="shared" si="52"/>
        <v>0.90909090909090895</v>
      </c>
      <c r="R572" t="str">
        <f t="shared" si="53"/>
        <v>Below Target</v>
      </c>
    </row>
    <row r="573" spans="1:18">
      <c r="A573" t="s">
        <v>35</v>
      </c>
      <c r="B573" t="s">
        <v>49</v>
      </c>
      <c r="C573" t="s">
        <v>20</v>
      </c>
      <c r="D573" t="s">
        <v>26</v>
      </c>
      <c r="E573" t="s">
        <v>15</v>
      </c>
      <c r="F573">
        <v>317</v>
      </c>
      <c r="G573" s="1">
        <v>17536</v>
      </c>
      <c r="H573" s="2">
        <v>45351</v>
      </c>
      <c r="I573" t="s">
        <v>27</v>
      </c>
      <c r="J573" t="s">
        <v>610</v>
      </c>
      <c r="K573" t="s">
        <v>47</v>
      </c>
      <c r="L573" t="str">
        <f t="shared" si="48"/>
        <v>Feb</v>
      </c>
      <c r="M573" t="str">
        <f t="shared" si="49"/>
        <v>Q1</v>
      </c>
      <c r="N573" t="str">
        <f t="shared" si="50"/>
        <v>Low</v>
      </c>
      <c r="O573">
        <f>_xlfn.XLOOKUP(I573,Helper_Table!A:A,Helper_Table!B:B)</f>
        <v>0.9</v>
      </c>
      <c r="P573" s="1">
        <f t="shared" si="51"/>
        <v>15782.4</v>
      </c>
      <c r="Q573" s="4">
        <f t="shared" si="52"/>
        <v>1.1111111111111112</v>
      </c>
      <c r="R573" t="str">
        <f t="shared" si="53"/>
        <v>Achieved</v>
      </c>
    </row>
    <row r="574" spans="1:18">
      <c r="A574" t="s">
        <v>64</v>
      </c>
      <c r="B574" t="s">
        <v>19</v>
      </c>
      <c r="C574" t="s">
        <v>13</v>
      </c>
      <c r="D574" t="s">
        <v>66</v>
      </c>
      <c r="E574" t="s">
        <v>22</v>
      </c>
      <c r="F574">
        <v>832</v>
      </c>
      <c r="G574" s="1">
        <v>14813</v>
      </c>
      <c r="H574" s="2">
        <v>45231</v>
      </c>
      <c r="I574" t="s">
        <v>41</v>
      </c>
      <c r="J574" t="s">
        <v>611</v>
      </c>
      <c r="K574" t="s">
        <v>47</v>
      </c>
      <c r="L574" t="str">
        <f t="shared" si="48"/>
        <v>Nov</v>
      </c>
      <c r="M574" t="str">
        <f t="shared" si="49"/>
        <v>Q4</v>
      </c>
      <c r="N574" t="str">
        <f t="shared" si="50"/>
        <v>Low</v>
      </c>
      <c r="O574">
        <f>_xlfn.XLOOKUP(I574,Helper_Table!A:A,Helper_Table!B:B)</f>
        <v>1.2</v>
      </c>
      <c r="P574" s="1">
        <f t="shared" si="51"/>
        <v>17775.599999999999</v>
      </c>
      <c r="Q574" s="4">
        <f t="shared" si="52"/>
        <v>0.83333333333333337</v>
      </c>
      <c r="R574" t="str">
        <f t="shared" si="53"/>
        <v>Below Target</v>
      </c>
    </row>
    <row r="575" spans="1:18">
      <c r="A575" t="s">
        <v>11</v>
      </c>
      <c r="B575" t="s">
        <v>12</v>
      </c>
      <c r="C575" t="s">
        <v>30</v>
      </c>
      <c r="D575" t="s">
        <v>26</v>
      </c>
      <c r="E575" t="s">
        <v>15</v>
      </c>
      <c r="F575">
        <v>1217</v>
      </c>
      <c r="G575" s="1">
        <v>44230</v>
      </c>
      <c r="H575" s="2">
        <v>45163</v>
      </c>
      <c r="I575" t="s">
        <v>32</v>
      </c>
      <c r="J575" t="s">
        <v>612</v>
      </c>
      <c r="K575" t="s">
        <v>18</v>
      </c>
      <c r="L575" t="str">
        <f t="shared" si="48"/>
        <v>Aug</v>
      </c>
      <c r="M575" t="str">
        <f t="shared" si="49"/>
        <v>Q3</v>
      </c>
      <c r="N575" t="str">
        <f t="shared" si="50"/>
        <v>High</v>
      </c>
      <c r="O575">
        <f>_xlfn.XLOOKUP(I575,Helper_Table!A:A,Helper_Table!B:B)</f>
        <v>0.95</v>
      </c>
      <c r="P575" s="1">
        <f t="shared" si="51"/>
        <v>42018.5</v>
      </c>
      <c r="Q575" s="4">
        <f t="shared" si="52"/>
        <v>1.0526315789473684</v>
      </c>
      <c r="R575" t="str">
        <f t="shared" si="53"/>
        <v>Achieved</v>
      </c>
    </row>
    <row r="576" spans="1:18">
      <c r="A576" t="s">
        <v>11</v>
      </c>
      <c r="B576" t="s">
        <v>36</v>
      </c>
      <c r="C576" t="s">
        <v>13</v>
      </c>
      <c r="D576" t="s">
        <v>31</v>
      </c>
      <c r="E576">
        <v>30</v>
      </c>
      <c r="F576">
        <v>987</v>
      </c>
      <c r="G576" s="1">
        <v>46351</v>
      </c>
      <c r="H576" s="2">
        <v>45395</v>
      </c>
      <c r="I576" t="s">
        <v>32</v>
      </c>
      <c r="J576" t="s">
        <v>613</v>
      </c>
      <c r="K576" t="s">
        <v>34</v>
      </c>
      <c r="L576" t="str">
        <f t="shared" si="48"/>
        <v>Apr</v>
      </c>
      <c r="M576" t="str">
        <f t="shared" si="49"/>
        <v>Q2</v>
      </c>
      <c r="N576" t="str">
        <f t="shared" si="50"/>
        <v>High</v>
      </c>
      <c r="O576">
        <f>_xlfn.XLOOKUP(I576,Helper_Table!A:A,Helper_Table!B:B)</f>
        <v>0.95</v>
      </c>
      <c r="P576" s="1">
        <f t="shared" si="51"/>
        <v>44033.45</v>
      </c>
      <c r="Q576" s="4">
        <f t="shared" si="52"/>
        <v>1.0526315789473686</v>
      </c>
      <c r="R576" t="str">
        <f t="shared" si="53"/>
        <v>Achieved</v>
      </c>
    </row>
    <row r="577" spans="1:18">
      <c r="A577" t="s">
        <v>35</v>
      </c>
      <c r="B577" t="s">
        <v>36</v>
      </c>
      <c r="C577" t="s">
        <v>20</v>
      </c>
      <c r="D577" t="s">
        <v>14</v>
      </c>
      <c r="E577">
        <v>30</v>
      </c>
      <c r="F577">
        <v>1544</v>
      </c>
      <c r="G577" s="1">
        <v>28088</v>
      </c>
      <c r="H577" s="2">
        <v>45396</v>
      </c>
      <c r="I577" t="s">
        <v>16</v>
      </c>
      <c r="J577" t="s">
        <v>614</v>
      </c>
      <c r="K577" t="s">
        <v>29</v>
      </c>
      <c r="L577" t="str">
        <f t="shared" si="48"/>
        <v>Apr</v>
      </c>
      <c r="M577" t="str">
        <f t="shared" si="49"/>
        <v>Q2</v>
      </c>
      <c r="N577" t="str">
        <f t="shared" si="50"/>
        <v>Medium</v>
      </c>
      <c r="O577">
        <f>_xlfn.XLOOKUP(I577,Helper_Table!A:A,Helper_Table!B:B)</f>
        <v>1.1000000000000001</v>
      </c>
      <c r="P577" s="1">
        <f t="shared" si="51"/>
        <v>30896.800000000003</v>
      </c>
      <c r="Q577" s="4">
        <f t="shared" si="52"/>
        <v>0.90909090909090906</v>
      </c>
      <c r="R577" t="str">
        <f t="shared" si="53"/>
        <v>Below Target</v>
      </c>
    </row>
    <row r="578" spans="1:18">
      <c r="A578" t="s">
        <v>35</v>
      </c>
      <c r="B578" t="s">
        <v>49</v>
      </c>
      <c r="C578" t="s">
        <v>30</v>
      </c>
      <c r="D578" t="s">
        <v>31</v>
      </c>
      <c r="E578" t="s">
        <v>15</v>
      </c>
      <c r="F578">
        <v>1500</v>
      </c>
      <c r="G578" s="1">
        <v>33627</v>
      </c>
      <c r="H578" s="2">
        <v>45235</v>
      </c>
      <c r="I578" t="s">
        <v>27</v>
      </c>
      <c r="J578" t="s">
        <v>615</v>
      </c>
      <c r="K578" t="s">
        <v>29</v>
      </c>
      <c r="L578" t="str">
        <f t="shared" ref="L578:L641" si="54">TEXT(H578,"MMM")</f>
        <v>Nov</v>
      </c>
      <c r="M578" t="str">
        <f t="shared" ref="M578:M641" si="55">"Q"&amp;ROUNDUP(MONTH(H578)/3,0)</f>
        <v>Q4</v>
      </c>
      <c r="N578" t="str">
        <f t="shared" ref="N578:N641" si="56">IF(G578&gt;40000,"High",
IF(G578&gt;20000,"Medium","Low"))</f>
        <v>Medium</v>
      </c>
      <c r="O578">
        <f>_xlfn.XLOOKUP(I578,Helper_Table!A:A,Helper_Table!B:B)</f>
        <v>0.9</v>
      </c>
      <c r="P578" s="1">
        <f t="shared" ref="P578:P641" si="57">G578*O578</f>
        <v>30264.3</v>
      </c>
      <c r="Q578" s="4">
        <f t="shared" ref="Q578:Q641" si="58">G578/P578</f>
        <v>1.1111111111111112</v>
      </c>
      <c r="R578" t="str">
        <f t="shared" ref="R578:R641" si="59">IF(Q578&gt;=1,"Achieved","Below Target")</f>
        <v>Achieved</v>
      </c>
    </row>
    <row r="579" spans="1:18">
      <c r="A579" t="s">
        <v>11</v>
      </c>
      <c r="B579" t="s">
        <v>36</v>
      </c>
      <c r="C579" t="s">
        <v>59</v>
      </c>
      <c r="D579" t="s">
        <v>66</v>
      </c>
      <c r="E579" t="s">
        <v>22</v>
      </c>
      <c r="F579">
        <v>1406</v>
      </c>
      <c r="G579" s="1">
        <v>38824</v>
      </c>
      <c r="H579" s="2">
        <v>45289</v>
      </c>
      <c r="I579" t="s">
        <v>39</v>
      </c>
      <c r="J579" t="s">
        <v>616</v>
      </c>
      <c r="K579" t="s">
        <v>34</v>
      </c>
      <c r="L579" t="str">
        <f t="shared" si="54"/>
        <v>Dec</v>
      </c>
      <c r="M579" t="str">
        <f t="shared" si="55"/>
        <v>Q4</v>
      </c>
      <c r="N579" t="str">
        <f t="shared" si="56"/>
        <v>Medium</v>
      </c>
      <c r="O579">
        <f>_xlfn.XLOOKUP(I579,Helper_Table!A:A,Helper_Table!B:B)</f>
        <v>1.1000000000000001</v>
      </c>
      <c r="P579" s="1">
        <f t="shared" si="57"/>
        <v>42706.400000000001</v>
      </c>
      <c r="Q579" s="4">
        <f t="shared" si="58"/>
        <v>0.90909090909090906</v>
      </c>
      <c r="R579" t="str">
        <f t="shared" si="59"/>
        <v>Below Target</v>
      </c>
    </row>
    <row r="580" spans="1:18">
      <c r="A580" t="s">
        <v>11</v>
      </c>
      <c r="B580" t="s">
        <v>51</v>
      </c>
      <c r="C580" t="s">
        <v>30</v>
      </c>
      <c r="D580" t="s">
        <v>21</v>
      </c>
      <c r="E580" t="s">
        <v>15</v>
      </c>
      <c r="F580">
        <v>1176</v>
      </c>
      <c r="G580" s="1">
        <v>3089</v>
      </c>
      <c r="H580" s="2">
        <v>45140</v>
      </c>
      <c r="I580" t="s">
        <v>39</v>
      </c>
      <c r="J580" t="s">
        <v>617</v>
      </c>
      <c r="K580" t="s">
        <v>18</v>
      </c>
      <c r="L580" t="str">
        <f t="shared" si="54"/>
        <v>Aug</v>
      </c>
      <c r="M580" t="str">
        <f t="shared" si="55"/>
        <v>Q3</v>
      </c>
      <c r="N580" t="str">
        <f t="shared" si="56"/>
        <v>Low</v>
      </c>
      <c r="O580">
        <f>_xlfn.XLOOKUP(I580,Helper_Table!A:A,Helper_Table!B:B)</f>
        <v>1.1000000000000001</v>
      </c>
      <c r="P580" s="1">
        <f t="shared" si="57"/>
        <v>3397.9</v>
      </c>
      <c r="Q580" s="4">
        <f t="shared" si="58"/>
        <v>0.90909090909090906</v>
      </c>
      <c r="R580" t="str">
        <f t="shared" si="59"/>
        <v>Below Target</v>
      </c>
    </row>
    <row r="581" spans="1:18">
      <c r="A581" t="s">
        <v>11</v>
      </c>
      <c r="B581" t="s">
        <v>12</v>
      </c>
      <c r="C581" t="s">
        <v>59</v>
      </c>
      <c r="D581" t="s">
        <v>21</v>
      </c>
      <c r="E581" t="s">
        <v>38</v>
      </c>
      <c r="F581">
        <v>1806</v>
      </c>
      <c r="G581" s="1">
        <v>24517</v>
      </c>
      <c r="H581" s="2">
        <v>45398</v>
      </c>
      <c r="I581" t="s">
        <v>16</v>
      </c>
      <c r="J581" t="s">
        <v>618</v>
      </c>
      <c r="K581" t="s">
        <v>44</v>
      </c>
      <c r="L581" t="str">
        <f t="shared" si="54"/>
        <v>Apr</v>
      </c>
      <c r="M581" t="str">
        <f t="shared" si="55"/>
        <v>Q2</v>
      </c>
      <c r="N581" t="str">
        <f t="shared" si="56"/>
        <v>Medium</v>
      </c>
      <c r="O581">
        <f>_xlfn.XLOOKUP(I581,Helper_Table!A:A,Helper_Table!B:B)</f>
        <v>1.1000000000000001</v>
      </c>
      <c r="P581" s="1">
        <f t="shared" si="57"/>
        <v>26968.7</v>
      </c>
      <c r="Q581" s="4">
        <f t="shared" si="58"/>
        <v>0.90909090909090906</v>
      </c>
      <c r="R581" t="str">
        <f t="shared" si="59"/>
        <v>Below Target</v>
      </c>
    </row>
    <row r="582" spans="1:18">
      <c r="A582" t="s">
        <v>45</v>
      </c>
      <c r="B582" t="s">
        <v>36</v>
      </c>
      <c r="C582" t="s">
        <v>59</v>
      </c>
      <c r="D582" t="s">
        <v>66</v>
      </c>
      <c r="E582">
        <v>30</v>
      </c>
      <c r="F582">
        <v>1187</v>
      </c>
      <c r="G582" s="1">
        <v>25578</v>
      </c>
      <c r="H582" s="2">
        <v>45220</v>
      </c>
      <c r="I582" t="s">
        <v>41</v>
      </c>
      <c r="J582" t="s">
        <v>619</v>
      </c>
      <c r="K582" t="s">
        <v>18</v>
      </c>
      <c r="L582" t="str">
        <f t="shared" si="54"/>
        <v>Oct</v>
      </c>
      <c r="M582" t="str">
        <f t="shared" si="55"/>
        <v>Q4</v>
      </c>
      <c r="N582" t="str">
        <f t="shared" si="56"/>
        <v>Medium</v>
      </c>
      <c r="O582">
        <f>_xlfn.XLOOKUP(I582,Helper_Table!A:A,Helper_Table!B:B)</f>
        <v>1.2</v>
      </c>
      <c r="P582" s="1">
        <f t="shared" si="57"/>
        <v>30693.599999999999</v>
      </c>
      <c r="Q582" s="4">
        <f t="shared" si="58"/>
        <v>0.83333333333333337</v>
      </c>
      <c r="R582" t="str">
        <f t="shared" si="59"/>
        <v>Below Target</v>
      </c>
    </row>
    <row r="583" spans="1:18">
      <c r="A583" t="s">
        <v>45</v>
      </c>
      <c r="B583" t="s">
        <v>12</v>
      </c>
      <c r="C583" t="s">
        <v>20</v>
      </c>
      <c r="D583" t="s">
        <v>66</v>
      </c>
      <c r="E583" t="s">
        <v>38</v>
      </c>
      <c r="F583">
        <v>606</v>
      </c>
      <c r="G583" s="1">
        <v>19299</v>
      </c>
      <c r="H583" s="2">
        <v>45358</v>
      </c>
      <c r="I583" t="s">
        <v>41</v>
      </c>
      <c r="J583" t="s">
        <v>620</v>
      </c>
      <c r="K583" t="s">
        <v>44</v>
      </c>
      <c r="L583" t="str">
        <f t="shared" si="54"/>
        <v>Mar</v>
      </c>
      <c r="M583" t="str">
        <f t="shared" si="55"/>
        <v>Q1</v>
      </c>
      <c r="N583" t="str">
        <f t="shared" si="56"/>
        <v>Low</v>
      </c>
      <c r="O583">
        <f>_xlfn.XLOOKUP(I583,Helper_Table!A:A,Helper_Table!B:B)</f>
        <v>1.2</v>
      </c>
      <c r="P583" s="1">
        <f t="shared" si="57"/>
        <v>23158.799999999999</v>
      </c>
      <c r="Q583" s="4">
        <f t="shared" si="58"/>
        <v>0.83333333333333337</v>
      </c>
      <c r="R583" t="str">
        <f t="shared" si="59"/>
        <v>Below Target</v>
      </c>
    </row>
    <row r="584" spans="1:18">
      <c r="A584" t="s">
        <v>64</v>
      </c>
      <c r="B584" t="s">
        <v>49</v>
      </c>
      <c r="C584" t="s">
        <v>30</v>
      </c>
      <c r="D584" t="s">
        <v>26</v>
      </c>
      <c r="E584">
        <v>30</v>
      </c>
      <c r="F584">
        <v>1824</v>
      </c>
      <c r="G584" s="1">
        <v>35974</v>
      </c>
      <c r="H584" s="2">
        <v>45141</v>
      </c>
      <c r="I584" t="s">
        <v>39</v>
      </c>
      <c r="J584" t="s">
        <v>621</v>
      </c>
      <c r="K584" t="s">
        <v>29</v>
      </c>
      <c r="L584" t="str">
        <f t="shared" si="54"/>
        <v>Aug</v>
      </c>
      <c r="M584" t="str">
        <f t="shared" si="55"/>
        <v>Q3</v>
      </c>
      <c r="N584" t="str">
        <f t="shared" si="56"/>
        <v>Medium</v>
      </c>
      <c r="O584">
        <f>_xlfn.XLOOKUP(I584,Helper_Table!A:A,Helper_Table!B:B)</f>
        <v>1.1000000000000001</v>
      </c>
      <c r="P584" s="1">
        <f t="shared" si="57"/>
        <v>39571.4</v>
      </c>
      <c r="Q584" s="4">
        <f t="shared" si="58"/>
        <v>0.90909090909090906</v>
      </c>
      <c r="R584" t="str">
        <f t="shared" si="59"/>
        <v>Below Target</v>
      </c>
    </row>
    <row r="585" spans="1:18">
      <c r="A585" t="s">
        <v>11</v>
      </c>
      <c r="B585" t="s">
        <v>49</v>
      </c>
      <c r="C585" t="s">
        <v>13</v>
      </c>
      <c r="D585" t="s">
        <v>14</v>
      </c>
      <c r="E585">
        <v>30</v>
      </c>
      <c r="F585">
        <v>1082</v>
      </c>
      <c r="G585" s="1">
        <v>1598</v>
      </c>
      <c r="H585" s="2">
        <v>45197</v>
      </c>
      <c r="I585" t="s">
        <v>41</v>
      </c>
      <c r="J585" t="s">
        <v>622</v>
      </c>
      <c r="K585" t="s">
        <v>47</v>
      </c>
      <c r="L585" t="str">
        <f t="shared" si="54"/>
        <v>Sep</v>
      </c>
      <c r="M585" t="str">
        <f t="shared" si="55"/>
        <v>Q3</v>
      </c>
      <c r="N585" t="str">
        <f t="shared" si="56"/>
        <v>Low</v>
      </c>
      <c r="O585">
        <f>_xlfn.XLOOKUP(I585,Helper_Table!A:A,Helper_Table!B:B)</f>
        <v>1.2</v>
      </c>
      <c r="P585" s="1">
        <f t="shared" si="57"/>
        <v>1917.6</v>
      </c>
      <c r="Q585" s="4">
        <f t="shared" si="58"/>
        <v>0.83333333333333337</v>
      </c>
      <c r="R585" t="str">
        <f t="shared" si="59"/>
        <v>Below Target</v>
      </c>
    </row>
    <row r="586" spans="1:18">
      <c r="A586" t="s">
        <v>11</v>
      </c>
      <c r="B586" t="s">
        <v>12</v>
      </c>
      <c r="C586" t="s">
        <v>30</v>
      </c>
      <c r="D586" t="s">
        <v>21</v>
      </c>
      <c r="E586" t="s">
        <v>15</v>
      </c>
      <c r="F586">
        <v>1738</v>
      </c>
      <c r="G586" s="1">
        <v>46460</v>
      </c>
      <c r="H586" s="2">
        <v>45380</v>
      </c>
      <c r="I586" t="s">
        <v>16</v>
      </c>
      <c r="J586" t="s">
        <v>623</v>
      </c>
      <c r="K586" t="s">
        <v>44</v>
      </c>
      <c r="L586" t="str">
        <f t="shared" si="54"/>
        <v>Mar</v>
      </c>
      <c r="M586" t="str">
        <f t="shared" si="55"/>
        <v>Q1</v>
      </c>
      <c r="N586" t="str">
        <f t="shared" si="56"/>
        <v>High</v>
      </c>
      <c r="O586">
        <f>_xlfn.XLOOKUP(I586,Helper_Table!A:A,Helper_Table!B:B)</f>
        <v>1.1000000000000001</v>
      </c>
      <c r="P586" s="1">
        <f t="shared" si="57"/>
        <v>51106.000000000007</v>
      </c>
      <c r="Q586" s="4">
        <f t="shared" si="58"/>
        <v>0.90909090909090895</v>
      </c>
      <c r="R586" t="str">
        <f t="shared" si="59"/>
        <v>Below Target</v>
      </c>
    </row>
    <row r="587" spans="1:18">
      <c r="A587" t="s">
        <v>45</v>
      </c>
      <c r="B587" t="s">
        <v>49</v>
      </c>
      <c r="C587" t="s">
        <v>25</v>
      </c>
      <c r="D587" t="s">
        <v>66</v>
      </c>
      <c r="E587" t="s">
        <v>22</v>
      </c>
      <c r="F587">
        <v>566</v>
      </c>
      <c r="G587" s="1">
        <v>7773</v>
      </c>
      <c r="H587" s="2">
        <v>45192</v>
      </c>
      <c r="I587" t="s">
        <v>39</v>
      </c>
      <c r="J587" t="s">
        <v>624</v>
      </c>
      <c r="K587" t="s">
        <v>34</v>
      </c>
      <c r="L587" t="str">
        <f t="shared" si="54"/>
        <v>Sep</v>
      </c>
      <c r="M587" t="str">
        <f t="shared" si="55"/>
        <v>Q3</v>
      </c>
      <c r="N587" t="str">
        <f t="shared" si="56"/>
        <v>Low</v>
      </c>
      <c r="O587">
        <f>_xlfn.XLOOKUP(I587,Helper_Table!A:A,Helper_Table!B:B)</f>
        <v>1.1000000000000001</v>
      </c>
      <c r="P587" s="1">
        <f t="shared" si="57"/>
        <v>8550.3000000000011</v>
      </c>
      <c r="Q587" s="4">
        <f t="shared" si="58"/>
        <v>0.90909090909090895</v>
      </c>
      <c r="R587" t="str">
        <f t="shared" si="59"/>
        <v>Below Target</v>
      </c>
    </row>
    <row r="588" spans="1:18">
      <c r="A588" t="s">
        <v>64</v>
      </c>
      <c r="B588" t="s">
        <v>49</v>
      </c>
      <c r="C588" t="s">
        <v>13</v>
      </c>
      <c r="D588" t="s">
        <v>26</v>
      </c>
      <c r="E588" t="s">
        <v>22</v>
      </c>
      <c r="F588">
        <v>1542</v>
      </c>
      <c r="G588" s="1">
        <v>18211</v>
      </c>
      <c r="H588" s="2">
        <v>45218</v>
      </c>
      <c r="I588" t="s">
        <v>39</v>
      </c>
      <c r="J588" t="s">
        <v>625</v>
      </c>
      <c r="K588" t="s">
        <v>34</v>
      </c>
      <c r="L588" t="str">
        <f t="shared" si="54"/>
        <v>Oct</v>
      </c>
      <c r="M588" t="str">
        <f t="shared" si="55"/>
        <v>Q4</v>
      </c>
      <c r="N588" t="str">
        <f t="shared" si="56"/>
        <v>Low</v>
      </c>
      <c r="O588">
        <f>_xlfn.XLOOKUP(I588,Helper_Table!A:A,Helper_Table!B:B)</f>
        <v>1.1000000000000001</v>
      </c>
      <c r="P588" s="1">
        <f t="shared" si="57"/>
        <v>20032.100000000002</v>
      </c>
      <c r="Q588" s="4">
        <f t="shared" si="58"/>
        <v>0.90909090909090895</v>
      </c>
      <c r="R588" t="str">
        <f t="shared" si="59"/>
        <v>Below Target</v>
      </c>
    </row>
    <row r="589" spans="1:18">
      <c r="A589" t="s">
        <v>11</v>
      </c>
      <c r="B589" t="s">
        <v>51</v>
      </c>
      <c r="C589" t="s">
        <v>25</v>
      </c>
      <c r="D589" t="s">
        <v>66</v>
      </c>
      <c r="E589" t="s">
        <v>22</v>
      </c>
      <c r="F589">
        <v>1818</v>
      </c>
      <c r="G589" s="1">
        <v>24007</v>
      </c>
      <c r="H589" s="2">
        <v>45427</v>
      </c>
      <c r="I589" t="s">
        <v>32</v>
      </c>
      <c r="J589" t="s">
        <v>626</v>
      </c>
      <c r="K589" t="s">
        <v>47</v>
      </c>
      <c r="L589" t="str">
        <f t="shared" si="54"/>
        <v>May</v>
      </c>
      <c r="M589" t="str">
        <f t="shared" si="55"/>
        <v>Q2</v>
      </c>
      <c r="N589" t="str">
        <f t="shared" si="56"/>
        <v>Medium</v>
      </c>
      <c r="O589">
        <f>_xlfn.XLOOKUP(I589,Helper_Table!A:A,Helper_Table!B:B)</f>
        <v>0.95</v>
      </c>
      <c r="P589" s="1">
        <f t="shared" si="57"/>
        <v>22806.649999999998</v>
      </c>
      <c r="Q589" s="4">
        <f t="shared" si="58"/>
        <v>1.0526315789473686</v>
      </c>
      <c r="R589" t="str">
        <f t="shared" si="59"/>
        <v>Achieved</v>
      </c>
    </row>
    <row r="590" spans="1:18">
      <c r="A590" t="s">
        <v>35</v>
      </c>
      <c r="B590" t="s">
        <v>19</v>
      </c>
      <c r="C590" t="s">
        <v>20</v>
      </c>
      <c r="D590" t="s">
        <v>21</v>
      </c>
      <c r="E590" t="s">
        <v>38</v>
      </c>
      <c r="F590">
        <v>380</v>
      </c>
      <c r="G590" s="1">
        <v>19627</v>
      </c>
      <c r="H590" s="2">
        <v>45408</v>
      </c>
      <c r="I590" t="s">
        <v>27</v>
      </c>
      <c r="J590" t="s">
        <v>627</v>
      </c>
      <c r="K590" t="s">
        <v>18</v>
      </c>
      <c r="L590" t="str">
        <f t="shared" si="54"/>
        <v>Apr</v>
      </c>
      <c r="M590" t="str">
        <f t="shared" si="55"/>
        <v>Q2</v>
      </c>
      <c r="N590" t="str">
        <f t="shared" si="56"/>
        <v>Low</v>
      </c>
      <c r="O590">
        <f>_xlfn.XLOOKUP(I590,Helper_Table!A:A,Helper_Table!B:B)</f>
        <v>0.9</v>
      </c>
      <c r="P590" s="1">
        <f t="shared" si="57"/>
        <v>17664.3</v>
      </c>
      <c r="Q590" s="4">
        <f t="shared" si="58"/>
        <v>1.1111111111111112</v>
      </c>
      <c r="R590" t="str">
        <f t="shared" si="59"/>
        <v>Achieved</v>
      </c>
    </row>
    <row r="591" spans="1:18">
      <c r="A591" t="s">
        <v>35</v>
      </c>
      <c r="B591" t="s">
        <v>49</v>
      </c>
      <c r="C591" t="s">
        <v>20</v>
      </c>
      <c r="D591" t="s">
        <v>21</v>
      </c>
      <c r="E591">
        <v>30</v>
      </c>
      <c r="F591">
        <v>1258</v>
      </c>
      <c r="G591" s="1">
        <v>32636</v>
      </c>
      <c r="H591" s="2">
        <v>45205</v>
      </c>
      <c r="I591" t="s">
        <v>16</v>
      </c>
      <c r="J591" t="s">
        <v>628</v>
      </c>
      <c r="K591" t="s">
        <v>18</v>
      </c>
      <c r="L591" t="str">
        <f t="shared" si="54"/>
        <v>Oct</v>
      </c>
      <c r="M591" t="str">
        <f t="shared" si="55"/>
        <v>Q4</v>
      </c>
      <c r="N591" t="str">
        <f t="shared" si="56"/>
        <v>Medium</v>
      </c>
      <c r="O591">
        <f>_xlfn.XLOOKUP(I591,Helper_Table!A:A,Helper_Table!B:B)</f>
        <v>1.1000000000000001</v>
      </c>
      <c r="P591" s="1">
        <f t="shared" si="57"/>
        <v>35899.600000000006</v>
      </c>
      <c r="Q591" s="4">
        <f t="shared" si="58"/>
        <v>0.90909090909090895</v>
      </c>
      <c r="R591" t="str">
        <f t="shared" si="59"/>
        <v>Below Target</v>
      </c>
    </row>
    <row r="592" spans="1:18">
      <c r="A592" t="s">
        <v>11</v>
      </c>
      <c r="B592" t="s">
        <v>19</v>
      </c>
      <c r="C592" t="s">
        <v>30</v>
      </c>
      <c r="D592" t="s">
        <v>21</v>
      </c>
      <c r="E592" t="s">
        <v>38</v>
      </c>
      <c r="F592">
        <v>271</v>
      </c>
      <c r="G592" s="1">
        <v>42665</v>
      </c>
      <c r="H592" s="2">
        <v>45496</v>
      </c>
      <c r="I592" t="s">
        <v>39</v>
      </c>
      <c r="J592" t="s">
        <v>629</v>
      </c>
      <c r="K592" t="s">
        <v>34</v>
      </c>
      <c r="L592" t="str">
        <f t="shared" si="54"/>
        <v>Jul</v>
      </c>
      <c r="M592" t="str">
        <f t="shared" si="55"/>
        <v>Q3</v>
      </c>
      <c r="N592" t="str">
        <f t="shared" si="56"/>
        <v>High</v>
      </c>
      <c r="O592">
        <f>_xlfn.XLOOKUP(I592,Helper_Table!A:A,Helper_Table!B:B)</f>
        <v>1.1000000000000001</v>
      </c>
      <c r="P592" s="1">
        <f t="shared" si="57"/>
        <v>46931.500000000007</v>
      </c>
      <c r="Q592" s="4">
        <f t="shared" si="58"/>
        <v>0.90909090909090895</v>
      </c>
      <c r="R592" t="str">
        <f t="shared" si="59"/>
        <v>Below Target</v>
      </c>
    </row>
    <row r="593" spans="1:18">
      <c r="A593" t="s">
        <v>35</v>
      </c>
      <c r="B593" t="s">
        <v>51</v>
      </c>
      <c r="C593" t="s">
        <v>20</v>
      </c>
      <c r="D593" t="s">
        <v>14</v>
      </c>
      <c r="E593">
        <v>60</v>
      </c>
      <c r="F593">
        <v>1450</v>
      </c>
      <c r="G593" s="1">
        <v>41272</v>
      </c>
      <c r="H593" s="2">
        <v>45194</v>
      </c>
      <c r="I593" t="s">
        <v>27</v>
      </c>
      <c r="J593" t="s">
        <v>630</v>
      </c>
      <c r="K593" t="s">
        <v>44</v>
      </c>
      <c r="L593" t="str">
        <f t="shared" si="54"/>
        <v>Sep</v>
      </c>
      <c r="M593" t="str">
        <f t="shared" si="55"/>
        <v>Q3</v>
      </c>
      <c r="N593" t="str">
        <f t="shared" si="56"/>
        <v>High</v>
      </c>
      <c r="O593">
        <f>_xlfn.XLOOKUP(I593,Helper_Table!A:A,Helper_Table!B:B)</f>
        <v>0.9</v>
      </c>
      <c r="P593" s="1">
        <f t="shared" si="57"/>
        <v>37144.800000000003</v>
      </c>
      <c r="Q593" s="4">
        <f t="shared" si="58"/>
        <v>1.1111111111111109</v>
      </c>
      <c r="R593" t="str">
        <f t="shared" si="59"/>
        <v>Achieved</v>
      </c>
    </row>
    <row r="594" spans="1:18">
      <c r="A594" t="s">
        <v>11</v>
      </c>
      <c r="B594" t="s">
        <v>12</v>
      </c>
      <c r="C594" t="s">
        <v>25</v>
      </c>
      <c r="D594" t="s">
        <v>21</v>
      </c>
      <c r="E594" t="s">
        <v>38</v>
      </c>
      <c r="F594">
        <v>880</v>
      </c>
      <c r="G594" s="1">
        <v>41888</v>
      </c>
      <c r="H594" s="2">
        <v>45323</v>
      </c>
      <c r="I594" t="s">
        <v>41</v>
      </c>
      <c r="J594" t="s">
        <v>631</v>
      </c>
      <c r="K594" t="s">
        <v>44</v>
      </c>
      <c r="L594" t="str">
        <f t="shared" si="54"/>
        <v>Feb</v>
      </c>
      <c r="M594" t="str">
        <f t="shared" si="55"/>
        <v>Q1</v>
      </c>
      <c r="N594" t="str">
        <f t="shared" si="56"/>
        <v>High</v>
      </c>
      <c r="O594">
        <f>_xlfn.XLOOKUP(I594,Helper_Table!A:A,Helper_Table!B:B)</f>
        <v>1.2</v>
      </c>
      <c r="P594" s="1">
        <f t="shared" si="57"/>
        <v>50265.599999999999</v>
      </c>
      <c r="Q594" s="4">
        <f t="shared" si="58"/>
        <v>0.83333333333333337</v>
      </c>
      <c r="R594" t="str">
        <f t="shared" si="59"/>
        <v>Below Target</v>
      </c>
    </row>
    <row r="595" spans="1:18">
      <c r="A595" t="s">
        <v>45</v>
      </c>
      <c r="B595" t="s">
        <v>51</v>
      </c>
      <c r="C595" t="s">
        <v>59</v>
      </c>
      <c r="D595" t="s">
        <v>31</v>
      </c>
      <c r="E595" t="s">
        <v>22</v>
      </c>
      <c r="F595">
        <v>946</v>
      </c>
      <c r="G595" s="1">
        <v>11455</v>
      </c>
      <c r="H595" s="2">
        <v>45249</v>
      </c>
      <c r="I595" t="s">
        <v>39</v>
      </c>
      <c r="J595" t="s">
        <v>632</v>
      </c>
      <c r="K595" t="s">
        <v>34</v>
      </c>
      <c r="L595" t="str">
        <f t="shared" si="54"/>
        <v>Nov</v>
      </c>
      <c r="M595" t="str">
        <f t="shared" si="55"/>
        <v>Q4</v>
      </c>
      <c r="N595" t="str">
        <f t="shared" si="56"/>
        <v>Low</v>
      </c>
      <c r="O595">
        <f>_xlfn.XLOOKUP(I595,Helper_Table!A:A,Helper_Table!B:B)</f>
        <v>1.1000000000000001</v>
      </c>
      <c r="P595" s="1">
        <f t="shared" si="57"/>
        <v>12600.500000000002</v>
      </c>
      <c r="Q595" s="4">
        <f t="shared" si="58"/>
        <v>0.90909090909090895</v>
      </c>
      <c r="R595" t="str">
        <f t="shared" si="59"/>
        <v>Below Target</v>
      </c>
    </row>
    <row r="596" spans="1:18">
      <c r="A596" t="s">
        <v>24</v>
      </c>
      <c r="B596" t="s">
        <v>12</v>
      </c>
      <c r="C596" t="s">
        <v>30</v>
      </c>
      <c r="D596" t="s">
        <v>14</v>
      </c>
      <c r="E596" t="s">
        <v>15</v>
      </c>
      <c r="F596">
        <v>1435</v>
      </c>
      <c r="G596" s="1">
        <v>5947</v>
      </c>
      <c r="H596" s="2">
        <v>45459</v>
      </c>
      <c r="I596" t="s">
        <v>41</v>
      </c>
      <c r="J596" t="s">
        <v>633</v>
      </c>
      <c r="K596" t="s">
        <v>29</v>
      </c>
      <c r="L596" t="str">
        <f t="shared" si="54"/>
        <v>Jun</v>
      </c>
      <c r="M596" t="str">
        <f t="shared" si="55"/>
        <v>Q2</v>
      </c>
      <c r="N596" t="str">
        <f t="shared" si="56"/>
        <v>Low</v>
      </c>
      <c r="O596">
        <f>_xlfn.XLOOKUP(I596,Helper_Table!A:A,Helper_Table!B:B)</f>
        <v>1.2</v>
      </c>
      <c r="P596" s="1">
        <f t="shared" si="57"/>
        <v>7136.4</v>
      </c>
      <c r="Q596" s="4">
        <f t="shared" si="58"/>
        <v>0.83333333333333337</v>
      </c>
      <c r="R596" t="str">
        <f t="shared" si="59"/>
        <v>Below Target</v>
      </c>
    </row>
    <row r="597" spans="1:18">
      <c r="A597" t="s">
        <v>35</v>
      </c>
      <c r="B597" t="s">
        <v>49</v>
      </c>
      <c r="C597" t="s">
        <v>25</v>
      </c>
      <c r="D597" t="s">
        <v>14</v>
      </c>
      <c r="E597" t="s">
        <v>15</v>
      </c>
      <c r="F597">
        <v>662</v>
      </c>
      <c r="G597" s="1">
        <v>42968</v>
      </c>
      <c r="H597" s="2">
        <v>45416</v>
      </c>
      <c r="I597" t="s">
        <v>32</v>
      </c>
      <c r="J597" t="s">
        <v>634</v>
      </c>
      <c r="K597" t="s">
        <v>29</v>
      </c>
      <c r="L597" t="str">
        <f t="shared" si="54"/>
        <v>May</v>
      </c>
      <c r="M597" t="str">
        <f t="shared" si="55"/>
        <v>Q2</v>
      </c>
      <c r="N597" t="str">
        <f t="shared" si="56"/>
        <v>High</v>
      </c>
      <c r="O597">
        <f>_xlfn.XLOOKUP(I597,Helper_Table!A:A,Helper_Table!B:B)</f>
        <v>0.95</v>
      </c>
      <c r="P597" s="1">
        <f t="shared" si="57"/>
        <v>40819.599999999999</v>
      </c>
      <c r="Q597" s="4">
        <f t="shared" si="58"/>
        <v>1.0526315789473684</v>
      </c>
      <c r="R597" t="str">
        <f t="shared" si="59"/>
        <v>Achieved</v>
      </c>
    </row>
    <row r="598" spans="1:18">
      <c r="A598" t="s">
        <v>45</v>
      </c>
      <c r="B598" t="s">
        <v>51</v>
      </c>
      <c r="C598" t="s">
        <v>59</v>
      </c>
      <c r="D598" t="s">
        <v>31</v>
      </c>
      <c r="E598" t="s">
        <v>38</v>
      </c>
      <c r="F598">
        <v>974</v>
      </c>
      <c r="G598" s="1">
        <v>1233</v>
      </c>
      <c r="H598" s="2">
        <v>45272</v>
      </c>
      <c r="I598" t="s">
        <v>32</v>
      </c>
      <c r="J598" t="s">
        <v>635</v>
      </c>
      <c r="K598" t="s">
        <v>44</v>
      </c>
      <c r="L598" t="str">
        <f t="shared" si="54"/>
        <v>Dec</v>
      </c>
      <c r="M598" t="str">
        <f t="shared" si="55"/>
        <v>Q4</v>
      </c>
      <c r="N598" t="str">
        <f t="shared" si="56"/>
        <v>Low</v>
      </c>
      <c r="O598">
        <f>_xlfn.XLOOKUP(I598,Helper_Table!A:A,Helper_Table!B:B)</f>
        <v>0.95</v>
      </c>
      <c r="P598" s="1">
        <f t="shared" si="57"/>
        <v>1171.3499999999999</v>
      </c>
      <c r="Q598" s="4">
        <f t="shared" si="58"/>
        <v>1.0526315789473686</v>
      </c>
      <c r="R598" t="str">
        <f t="shared" si="59"/>
        <v>Achieved</v>
      </c>
    </row>
    <row r="599" spans="1:18">
      <c r="A599" t="s">
        <v>11</v>
      </c>
      <c r="B599" t="s">
        <v>49</v>
      </c>
      <c r="C599" t="s">
        <v>25</v>
      </c>
      <c r="D599" t="s">
        <v>21</v>
      </c>
      <c r="E599" t="s">
        <v>22</v>
      </c>
      <c r="F599">
        <v>375</v>
      </c>
      <c r="G599" s="1">
        <v>48490</v>
      </c>
      <c r="H599" s="2">
        <v>45179</v>
      </c>
      <c r="I599" t="s">
        <v>32</v>
      </c>
      <c r="J599" t="s">
        <v>636</v>
      </c>
      <c r="K599" t="s">
        <v>44</v>
      </c>
      <c r="L599" t="str">
        <f t="shared" si="54"/>
        <v>Sep</v>
      </c>
      <c r="M599" t="str">
        <f t="shared" si="55"/>
        <v>Q3</v>
      </c>
      <c r="N599" t="str">
        <f t="shared" si="56"/>
        <v>High</v>
      </c>
      <c r="O599">
        <f>_xlfn.XLOOKUP(I599,Helper_Table!A:A,Helper_Table!B:B)</f>
        <v>0.95</v>
      </c>
      <c r="P599" s="1">
        <f t="shared" si="57"/>
        <v>46065.5</v>
      </c>
      <c r="Q599" s="4">
        <f t="shared" si="58"/>
        <v>1.0526315789473684</v>
      </c>
      <c r="R599" t="str">
        <f t="shared" si="59"/>
        <v>Achieved</v>
      </c>
    </row>
    <row r="600" spans="1:18">
      <c r="A600" t="s">
        <v>64</v>
      </c>
      <c r="B600" t="s">
        <v>51</v>
      </c>
      <c r="C600" t="s">
        <v>20</v>
      </c>
      <c r="D600" t="s">
        <v>14</v>
      </c>
      <c r="E600">
        <v>60</v>
      </c>
      <c r="F600">
        <v>1174</v>
      </c>
      <c r="G600" s="1">
        <v>45203</v>
      </c>
      <c r="H600" s="2">
        <v>45185</v>
      </c>
      <c r="I600" t="s">
        <v>32</v>
      </c>
      <c r="J600" t="s">
        <v>637</v>
      </c>
      <c r="K600" t="s">
        <v>29</v>
      </c>
      <c r="L600" t="str">
        <f t="shared" si="54"/>
        <v>Sep</v>
      </c>
      <c r="M600" t="str">
        <f t="shared" si="55"/>
        <v>Q3</v>
      </c>
      <c r="N600" t="str">
        <f t="shared" si="56"/>
        <v>High</v>
      </c>
      <c r="O600">
        <f>_xlfn.XLOOKUP(I600,Helper_Table!A:A,Helper_Table!B:B)</f>
        <v>0.95</v>
      </c>
      <c r="P600" s="1">
        <f t="shared" si="57"/>
        <v>42942.85</v>
      </c>
      <c r="Q600" s="4">
        <f t="shared" si="58"/>
        <v>1.0526315789473684</v>
      </c>
      <c r="R600" t="str">
        <f t="shared" si="59"/>
        <v>Achieved</v>
      </c>
    </row>
    <row r="601" spans="1:18">
      <c r="A601" t="s">
        <v>11</v>
      </c>
      <c r="B601" t="s">
        <v>12</v>
      </c>
      <c r="C601" t="s">
        <v>20</v>
      </c>
      <c r="D601" t="s">
        <v>14</v>
      </c>
      <c r="E601" t="s">
        <v>15</v>
      </c>
      <c r="F601">
        <v>826</v>
      </c>
      <c r="G601" s="1">
        <v>38948</v>
      </c>
      <c r="H601" s="2">
        <v>45425</v>
      </c>
      <c r="I601" t="s">
        <v>32</v>
      </c>
      <c r="J601" t="s">
        <v>638</v>
      </c>
      <c r="K601" t="s">
        <v>34</v>
      </c>
      <c r="L601" t="str">
        <f t="shared" si="54"/>
        <v>May</v>
      </c>
      <c r="M601" t="str">
        <f t="shared" si="55"/>
        <v>Q2</v>
      </c>
      <c r="N601" t="str">
        <f t="shared" si="56"/>
        <v>Medium</v>
      </c>
      <c r="O601">
        <f>_xlfn.XLOOKUP(I601,Helper_Table!A:A,Helper_Table!B:B)</f>
        <v>0.95</v>
      </c>
      <c r="P601" s="1">
        <f t="shared" si="57"/>
        <v>37000.6</v>
      </c>
      <c r="Q601" s="4">
        <f t="shared" si="58"/>
        <v>1.0526315789473684</v>
      </c>
      <c r="R601" t="str">
        <f t="shared" si="59"/>
        <v>Achieved</v>
      </c>
    </row>
    <row r="602" spans="1:18">
      <c r="A602" t="s">
        <v>64</v>
      </c>
      <c r="B602" t="s">
        <v>12</v>
      </c>
      <c r="C602" t="s">
        <v>20</v>
      </c>
      <c r="D602" t="s">
        <v>21</v>
      </c>
      <c r="E602" t="s">
        <v>22</v>
      </c>
      <c r="F602">
        <v>1991</v>
      </c>
      <c r="G602" s="1">
        <v>22125</v>
      </c>
      <c r="H602" s="2">
        <v>45289</v>
      </c>
      <c r="I602" t="s">
        <v>27</v>
      </c>
      <c r="J602" t="s">
        <v>639</v>
      </c>
      <c r="K602" t="s">
        <v>34</v>
      </c>
      <c r="L602" t="str">
        <f t="shared" si="54"/>
        <v>Dec</v>
      </c>
      <c r="M602" t="str">
        <f t="shared" si="55"/>
        <v>Q4</v>
      </c>
      <c r="N602" t="str">
        <f t="shared" si="56"/>
        <v>Medium</v>
      </c>
      <c r="O602">
        <f>_xlfn.XLOOKUP(I602,Helper_Table!A:A,Helper_Table!B:B)</f>
        <v>0.9</v>
      </c>
      <c r="P602" s="1">
        <f t="shared" si="57"/>
        <v>19912.5</v>
      </c>
      <c r="Q602" s="4">
        <f t="shared" si="58"/>
        <v>1.1111111111111112</v>
      </c>
      <c r="R602" t="str">
        <f t="shared" si="59"/>
        <v>Achieved</v>
      </c>
    </row>
    <row r="603" spans="1:18">
      <c r="A603" t="s">
        <v>45</v>
      </c>
      <c r="B603" t="s">
        <v>36</v>
      </c>
      <c r="C603" t="s">
        <v>13</v>
      </c>
      <c r="D603" t="s">
        <v>31</v>
      </c>
      <c r="E603">
        <v>30</v>
      </c>
      <c r="F603">
        <v>1847</v>
      </c>
      <c r="G603" s="1">
        <v>3341</v>
      </c>
      <c r="H603" s="2">
        <v>45319</v>
      </c>
      <c r="I603" t="s">
        <v>39</v>
      </c>
      <c r="J603" t="s">
        <v>640</v>
      </c>
      <c r="K603" t="s">
        <v>18</v>
      </c>
      <c r="L603" t="str">
        <f t="shared" si="54"/>
        <v>Jan</v>
      </c>
      <c r="M603" t="str">
        <f t="shared" si="55"/>
        <v>Q1</v>
      </c>
      <c r="N603" t="str">
        <f t="shared" si="56"/>
        <v>Low</v>
      </c>
      <c r="O603">
        <f>_xlfn.XLOOKUP(I603,Helper_Table!A:A,Helper_Table!B:B)</f>
        <v>1.1000000000000001</v>
      </c>
      <c r="P603" s="1">
        <f t="shared" si="57"/>
        <v>3675.1000000000004</v>
      </c>
      <c r="Q603" s="4">
        <f t="shared" si="58"/>
        <v>0.90909090909090895</v>
      </c>
      <c r="R603" t="str">
        <f t="shared" si="59"/>
        <v>Below Target</v>
      </c>
    </row>
    <row r="604" spans="1:18">
      <c r="A604" t="s">
        <v>11</v>
      </c>
      <c r="B604" t="s">
        <v>12</v>
      </c>
      <c r="C604" t="s">
        <v>13</v>
      </c>
      <c r="D604" t="s">
        <v>31</v>
      </c>
      <c r="E604" t="s">
        <v>15</v>
      </c>
      <c r="F604">
        <v>1902</v>
      </c>
      <c r="G604" s="1">
        <v>30721</v>
      </c>
      <c r="H604" s="2">
        <v>45206</v>
      </c>
      <c r="I604" t="s">
        <v>27</v>
      </c>
      <c r="J604" t="s">
        <v>641</v>
      </c>
      <c r="K604" t="s">
        <v>44</v>
      </c>
      <c r="L604" t="str">
        <f t="shared" si="54"/>
        <v>Oct</v>
      </c>
      <c r="M604" t="str">
        <f t="shared" si="55"/>
        <v>Q4</v>
      </c>
      <c r="N604" t="str">
        <f t="shared" si="56"/>
        <v>Medium</v>
      </c>
      <c r="O604">
        <f>_xlfn.XLOOKUP(I604,Helper_Table!A:A,Helper_Table!B:B)</f>
        <v>0.9</v>
      </c>
      <c r="P604" s="1">
        <f t="shared" si="57"/>
        <v>27648.9</v>
      </c>
      <c r="Q604" s="4">
        <f t="shared" si="58"/>
        <v>1.1111111111111112</v>
      </c>
      <c r="R604" t="str">
        <f t="shared" si="59"/>
        <v>Achieved</v>
      </c>
    </row>
    <row r="605" spans="1:18">
      <c r="A605" t="s">
        <v>35</v>
      </c>
      <c r="B605" t="s">
        <v>36</v>
      </c>
      <c r="C605" t="s">
        <v>25</v>
      </c>
      <c r="D605" t="s">
        <v>66</v>
      </c>
      <c r="E605">
        <v>30</v>
      </c>
      <c r="F605">
        <v>1565</v>
      </c>
      <c r="G605" s="1">
        <v>44406</v>
      </c>
      <c r="H605" s="2">
        <v>45413</v>
      </c>
      <c r="I605" t="s">
        <v>41</v>
      </c>
      <c r="J605" t="s">
        <v>642</v>
      </c>
      <c r="K605" t="s">
        <v>34</v>
      </c>
      <c r="L605" t="str">
        <f t="shared" si="54"/>
        <v>May</v>
      </c>
      <c r="M605" t="str">
        <f t="shared" si="55"/>
        <v>Q2</v>
      </c>
      <c r="N605" t="str">
        <f t="shared" si="56"/>
        <v>High</v>
      </c>
      <c r="O605">
        <f>_xlfn.XLOOKUP(I605,Helper_Table!A:A,Helper_Table!B:B)</f>
        <v>1.2</v>
      </c>
      <c r="P605" s="1">
        <f t="shared" si="57"/>
        <v>53287.199999999997</v>
      </c>
      <c r="Q605" s="4">
        <f t="shared" si="58"/>
        <v>0.83333333333333337</v>
      </c>
      <c r="R605" t="str">
        <f t="shared" si="59"/>
        <v>Below Target</v>
      </c>
    </row>
    <row r="606" spans="1:18">
      <c r="A606" t="s">
        <v>45</v>
      </c>
      <c r="B606" t="s">
        <v>51</v>
      </c>
      <c r="C606" t="s">
        <v>59</v>
      </c>
      <c r="D606" t="s">
        <v>31</v>
      </c>
      <c r="E606">
        <v>60</v>
      </c>
      <c r="F606">
        <v>202</v>
      </c>
      <c r="G606" s="1">
        <v>29359</v>
      </c>
      <c r="H606" s="2">
        <v>45408</v>
      </c>
      <c r="I606" t="s">
        <v>39</v>
      </c>
      <c r="J606" t="s">
        <v>643</v>
      </c>
      <c r="K606" t="s">
        <v>18</v>
      </c>
      <c r="L606" t="str">
        <f t="shared" si="54"/>
        <v>Apr</v>
      </c>
      <c r="M606" t="str">
        <f t="shared" si="55"/>
        <v>Q2</v>
      </c>
      <c r="N606" t="str">
        <f t="shared" si="56"/>
        <v>Medium</v>
      </c>
      <c r="O606">
        <f>_xlfn.XLOOKUP(I606,Helper_Table!A:A,Helper_Table!B:B)</f>
        <v>1.1000000000000001</v>
      </c>
      <c r="P606" s="1">
        <f t="shared" si="57"/>
        <v>32294.9</v>
      </c>
      <c r="Q606" s="4">
        <f t="shared" si="58"/>
        <v>0.90909090909090906</v>
      </c>
      <c r="R606" t="str">
        <f t="shared" si="59"/>
        <v>Below Target</v>
      </c>
    </row>
    <row r="607" spans="1:18">
      <c r="A607" t="s">
        <v>24</v>
      </c>
      <c r="B607" t="s">
        <v>12</v>
      </c>
      <c r="C607" t="s">
        <v>20</v>
      </c>
      <c r="D607" t="s">
        <v>21</v>
      </c>
      <c r="E607" t="s">
        <v>22</v>
      </c>
      <c r="F607">
        <v>1154</v>
      </c>
      <c r="G607" s="1">
        <v>43230</v>
      </c>
      <c r="H607" s="2">
        <v>45197</v>
      </c>
      <c r="I607" t="s">
        <v>32</v>
      </c>
      <c r="J607" t="s">
        <v>644</v>
      </c>
      <c r="K607" t="s">
        <v>44</v>
      </c>
      <c r="L607" t="str">
        <f t="shared" si="54"/>
        <v>Sep</v>
      </c>
      <c r="M607" t="str">
        <f t="shared" si="55"/>
        <v>Q3</v>
      </c>
      <c r="N607" t="str">
        <f t="shared" si="56"/>
        <v>High</v>
      </c>
      <c r="O607">
        <f>_xlfn.XLOOKUP(I607,Helper_Table!A:A,Helper_Table!B:B)</f>
        <v>0.95</v>
      </c>
      <c r="P607" s="1">
        <f t="shared" si="57"/>
        <v>41068.5</v>
      </c>
      <c r="Q607" s="4">
        <f t="shared" si="58"/>
        <v>1.0526315789473684</v>
      </c>
      <c r="R607" t="str">
        <f t="shared" si="59"/>
        <v>Achieved</v>
      </c>
    </row>
    <row r="608" spans="1:18">
      <c r="A608" t="s">
        <v>45</v>
      </c>
      <c r="B608" t="s">
        <v>49</v>
      </c>
      <c r="C608" t="s">
        <v>59</v>
      </c>
      <c r="D608" t="s">
        <v>14</v>
      </c>
      <c r="E608" t="s">
        <v>15</v>
      </c>
      <c r="F608">
        <v>1979</v>
      </c>
      <c r="G608" s="1">
        <v>44423</v>
      </c>
      <c r="H608" s="2">
        <v>45329</v>
      </c>
      <c r="I608" t="s">
        <v>32</v>
      </c>
      <c r="J608" t="s">
        <v>645</v>
      </c>
      <c r="K608" t="s">
        <v>47</v>
      </c>
      <c r="L608" t="str">
        <f t="shared" si="54"/>
        <v>Feb</v>
      </c>
      <c r="M608" t="str">
        <f t="shared" si="55"/>
        <v>Q1</v>
      </c>
      <c r="N608" t="str">
        <f t="shared" si="56"/>
        <v>High</v>
      </c>
      <c r="O608">
        <f>_xlfn.XLOOKUP(I608,Helper_Table!A:A,Helper_Table!B:B)</f>
        <v>0.95</v>
      </c>
      <c r="P608" s="1">
        <f t="shared" si="57"/>
        <v>42201.85</v>
      </c>
      <c r="Q608" s="4">
        <f t="shared" si="58"/>
        <v>1.0526315789473684</v>
      </c>
      <c r="R608" t="str">
        <f t="shared" si="59"/>
        <v>Achieved</v>
      </c>
    </row>
    <row r="609" spans="1:18">
      <c r="A609" t="s">
        <v>24</v>
      </c>
      <c r="B609" t="s">
        <v>51</v>
      </c>
      <c r="C609" t="s">
        <v>59</v>
      </c>
      <c r="D609" t="s">
        <v>66</v>
      </c>
      <c r="E609">
        <v>60</v>
      </c>
      <c r="F609">
        <v>1572</v>
      </c>
      <c r="G609" s="1">
        <v>45926</v>
      </c>
      <c r="H609" s="2">
        <v>45393</v>
      </c>
      <c r="I609" t="s">
        <v>27</v>
      </c>
      <c r="J609" t="s">
        <v>646</v>
      </c>
      <c r="K609" t="s">
        <v>18</v>
      </c>
      <c r="L609" t="str">
        <f t="shared" si="54"/>
        <v>Apr</v>
      </c>
      <c r="M609" t="str">
        <f t="shared" si="55"/>
        <v>Q2</v>
      </c>
      <c r="N609" t="str">
        <f t="shared" si="56"/>
        <v>High</v>
      </c>
      <c r="O609">
        <f>_xlfn.XLOOKUP(I609,Helper_Table!A:A,Helper_Table!B:B)</f>
        <v>0.9</v>
      </c>
      <c r="P609" s="1">
        <f t="shared" si="57"/>
        <v>41333.4</v>
      </c>
      <c r="Q609" s="4">
        <f t="shared" si="58"/>
        <v>1.1111111111111112</v>
      </c>
      <c r="R609" t="str">
        <f t="shared" si="59"/>
        <v>Achieved</v>
      </c>
    </row>
    <row r="610" spans="1:18">
      <c r="A610" t="s">
        <v>64</v>
      </c>
      <c r="B610" t="s">
        <v>36</v>
      </c>
      <c r="C610" t="s">
        <v>30</v>
      </c>
      <c r="D610" t="s">
        <v>14</v>
      </c>
      <c r="E610">
        <v>60</v>
      </c>
      <c r="F610">
        <v>1732</v>
      </c>
      <c r="G610" s="1">
        <v>15706</v>
      </c>
      <c r="H610" s="2">
        <v>45351</v>
      </c>
      <c r="I610" t="s">
        <v>27</v>
      </c>
      <c r="J610" t="s">
        <v>647</v>
      </c>
      <c r="K610" t="s">
        <v>47</v>
      </c>
      <c r="L610" t="str">
        <f t="shared" si="54"/>
        <v>Feb</v>
      </c>
      <c r="M610" t="str">
        <f t="shared" si="55"/>
        <v>Q1</v>
      </c>
      <c r="N610" t="str">
        <f t="shared" si="56"/>
        <v>Low</v>
      </c>
      <c r="O610">
        <f>_xlfn.XLOOKUP(I610,Helper_Table!A:A,Helper_Table!B:B)</f>
        <v>0.9</v>
      </c>
      <c r="P610" s="1">
        <f t="shared" si="57"/>
        <v>14135.4</v>
      </c>
      <c r="Q610" s="4">
        <f t="shared" si="58"/>
        <v>1.1111111111111112</v>
      </c>
      <c r="R610" t="str">
        <f t="shared" si="59"/>
        <v>Achieved</v>
      </c>
    </row>
    <row r="611" spans="1:18">
      <c r="A611" t="s">
        <v>64</v>
      </c>
      <c r="B611" t="s">
        <v>19</v>
      </c>
      <c r="C611" t="s">
        <v>25</v>
      </c>
      <c r="D611" t="s">
        <v>26</v>
      </c>
      <c r="E611" t="s">
        <v>22</v>
      </c>
      <c r="F611">
        <v>994</v>
      </c>
      <c r="G611" s="1">
        <v>28766</v>
      </c>
      <c r="H611" s="2">
        <v>45448</v>
      </c>
      <c r="I611" t="s">
        <v>27</v>
      </c>
      <c r="J611" t="s">
        <v>648</v>
      </c>
      <c r="K611" t="s">
        <v>47</v>
      </c>
      <c r="L611" t="str">
        <f t="shared" si="54"/>
        <v>Jun</v>
      </c>
      <c r="M611" t="str">
        <f t="shared" si="55"/>
        <v>Q2</v>
      </c>
      <c r="N611" t="str">
        <f t="shared" si="56"/>
        <v>Medium</v>
      </c>
      <c r="O611">
        <f>_xlfn.XLOOKUP(I611,Helper_Table!A:A,Helper_Table!B:B)</f>
        <v>0.9</v>
      </c>
      <c r="P611" s="1">
        <f t="shared" si="57"/>
        <v>25889.4</v>
      </c>
      <c r="Q611" s="4">
        <f t="shared" si="58"/>
        <v>1.1111111111111109</v>
      </c>
      <c r="R611" t="str">
        <f t="shared" si="59"/>
        <v>Achieved</v>
      </c>
    </row>
    <row r="612" spans="1:18">
      <c r="A612" t="s">
        <v>24</v>
      </c>
      <c r="B612" t="s">
        <v>51</v>
      </c>
      <c r="C612" t="s">
        <v>13</v>
      </c>
      <c r="D612" t="s">
        <v>66</v>
      </c>
      <c r="E612" t="s">
        <v>38</v>
      </c>
      <c r="F612">
        <v>524</v>
      </c>
      <c r="G612" s="1">
        <v>29230</v>
      </c>
      <c r="H612" s="2">
        <v>45280</v>
      </c>
      <c r="I612" t="s">
        <v>41</v>
      </c>
      <c r="J612" t="s">
        <v>649</v>
      </c>
      <c r="K612" t="s">
        <v>47</v>
      </c>
      <c r="L612" t="str">
        <f t="shared" si="54"/>
        <v>Dec</v>
      </c>
      <c r="M612" t="str">
        <f t="shared" si="55"/>
        <v>Q4</v>
      </c>
      <c r="N612" t="str">
        <f t="shared" si="56"/>
        <v>Medium</v>
      </c>
      <c r="O612">
        <f>_xlfn.XLOOKUP(I612,Helper_Table!A:A,Helper_Table!B:B)</f>
        <v>1.2</v>
      </c>
      <c r="P612" s="1">
        <f t="shared" si="57"/>
        <v>35076</v>
      </c>
      <c r="Q612" s="4">
        <f t="shared" si="58"/>
        <v>0.83333333333333337</v>
      </c>
      <c r="R612" t="str">
        <f t="shared" si="59"/>
        <v>Below Target</v>
      </c>
    </row>
    <row r="613" spans="1:18">
      <c r="A613" t="s">
        <v>11</v>
      </c>
      <c r="B613" t="s">
        <v>49</v>
      </c>
      <c r="C613" t="s">
        <v>30</v>
      </c>
      <c r="D613" t="s">
        <v>26</v>
      </c>
      <c r="E613" t="s">
        <v>22</v>
      </c>
      <c r="F613">
        <v>255</v>
      </c>
      <c r="G613" s="1">
        <v>10654</v>
      </c>
      <c r="H613" s="2">
        <v>45314</v>
      </c>
      <c r="I613" t="s">
        <v>41</v>
      </c>
      <c r="J613" t="s">
        <v>650</v>
      </c>
      <c r="K613" t="s">
        <v>18</v>
      </c>
      <c r="L613" t="str">
        <f t="shared" si="54"/>
        <v>Jan</v>
      </c>
      <c r="M613" t="str">
        <f t="shared" si="55"/>
        <v>Q1</v>
      </c>
      <c r="N613" t="str">
        <f t="shared" si="56"/>
        <v>Low</v>
      </c>
      <c r="O613">
        <f>_xlfn.XLOOKUP(I613,Helper_Table!A:A,Helper_Table!B:B)</f>
        <v>1.2</v>
      </c>
      <c r="P613" s="1">
        <f t="shared" si="57"/>
        <v>12784.8</v>
      </c>
      <c r="Q613" s="4">
        <f t="shared" si="58"/>
        <v>0.83333333333333337</v>
      </c>
      <c r="R613" t="str">
        <f t="shared" si="59"/>
        <v>Below Target</v>
      </c>
    </row>
    <row r="614" spans="1:18">
      <c r="A614" t="s">
        <v>24</v>
      </c>
      <c r="B614" t="s">
        <v>12</v>
      </c>
      <c r="C614" t="s">
        <v>20</v>
      </c>
      <c r="D614" t="s">
        <v>66</v>
      </c>
      <c r="E614" t="s">
        <v>15</v>
      </c>
      <c r="F614">
        <v>347</v>
      </c>
      <c r="G614" s="1">
        <v>13939</v>
      </c>
      <c r="H614" s="2">
        <v>45396</v>
      </c>
      <c r="I614" t="s">
        <v>41</v>
      </c>
      <c r="J614" t="s">
        <v>651</v>
      </c>
      <c r="K614" t="s">
        <v>29</v>
      </c>
      <c r="L614" t="str">
        <f t="shared" si="54"/>
        <v>Apr</v>
      </c>
      <c r="M614" t="str">
        <f t="shared" si="55"/>
        <v>Q2</v>
      </c>
      <c r="N614" t="str">
        <f t="shared" si="56"/>
        <v>Low</v>
      </c>
      <c r="O614">
        <f>_xlfn.XLOOKUP(I614,Helper_Table!A:A,Helper_Table!B:B)</f>
        <v>1.2</v>
      </c>
      <c r="P614" s="1">
        <f t="shared" si="57"/>
        <v>16726.8</v>
      </c>
      <c r="Q614" s="4">
        <f t="shared" si="58"/>
        <v>0.83333333333333337</v>
      </c>
      <c r="R614" t="str">
        <f t="shared" si="59"/>
        <v>Below Target</v>
      </c>
    </row>
    <row r="615" spans="1:18">
      <c r="A615" t="s">
        <v>24</v>
      </c>
      <c r="B615" t="s">
        <v>12</v>
      </c>
      <c r="C615" t="s">
        <v>30</v>
      </c>
      <c r="D615" t="s">
        <v>14</v>
      </c>
      <c r="E615" t="s">
        <v>38</v>
      </c>
      <c r="F615">
        <v>884</v>
      </c>
      <c r="G615" s="1">
        <v>29077</v>
      </c>
      <c r="H615" s="2">
        <v>45374</v>
      </c>
      <c r="I615" t="s">
        <v>41</v>
      </c>
      <c r="J615" t="s">
        <v>652</v>
      </c>
      <c r="K615" t="s">
        <v>34</v>
      </c>
      <c r="L615" t="str">
        <f t="shared" si="54"/>
        <v>Mar</v>
      </c>
      <c r="M615" t="str">
        <f t="shared" si="55"/>
        <v>Q1</v>
      </c>
      <c r="N615" t="str">
        <f t="shared" si="56"/>
        <v>Medium</v>
      </c>
      <c r="O615">
        <f>_xlfn.XLOOKUP(I615,Helper_Table!A:A,Helper_Table!B:B)</f>
        <v>1.2</v>
      </c>
      <c r="P615" s="1">
        <f t="shared" si="57"/>
        <v>34892.400000000001</v>
      </c>
      <c r="Q615" s="4">
        <f t="shared" si="58"/>
        <v>0.83333333333333326</v>
      </c>
      <c r="R615" t="str">
        <f t="shared" si="59"/>
        <v>Below Target</v>
      </c>
    </row>
    <row r="616" spans="1:18">
      <c r="A616" t="s">
        <v>11</v>
      </c>
      <c r="B616" t="s">
        <v>51</v>
      </c>
      <c r="C616" t="s">
        <v>25</v>
      </c>
      <c r="D616" t="s">
        <v>26</v>
      </c>
      <c r="E616" t="s">
        <v>38</v>
      </c>
      <c r="F616">
        <v>1415</v>
      </c>
      <c r="G616" s="1">
        <v>35744</v>
      </c>
      <c r="H616" s="2">
        <v>45449</v>
      </c>
      <c r="I616" t="s">
        <v>39</v>
      </c>
      <c r="J616" t="s">
        <v>653</v>
      </c>
      <c r="K616" t="s">
        <v>29</v>
      </c>
      <c r="L616" t="str">
        <f t="shared" si="54"/>
        <v>Jun</v>
      </c>
      <c r="M616" t="str">
        <f t="shared" si="55"/>
        <v>Q2</v>
      </c>
      <c r="N616" t="str">
        <f t="shared" si="56"/>
        <v>Medium</v>
      </c>
      <c r="O616">
        <f>_xlfn.XLOOKUP(I616,Helper_Table!A:A,Helper_Table!B:B)</f>
        <v>1.1000000000000001</v>
      </c>
      <c r="P616" s="1">
        <f t="shared" si="57"/>
        <v>39318.400000000001</v>
      </c>
      <c r="Q616" s="4">
        <f t="shared" si="58"/>
        <v>0.90909090909090906</v>
      </c>
      <c r="R616" t="str">
        <f t="shared" si="59"/>
        <v>Below Target</v>
      </c>
    </row>
    <row r="617" spans="1:18">
      <c r="A617" t="s">
        <v>11</v>
      </c>
      <c r="B617" t="s">
        <v>19</v>
      </c>
      <c r="C617" t="s">
        <v>13</v>
      </c>
      <c r="D617" t="s">
        <v>31</v>
      </c>
      <c r="E617" t="s">
        <v>22</v>
      </c>
      <c r="F617">
        <v>600</v>
      </c>
      <c r="G617" s="1">
        <v>22592</v>
      </c>
      <c r="H617" s="2">
        <v>45425</v>
      </c>
      <c r="I617" t="s">
        <v>41</v>
      </c>
      <c r="J617" t="s">
        <v>654</v>
      </c>
      <c r="K617" t="s">
        <v>29</v>
      </c>
      <c r="L617" t="str">
        <f t="shared" si="54"/>
        <v>May</v>
      </c>
      <c r="M617" t="str">
        <f t="shared" si="55"/>
        <v>Q2</v>
      </c>
      <c r="N617" t="str">
        <f t="shared" si="56"/>
        <v>Medium</v>
      </c>
      <c r="O617">
        <f>_xlfn.XLOOKUP(I617,Helper_Table!A:A,Helper_Table!B:B)</f>
        <v>1.2</v>
      </c>
      <c r="P617" s="1">
        <f t="shared" si="57"/>
        <v>27110.399999999998</v>
      </c>
      <c r="Q617" s="4">
        <f t="shared" si="58"/>
        <v>0.83333333333333337</v>
      </c>
      <c r="R617" t="str">
        <f t="shared" si="59"/>
        <v>Below Target</v>
      </c>
    </row>
    <row r="618" spans="1:18">
      <c r="A618" t="s">
        <v>24</v>
      </c>
      <c r="B618" t="s">
        <v>49</v>
      </c>
      <c r="C618" t="s">
        <v>13</v>
      </c>
      <c r="D618" t="s">
        <v>21</v>
      </c>
      <c r="E618">
        <v>30</v>
      </c>
      <c r="F618">
        <v>1568</v>
      </c>
      <c r="G618" s="1">
        <v>22730</v>
      </c>
      <c r="H618" s="2">
        <v>45222</v>
      </c>
      <c r="I618" t="s">
        <v>16</v>
      </c>
      <c r="J618" t="s">
        <v>655</v>
      </c>
      <c r="K618" t="s">
        <v>18</v>
      </c>
      <c r="L618" t="str">
        <f t="shared" si="54"/>
        <v>Oct</v>
      </c>
      <c r="M618" t="str">
        <f t="shared" si="55"/>
        <v>Q4</v>
      </c>
      <c r="N618" t="str">
        <f t="shared" si="56"/>
        <v>Medium</v>
      </c>
      <c r="O618">
        <f>_xlfn.XLOOKUP(I618,Helper_Table!A:A,Helper_Table!B:B)</f>
        <v>1.1000000000000001</v>
      </c>
      <c r="P618" s="1">
        <f t="shared" si="57"/>
        <v>25003.000000000004</v>
      </c>
      <c r="Q618" s="4">
        <f t="shared" si="58"/>
        <v>0.90909090909090895</v>
      </c>
      <c r="R618" t="str">
        <f t="shared" si="59"/>
        <v>Below Target</v>
      </c>
    </row>
    <row r="619" spans="1:18">
      <c r="A619" t="s">
        <v>35</v>
      </c>
      <c r="B619" t="s">
        <v>19</v>
      </c>
      <c r="C619" t="s">
        <v>59</v>
      </c>
      <c r="D619" t="s">
        <v>14</v>
      </c>
      <c r="E619">
        <v>30</v>
      </c>
      <c r="F619">
        <v>1383</v>
      </c>
      <c r="G619" s="1">
        <v>7696</v>
      </c>
      <c r="H619" s="2">
        <v>45470</v>
      </c>
      <c r="I619" t="s">
        <v>41</v>
      </c>
      <c r="J619" t="s">
        <v>656</v>
      </c>
      <c r="K619" t="s">
        <v>29</v>
      </c>
      <c r="L619" t="str">
        <f t="shared" si="54"/>
        <v>Jun</v>
      </c>
      <c r="M619" t="str">
        <f t="shared" si="55"/>
        <v>Q2</v>
      </c>
      <c r="N619" t="str">
        <f t="shared" si="56"/>
        <v>Low</v>
      </c>
      <c r="O619">
        <f>_xlfn.XLOOKUP(I619,Helper_Table!A:A,Helper_Table!B:B)</f>
        <v>1.2</v>
      </c>
      <c r="P619" s="1">
        <f t="shared" si="57"/>
        <v>9235.1999999999989</v>
      </c>
      <c r="Q619" s="4">
        <f t="shared" si="58"/>
        <v>0.83333333333333348</v>
      </c>
      <c r="R619" t="str">
        <f t="shared" si="59"/>
        <v>Below Target</v>
      </c>
    </row>
    <row r="620" spans="1:18">
      <c r="A620" t="s">
        <v>24</v>
      </c>
      <c r="B620" t="s">
        <v>19</v>
      </c>
      <c r="C620" t="s">
        <v>30</v>
      </c>
      <c r="D620" t="s">
        <v>14</v>
      </c>
      <c r="E620" t="s">
        <v>22</v>
      </c>
      <c r="F620">
        <v>1066</v>
      </c>
      <c r="G620" s="1">
        <v>30159</v>
      </c>
      <c r="H620" s="2">
        <v>45215</v>
      </c>
      <c r="I620" t="s">
        <v>39</v>
      </c>
      <c r="J620" t="s">
        <v>657</v>
      </c>
      <c r="K620" t="s">
        <v>29</v>
      </c>
      <c r="L620" t="str">
        <f t="shared" si="54"/>
        <v>Oct</v>
      </c>
      <c r="M620" t="str">
        <f t="shared" si="55"/>
        <v>Q4</v>
      </c>
      <c r="N620" t="str">
        <f t="shared" si="56"/>
        <v>Medium</v>
      </c>
      <c r="O620">
        <f>_xlfn.XLOOKUP(I620,Helper_Table!A:A,Helper_Table!B:B)</f>
        <v>1.1000000000000001</v>
      </c>
      <c r="P620" s="1">
        <f t="shared" si="57"/>
        <v>33174.9</v>
      </c>
      <c r="Q620" s="4">
        <f t="shared" si="58"/>
        <v>0.90909090909090906</v>
      </c>
      <c r="R620" t="str">
        <f t="shared" si="59"/>
        <v>Below Target</v>
      </c>
    </row>
    <row r="621" spans="1:18">
      <c r="A621" t="s">
        <v>45</v>
      </c>
      <c r="B621" t="s">
        <v>49</v>
      </c>
      <c r="C621" t="s">
        <v>59</v>
      </c>
      <c r="D621" t="s">
        <v>66</v>
      </c>
      <c r="E621" t="s">
        <v>38</v>
      </c>
      <c r="F621">
        <v>1759</v>
      </c>
      <c r="G621" s="1">
        <v>31641</v>
      </c>
      <c r="H621" s="2">
        <v>45480</v>
      </c>
      <c r="I621" t="s">
        <v>27</v>
      </c>
      <c r="J621" t="s">
        <v>658</v>
      </c>
      <c r="K621" t="s">
        <v>34</v>
      </c>
      <c r="L621" t="str">
        <f t="shared" si="54"/>
        <v>Jul</v>
      </c>
      <c r="M621" t="str">
        <f t="shared" si="55"/>
        <v>Q3</v>
      </c>
      <c r="N621" t="str">
        <f t="shared" si="56"/>
        <v>Medium</v>
      </c>
      <c r="O621">
        <f>_xlfn.XLOOKUP(I621,Helper_Table!A:A,Helper_Table!B:B)</f>
        <v>0.9</v>
      </c>
      <c r="P621" s="1">
        <f t="shared" si="57"/>
        <v>28476.9</v>
      </c>
      <c r="Q621" s="4">
        <f t="shared" si="58"/>
        <v>1.1111111111111112</v>
      </c>
      <c r="R621" t="str">
        <f t="shared" si="59"/>
        <v>Achieved</v>
      </c>
    </row>
    <row r="622" spans="1:18">
      <c r="A622" t="s">
        <v>45</v>
      </c>
      <c r="B622" t="s">
        <v>36</v>
      </c>
      <c r="C622" t="s">
        <v>25</v>
      </c>
      <c r="D622" t="s">
        <v>26</v>
      </c>
      <c r="E622">
        <v>30</v>
      </c>
      <c r="F622">
        <v>1040</v>
      </c>
      <c r="G622" s="1">
        <v>45896</v>
      </c>
      <c r="H622" s="2">
        <v>45239</v>
      </c>
      <c r="I622" t="s">
        <v>27</v>
      </c>
      <c r="J622" t="s">
        <v>659</v>
      </c>
      <c r="K622" t="s">
        <v>44</v>
      </c>
      <c r="L622" t="str">
        <f t="shared" si="54"/>
        <v>Nov</v>
      </c>
      <c r="M622" t="str">
        <f t="shared" si="55"/>
        <v>Q4</v>
      </c>
      <c r="N622" t="str">
        <f t="shared" si="56"/>
        <v>High</v>
      </c>
      <c r="O622">
        <f>_xlfn.XLOOKUP(I622,Helper_Table!A:A,Helper_Table!B:B)</f>
        <v>0.9</v>
      </c>
      <c r="P622" s="1">
        <f t="shared" si="57"/>
        <v>41306.400000000001</v>
      </c>
      <c r="Q622" s="4">
        <f t="shared" si="58"/>
        <v>1.1111111111111112</v>
      </c>
      <c r="R622" t="str">
        <f t="shared" si="59"/>
        <v>Achieved</v>
      </c>
    </row>
    <row r="623" spans="1:18">
      <c r="A623" t="s">
        <v>35</v>
      </c>
      <c r="B623" t="s">
        <v>19</v>
      </c>
      <c r="C623" t="s">
        <v>30</v>
      </c>
      <c r="D623" t="s">
        <v>21</v>
      </c>
      <c r="E623">
        <v>60</v>
      </c>
      <c r="F623">
        <v>1796</v>
      </c>
      <c r="G623" s="1">
        <v>15290</v>
      </c>
      <c r="H623" s="2">
        <v>45278</v>
      </c>
      <c r="I623" t="s">
        <v>27</v>
      </c>
      <c r="J623" t="s">
        <v>660</v>
      </c>
      <c r="K623" t="s">
        <v>34</v>
      </c>
      <c r="L623" t="str">
        <f t="shared" si="54"/>
        <v>Dec</v>
      </c>
      <c r="M623" t="str">
        <f t="shared" si="55"/>
        <v>Q4</v>
      </c>
      <c r="N623" t="str">
        <f t="shared" si="56"/>
        <v>Low</v>
      </c>
      <c r="O623">
        <f>_xlfn.XLOOKUP(I623,Helper_Table!A:A,Helper_Table!B:B)</f>
        <v>0.9</v>
      </c>
      <c r="P623" s="1">
        <f t="shared" si="57"/>
        <v>13761</v>
      </c>
      <c r="Q623" s="4">
        <f t="shared" si="58"/>
        <v>1.1111111111111112</v>
      </c>
      <c r="R623" t="str">
        <f t="shared" si="59"/>
        <v>Achieved</v>
      </c>
    </row>
    <row r="624" spans="1:18">
      <c r="A624" t="s">
        <v>64</v>
      </c>
      <c r="B624" t="s">
        <v>12</v>
      </c>
      <c r="C624" t="s">
        <v>59</v>
      </c>
      <c r="D624" t="s">
        <v>66</v>
      </c>
      <c r="E624" t="s">
        <v>22</v>
      </c>
      <c r="F624">
        <v>1545</v>
      </c>
      <c r="G624" s="1">
        <v>2653</v>
      </c>
      <c r="H624" s="2">
        <v>45499</v>
      </c>
      <c r="I624" t="s">
        <v>16</v>
      </c>
      <c r="J624" t="s">
        <v>661</v>
      </c>
      <c r="K624" t="s">
        <v>29</v>
      </c>
      <c r="L624" t="str">
        <f t="shared" si="54"/>
        <v>Jul</v>
      </c>
      <c r="M624" t="str">
        <f t="shared" si="55"/>
        <v>Q3</v>
      </c>
      <c r="N624" t="str">
        <f t="shared" si="56"/>
        <v>Low</v>
      </c>
      <c r="O624">
        <f>_xlfn.XLOOKUP(I624,Helper_Table!A:A,Helper_Table!B:B)</f>
        <v>1.1000000000000001</v>
      </c>
      <c r="P624" s="1">
        <f t="shared" si="57"/>
        <v>2918.3</v>
      </c>
      <c r="Q624" s="4">
        <f t="shared" si="58"/>
        <v>0.90909090909090906</v>
      </c>
      <c r="R624" t="str">
        <f t="shared" si="59"/>
        <v>Below Target</v>
      </c>
    </row>
    <row r="625" spans="1:18">
      <c r="A625" t="s">
        <v>45</v>
      </c>
      <c r="B625" t="s">
        <v>19</v>
      </c>
      <c r="C625" t="s">
        <v>13</v>
      </c>
      <c r="D625" t="s">
        <v>26</v>
      </c>
      <c r="E625">
        <v>60</v>
      </c>
      <c r="F625">
        <v>1615</v>
      </c>
      <c r="G625" s="1">
        <v>48316</v>
      </c>
      <c r="H625" s="2">
        <v>45431</v>
      </c>
      <c r="I625" t="s">
        <v>41</v>
      </c>
      <c r="J625" t="s">
        <v>662</v>
      </c>
      <c r="K625" t="s">
        <v>47</v>
      </c>
      <c r="L625" t="str">
        <f t="shared" si="54"/>
        <v>May</v>
      </c>
      <c r="M625" t="str">
        <f t="shared" si="55"/>
        <v>Q2</v>
      </c>
      <c r="N625" t="str">
        <f t="shared" si="56"/>
        <v>High</v>
      </c>
      <c r="O625">
        <f>_xlfn.XLOOKUP(I625,Helper_Table!A:A,Helper_Table!B:B)</f>
        <v>1.2</v>
      </c>
      <c r="P625" s="1">
        <f t="shared" si="57"/>
        <v>57979.199999999997</v>
      </c>
      <c r="Q625" s="4">
        <f t="shared" si="58"/>
        <v>0.83333333333333337</v>
      </c>
      <c r="R625" t="str">
        <f t="shared" si="59"/>
        <v>Below Target</v>
      </c>
    </row>
    <row r="626" spans="1:18">
      <c r="A626" t="s">
        <v>35</v>
      </c>
      <c r="B626" t="s">
        <v>36</v>
      </c>
      <c r="C626" t="s">
        <v>59</v>
      </c>
      <c r="D626" t="s">
        <v>14</v>
      </c>
      <c r="E626" t="s">
        <v>22</v>
      </c>
      <c r="F626">
        <v>1793</v>
      </c>
      <c r="G626" s="1">
        <v>3737</v>
      </c>
      <c r="H626" s="2">
        <v>45259</v>
      </c>
      <c r="I626" t="s">
        <v>32</v>
      </c>
      <c r="J626" t="s">
        <v>663</v>
      </c>
      <c r="K626" t="s">
        <v>29</v>
      </c>
      <c r="L626" t="str">
        <f t="shared" si="54"/>
        <v>Nov</v>
      </c>
      <c r="M626" t="str">
        <f t="shared" si="55"/>
        <v>Q4</v>
      </c>
      <c r="N626" t="str">
        <f t="shared" si="56"/>
        <v>Low</v>
      </c>
      <c r="O626">
        <f>_xlfn.XLOOKUP(I626,Helper_Table!A:A,Helper_Table!B:B)</f>
        <v>0.95</v>
      </c>
      <c r="P626" s="1">
        <f t="shared" si="57"/>
        <v>3550.1499999999996</v>
      </c>
      <c r="Q626" s="4">
        <f t="shared" si="58"/>
        <v>1.0526315789473686</v>
      </c>
      <c r="R626" t="str">
        <f t="shared" si="59"/>
        <v>Achieved</v>
      </c>
    </row>
    <row r="627" spans="1:18">
      <c r="A627" t="s">
        <v>24</v>
      </c>
      <c r="B627" t="s">
        <v>36</v>
      </c>
      <c r="C627" t="s">
        <v>20</v>
      </c>
      <c r="D627" t="s">
        <v>66</v>
      </c>
      <c r="E627" t="s">
        <v>15</v>
      </c>
      <c r="F627">
        <v>1283</v>
      </c>
      <c r="G627" s="1">
        <v>30409</v>
      </c>
      <c r="H627" s="2">
        <v>45387</v>
      </c>
      <c r="I627" t="s">
        <v>27</v>
      </c>
      <c r="J627" t="s">
        <v>664</v>
      </c>
      <c r="K627" t="s">
        <v>29</v>
      </c>
      <c r="L627" t="str">
        <f t="shared" si="54"/>
        <v>Apr</v>
      </c>
      <c r="M627" t="str">
        <f t="shared" si="55"/>
        <v>Q2</v>
      </c>
      <c r="N627" t="str">
        <f t="shared" si="56"/>
        <v>Medium</v>
      </c>
      <c r="O627">
        <f>_xlfn.XLOOKUP(I627,Helper_Table!A:A,Helper_Table!B:B)</f>
        <v>0.9</v>
      </c>
      <c r="P627" s="1">
        <f t="shared" si="57"/>
        <v>27368.100000000002</v>
      </c>
      <c r="Q627" s="4">
        <f t="shared" si="58"/>
        <v>1.1111111111111109</v>
      </c>
      <c r="R627" t="str">
        <f t="shared" si="59"/>
        <v>Achieved</v>
      </c>
    </row>
    <row r="628" spans="1:18">
      <c r="A628" t="s">
        <v>45</v>
      </c>
      <c r="B628" t="s">
        <v>49</v>
      </c>
      <c r="C628" t="s">
        <v>20</v>
      </c>
      <c r="D628" t="s">
        <v>26</v>
      </c>
      <c r="E628" t="s">
        <v>38</v>
      </c>
      <c r="F628">
        <v>635</v>
      </c>
      <c r="G628" s="1">
        <v>8357</v>
      </c>
      <c r="H628" s="2">
        <v>45195</v>
      </c>
      <c r="I628" t="s">
        <v>41</v>
      </c>
      <c r="J628" t="s">
        <v>665</v>
      </c>
      <c r="K628" t="s">
        <v>44</v>
      </c>
      <c r="L628" t="str">
        <f t="shared" si="54"/>
        <v>Sep</v>
      </c>
      <c r="M628" t="str">
        <f t="shared" si="55"/>
        <v>Q3</v>
      </c>
      <c r="N628" t="str">
        <f t="shared" si="56"/>
        <v>Low</v>
      </c>
      <c r="O628">
        <f>_xlfn.XLOOKUP(I628,Helper_Table!A:A,Helper_Table!B:B)</f>
        <v>1.2</v>
      </c>
      <c r="P628" s="1">
        <f t="shared" si="57"/>
        <v>10028.4</v>
      </c>
      <c r="Q628" s="4">
        <f t="shared" si="58"/>
        <v>0.83333333333333337</v>
      </c>
      <c r="R628" t="str">
        <f t="shared" si="59"/>
        <v>Below Target</v>
      </c>
    </row>
    <row r="629" spans="1:18">
      <c r="A629" t="s">
        <v>11</v>
      </c>
      <c r="B629" t="s">
        <v>12</v>
      </c>
      <c r="C629" t="s">
        <v>30</v>
      </c>
      <c r="D629" t="s">
        <v>26</v>
      </c>
      <c r="E629">
        <v>60</v>
      </c>
      <c r="F629">
        <v>1700</v>
      </c>
      <c r="G629" s="1">
        <v>25492</v>
      </c>
      <c r="H629" s="2">
        <v>45415</v>
      </c>
      <c r="I629" t="s">
        <v>39</v>
      </c>
      <c r="J629" t="s">
        <v>666</v>
      </c>
      <c r="K629" t="s">
        <v>44</v>
      </c>
      <c r="L629" t="str">
        <f t="shared" si="54"/>
        <v>May</v>
      </c>
      <c r="M629" t="str">
        <f t="shared" si="55"/>
        <v>Q2</v>
      </c>
      <c r="N629" t="str">
        <f t="shared" si="56"/>
        <v>Medium</v>
      </c>
      <c r="O629">
        <f>_xlfn.XLOOKUP(I629,Helper_Table!A:A,Helper_Table!B:B)</f>
        <v>1.1000000000000001</v>
      </c>
      <c r="P629" s="1">
        <f t="shared" si="57"/>
        <v>28041.200000000001</v>
      </c>
      <c r="Q629" s="4">
        <f t="shared" si="58"/>
        <v>0.90909090909090906</v>
      </c>
      <c r="R629" t="str">
        <f t="shared" si="59"/>
        <v>Below Target</v>
      </c>
    </row>
    <row r="630" spans="1:18">
      <c r="A630" t="s">
        <v>11</v>
      </c>
      <c r="B630" t="s">
        <v>49</v>
      </c>
      <c r="C630" t="s">
        <v>25</v>
      </c>
      <c r="D630" t="s">
        <v>26</v>
      </c>
      <c r="E630">
        <v>60</v>
      </c>
      <c r="F630">
        <v>1428</v>
      </c>
      <c r="G630" s="1">
        <v>22964</v>
      </c>
      <c r="H630" s="2">
        <v>45283</v>
      </c>
      <c r="I630" t="s">
        <v>32</v>
      </c>
      <c r="J630" t="s">
        <v>667</v>
      </c>
      <c r="K630" t="s">
        <v>18</v>
      </c>
      <c r="L630" t="str">
        <f t="shared" si="54"/>
        <v>Dec</v>
      </c>
      <c r="M630" t="str">
        <f t="shared" si="55"/>
        <v>Q4</v>
      </c>
      <c r="N630" t="str">
        <f t="shared" si="56"/>
        <v>Medium</v>
      </c>
      <c r="O630">
        <f>_xlfn.XLOOKUP(I630,Helper_Table!A:A,Helper_Table!B:B)</f>
        <v>0.95</v>
      </c>
      <c r="P630" s="1">
        <f t="shared" si="57"/>
        <v>21815.8</v>
      </c>
      <c r="Q630" s="4">
        <f t="shared" si="58"/>
        <v>1.0526315789473684</v>
      </c>
      <c r="R630" t="str">
        <f t="shared" si="59"/>
        <v>Achieved</v>
      </c>
    </row>
    <row r="631" spans="1:18">
      <c r="A631" t="s">
        <v>11</v>
      </c>
      <c r="B631" t="s">
        <v>51</v>
      </c>
      <c r="C631" t="s">
        <v>59</v>
      </c>
      <c r="D631" t="s">
        <v>26</v>
      </c>
      <c r="E631">
        <v>60</v>
      </c>
      <c r="F631">
        <v>786</v>
      </c>
      <c r="G631" s="1">
        <v>11656</v>
      </c>
      <c r="H631" s="2">
        <v>45298</v>
      </c>
      <c r="I631" t="s">
        <v>27</v>
      </c>
      <c r="J631" t="s">
        <v>668</v>
      </c>
      <c r="K631" t="s">
        <v>34</v>
      </c>
      <c r="L631" t="str">
        <f t="shared" si="54"/>
        <v>Jan</v>
      </c>
      <c r="M631" t="str">
        <f t="shared" si="55"/>
        <v>Q1</v>
      </c>
      <c r="N631" t="str">
        <f t="shared" si="56"/>
        <v>Low</v>
      </c>
      <c r="O631">
        <f>_xlfn.XLOOKUP(I631,Helper_Table!A:A,Helper_Table!B:B)</f>
        <v>0.9</v>
      </c>
      <c r="P631" s="1">
        <f t="shared" si="57"/>
        <v>10490.4</v>
      </c>
      <c r="Q631" s="4">
        <f t="shared" si="58"/>
        <v>1.1111111111111112</v>
      </c>
      <c r="R631" t="str">
        <f t="shared" si="59"/>
        <v>Achieved</v>
      </c>
    </row>
    <row r="632" spans="1:18">
      <c r="A632" t="s">
        <v>45</v>
      </c>
      <c r="B632" t="s">
        <v>51</v>
      </c>
      <c r="C632" t="s">
        <v>59</v>
      </c>
      <c r="D632" t="s">
        <v>21</v>
      </c>
      <c r="E632">
        <v>60</v>
      </c>
      <c r="F632">
        <v>973</v>
      </c>
      <c r="G632" s="1">
        <v>3690</v>
      </c>
      <c r="H632" s="2">
        <v>45413</v>
      </c>
      <c r="I632" t="s">
        <v>39</v>
      </c>
      <c r="J632" t="s">
        <v>669</v>
      </c>
      <c r="K632" t="s">
        <v>34</v>
      </c>
      <c r="L632" t="str">
        <f t="shared" si="54"/>
        <v>May</v>
      </c>
      <c r="M632" t="str">
        <f t="shared" si="55"/>
        <v>Q2</v>
      </c>
      <c r="N632" t="str">
        <f t="shared" si="56"/>
        <v>Low</v>
      </c>
      <c r="O632">
        <f>_xlfn.XLOOKUP(I632,Helper_Table!A:A,Helper_Table!B:B)</f>
        <v>1.1000000000000001</v>
      </c>
      <c r="P632" s="1">
        <f t="shared" si="57"/>
        <v>4059.0000000000005</v>
      </c>
      <c r="Q632" s="4">
        <f t="shared" si="58"/>
        <v>0.90909090909090895</v>
      </c>
      <c r="R632" t="str">
        <f t="shared" si="59"/>
        <v>Below Target</v>
      </c>
    </row>
    <row r="633" spans="1:18">
      <c r="A633" t="s">
        <v>35</v>
      </c>
      <c r="B633" t="s">
        <v>49</v>
      </c>
      <c r="C633" t="s">
        <v>20</v>
      </c>
      <c r="D633" t="s">
        <v>31</v>
      </c>
      <c r="E633" t="s">
        <v>15</v>
      </c>
      <c r="F633">
        <v>1841</v>
      </c>
      <c r="G633" s="1">
        <v>5308</v>
      </c>
      <c r="H633" s="2">
        <v>45264</v>
      </c>
      <c r="I633" t="s">
        <v>39</v>
      </c>
      <c r="J633" t="s">
        <v>670</v>
      </c>
      <c r="K633" t="s">
        <v>34</v>
      </c>
      <c r="L633" t="str">
        <f t="shared" si="54"/>
        <v>Dec</v>
      </c>
      <c r="M633" t="str">
        <f t="shared" si="55"/>
        <v>Q4</v>
      </c>
      <c r="N633" t="str">
        <f t="shared" si="56"/>
        <v>Low</v>
      </c>
      <c r="O633">
        <f>_xlfn.XLOOKUP(I633,Helper_Table!A:A,Helper_Table!B:B)</f>
        <v>1.1000000000000001</v>
      </c>
      <c r="P633" s="1">
        <f t="shared" si="57"/>
        <v>5838.8</v>
      </c>
      <c r="Q633" s="4">
        <f t="shared" si="58"/>
        <v>0.90909090909090906</v>
      </c>
      <c r="R633" t="str">
        <f t="shared" si="59"/>
        <v>Below Target</v>
      </c>
    </row>
    <row r="634" spans="1:18">
      <c r="A634" t="s">
        <v>64</v>
      </c>
      <c r="B634" t="s">
        <v>19</v>
      </c>
      <c r="C634" t="s">
        <v>30</v>
      </c>
      <c r="D634" t="s">
        <v>14</v>
      </c>
      <c r="E634" t="s">
        <v>22</v>
      </c>
      <c r="F634">
        <v>852</v>
      </c>
      <c r="G634" s="1">
        <v>21947</v>
      </c>
      <c r="H634" s="2">
        <v>45368</v>
      </c>
      <c r="I634" t="s">
        <v>16</v>
      </c>
      <c r="J634" t="s">
        <v>671</v>
      </c>
      <c r="K634" t="s">
        <v>47</v>
      </c>
      <c r="L634" t="str">
        <f t="shared" si="54"/>
        <v>Mar</v>
      </c>
      <c r="M634" t="str">
        <f t="shared" si="55"/>
        <v>Q1</v>
      </c>
      <c r="N634" t="str">
        <f t="shared" si="56"/>
        <v>Medium</v>
      </c>
      <c r="O634">
        <f>_xlfn.XLOOKUP(I634,Helper_Table!A:A,Helper_Table!B:B)</f>
        <v>1.1000000000000001</v>
      </c>
      <c r="P634" s="1">
        <f t="shared" si="57"/>
        <v>24141.7</v>
      </c>
      <c r="Q634" s="4">
        <f t="shared" si="58"/>
        <v>0.90909090909090906</v>
      </c>
      <c r="R634" t="str">
        <f t="shared" si="59"/>
        <v>Below Target</v>
      </c>
    </row>
    <row r="635" spans="1:18">
      <c r="A635" t="s">
        <v>64</v>
      </c>
      <c r="B635" t="s">
        <v>19</v>
      </c>
      <c r="C635" t="s">
        <v>25</v>
      </c>
      <c r="D635" t="s">
        <v>31</v>
      </c>
      <c r="E635" t="s">
        <v>15</v>
      </c>
      <c r="F635">
        <v>1005</v>
      </c>
      <c r="G635" s="1">
        <v>20706</v>
      </c>
      <c r="H635" s="2">
        <v>45273</v>
      </c>
      <c r="I635" t="s">
        <v>39</v>
      </c>
      <c r="J635" t="s">
        <v>672</v>
      </c>
      <c r="K635" t="s">
        <v>18</v>
      </c>
      <c r="L635" t="str">
        <f t="shared" si="54"/>
        <v>Dec</v>
      </c>
      <c r="M635" t="str">
        <f t="shared" si="55"/>
        <v>Q4</v>
      </c>
      <c r="N635" t="str">
        <f t="shared" si="56"/>
        <v>Medium</v>
      </c>
      <c r="O635">
        <f>_xlfn.XLOOKUP(I635,Helper_Table!A:A,Helper_Table!B:B)</f>
        <v>1.1000000000000001</v>
      </c>
      <c r="P635" s="1">
        <f t="shared" si="57"/>
        <v>22776.600000000002</v>
      </c>
      <c r="Q635" s="4">
        <f t="shared" si="58"/>
        <v>0.90909090909090895</v>
      </c>
      <c r="R635" t="str">
        <f t="shared" si="59"/>
        <v>Below Target</v>
      </c>
    </row>
    <row r="636" spans="1:18">
      <c r="A636" t="s">
        <v>24</v>
      </c>
      <c r="B636" t="s">
        <v>49</v>
      </c>
      <c r="C636" t="s">
        <v>59</v>
      </c>
      <c r="D636" t="s">
        <v>21</v>
      </c>
      <c r="E636" t="s">
        <v>22</v>
      </c>
      <c r="F636">
        <v>1746</v>
      </c>
      <c r="G636" s="1">
        <v>9959</v>
      </c>
      <c r="H636" s="2">
        <v>45377</v>
      </c>
      <c r="I636" t="s">
        <v>39</v>
      </c>
      <c r="J636" t="s">
        <v>673</v>
      </c>
      <c r="K636" t="s">
        <v>18</v>
      </c>
      <c r="L636" t="str">
        <f t="shared" si="54"/>
        <v>Mar</v>
      </c>
      <c r="M636" t="str">
        <f t="shared" si="55"/>
        <v>Q1</v>
      </c>
      <c r="N636" t="str">
        <f t="shared" si="56"/>
        <v>Low</v>
      </c>
      <c r="O636">
        <f>_xlfn.XLOOKUP(I636,Helper_Table!A:A,Helper_Table!B:B)</f>
        <v>1.1000000000000001</v>
      </c>
      <c r="P636" s="1">
        <f t="shared" si="57"/>
        <v>10954.900000000001</v>
      </c>
      <c r="Q636" s="4">
        <f t="shared" si="58"/>
        <v>0.90909090909090895</v>
      </c>
      <c r="R636" t="str">
        <f t="shared" si="59"/>
        <v>Below Target</v>
      </c>
    </row>
    <row r="637" spans="1:18">
      <c r="A637" t="s">
        <v>64</v>
      </c>
      <c r="B637" t="s">
        <v>49</v>
      </c>
      <c r="C637" t="s">
        <v>25</v>
      </c>
      <c r="D637" t="s">
        <v>66</v>
      </c>
      <c r="E637">
        <v>30</v>
      </c>
      <c r="F637">
        <v>1257</v>
      </c>
      <c r="G637" s="1">
        <v>23476</v>
      </c>
      <c r="H637" s="2">
        <v>45291</v>
      </c>
      <c r="I637" t="s">
        <v>32</v>
      </c>
      <c r="J637" t="s">
        <v>674</v>
      </c>
      <c r="K637" t="s">
        <v>47</v>
      </c>
      <c r="L637" t="str">
        <f t="shared" si="54"/>
        <v>Dec</v>
      </c>
      <c r="M637" t="str">
        <f t="shared" si="55"/>
        <v>Q4</v>
      </c>
      <c r="N637" t="str">
        <f t="shared" si="56"/>
        <v>Medium</v>
      </c>
      <c r="O637">
        <f>_xlfn.XLOOKUP(I637,Helper_Table!A:A,Helper_Table!B:B)</f>
        <v>0.95</v>
      </c>
      <c r="P637" s="1">
        <f t="shared" si="57"/>
        <v>22302.2</v>
      </c>
      <c r="Q637" s="4">
        <f t="shared" si="58"/>
        <v>1.0526315789473684</v>
      </c>
      <c r="R637" t="str">
        <f t="shared" si="59"/>
        <v>Achieved</v>
      </c>
    </row>
    <row r="638" spans="1:18">
      <c r="A638" t="s">
        <v>45</v>
      </c>
      <c r="B638" t="s">
        <v>19</v>
      </c>
      <c r="C638" t="s">
        <v>13</v>
      </c>
      <c r="D638" t="s">
        <v>31</v>
      </c>
      <c r="E638" t="s">
        <v>15</v>
      </c>
      <c r="F638">
        <v>1082</v>
      </c>
      <c r="G638" s="1">
        <v>35390</v>
      </c>
      <c r="H638" s="2">
        <v>45381</v>
      </c>
      <c r="I638" t="s">
        <v>32</v>
      </c>
      <c r="J638" t="s">
        <v>675</v>
      </c>
      <c r="K638" t="s">
        <v>34</v>
      </c>
      <c r="L638" t="str">
        <f t="shared" si="54"/>
        <v>Mar</v>
      </c>
      <c r="M638" t="str">
        <f t="shared" si="55"/>
        <v>Q1</v>
      </c>
      <c r="N638" t="str">
        <f t="shared" si="56"/>
        <v>Medium</v>
      </c>
      <c r="O638">
        <f>_xlfn.XLOOKUP(I638,Helper_Table!A:A,Helper_Table!B:B)</f>
        <v>0.95</v>
      </c>
      <c r="P638" s="1">
        <f t="shared" si="57"/>
        <v>33620.5</v>
      </c>
      <c r="Q638" s="4">
        <f t="shared" si="58"/>
        <v>1.0526315789473684</v>
      </c>
      <c r="R638" t="str">
        <f t="shared" si="59"/>
        <v>Achieved</v>
      </c>
    </row>
    <row r="639" spans="1:18">
      <c r="A639" t="s">
        <v>35</v>
      </c>
      <c r="B639" t="s">
        <v>49</v>
      </c>
      <c r="C639" t="s">
        <v>30</v>
      </c>
      <c r="D639" t="s">
        <v>31</v>
      </c>
      <c r="E639" t="s">
        <v>15</v>
      </c>
      <c r="F639">
        <v>428</v>
      </c>
      <c r="G639" s="1">
        <v>3153</v>
      </c>
      <c r="H639" s="2">
        <v>45329</v>
      </c>
      <c r="I639" t="s">
        <v>16</v>
      </c>
      <c r="J639" t="s">
        <v>676</v>
      </c>
      <c r="K639" t="s">
        <v>44</v>
      </c>
      <c r="L639" t="str">
        <f t="shared" si="54"/>
        <v>Feb</v>
      </c>
      <c r="M639" t="str">
        <f t="shared" si="55"/>
        <v>Q1</v>
      </c>
      <c r="N639" t="str">
        <f t="shared" si="56"/>
        <v>Low</v>
      </c>
      <c r="O639">
        <f>_xlfn.XLOOKUP(I639,Helper_Table!A:A,Helper_Table!B:B)</f>
        <v>1.1000000000000001</v>
      </c>
      <c r="P639" s="1">
        <f t="shared" si="57"/>
        <v>3468.3</v>
      </c>
      <c r="Q639" s="4">
        <f t="shared" si="58"/>
        <v>0.90909090909090906</v>
      </c>
      <c r="R639" t="str">
        <f t="shared" si="59"/>
        <v>Below Target</v>
      </c>
    </row>
    <row r="640" spans="1:18">
      <c r="A640" t="s">
        <v>35</v>
      </c>
      <c r="B640" t="s">
        <v>49</v>
      </c>
      <c r="C640" t="s">
        <v>59</v>
      </c>
      <c r="D640" t="s">
        <v>14</v>
      </c>
      <c r="E640">
        <v>60</v>
      </c>
      <c r="F640">
        <v>793</v>
      </c>
      <c r="G640" s="1">
        <v>30051</v>
      </c>
      <c r="H640" s="2">
        <v>45437</v>
      </c>
      <c r="I640" t="s">
        <v>32</v>
      </c>
      <c r="J640" t="s">
        <v>677</v>
      </c>
      <c r="K640" t="s">
        <v>29</v>
      </c>
      <c r="L640" t="str">
        <f t="shared" si="54"/>
        <v>May</v>
      </c>
      <c r="M640" t="str">
        <f t="shared" si="55"/>
        <v>Q2</v>
      </c>
      <c r="N640" t="str">
        <f t="shared" si="56"/>
        <v>Medium</v>
      </c>
      <c r="O640">
        <f>_xlfn.XLOOKUP(I640,Helper_Table!A:A,Helper_Table!B:B)</f>
        <v>0.95</v>
      </c>
      <c r="P640" s="1">
        <f t="shared" si="57"/>
        <v>28548.449999999997</v>
      </c>
      <c r="Q640" s="4">
        <f t="shared" si="58"/>
        <v>1.0526315789473686</v>
      </c>
      <c r="R640" t="str">
        <f t="shared" si="59"/>
        <v>Achieved</v>
      </c>
    </row>
    <row r="641" spans="1:18">
      <c r="A641" t="s">
        <v>45</v>
      </c>
      <c r="B641" t="s">
        <v>36</v>
      </c>
      <c r="C641" t="s">
        <v>20</v>
      </c>
      <c r="D641" t="s">
        <v>14</v>
      </c>
      <c r="E641">
        <v>60</v>
      </c>
      <c r="F641">
        <v>140</v>
      </c>
      <c r="G641" s="1">
        <v>31617</v>
      </c>
      <c r="H641" s="2">
        <v>45221</v>
      </c>
      <c r="I641" t="s">
        <v>32</v>
      </c>
      <c r="J641" t="s">
        <v>678</v>
      </c>
      <c r="K641" t="s">
        <v>47</v>
      </c>
      <c r="L641" t="str">
        <f t="shared" si="54"/>
        <v>Oct</v>
      </c>
      <c r="M641" t="str">
        <f t="shared" si="55"/>
        <v>Q4</v>
      </c>
      <c r="N641" t="str">
        <f t="shared" si="56"/>
        <v>Medium</v>
      </c>
      <c r="O641">
        <f>_xlfn.XLOOKUP(I641,Helper_Table!A:A,Helper_Table!B:B)</f>
        <v>0.95</v>
      </c>
      <c r="P641" s="1">
        <f t="shared" si="57"/>
        <v>30036.149999999998</v>
      </c>
      <c r="Q641" s="4">
        <f t="shared" si="58"/>
        <v>1.0526315789473686</v>
      </c>
      <c r="R641" t="str">
        <f t="shared" si="59"/>
        <v>Achieved</v>
      </c>
    </row>
    <row r="642" spans="1:18">
      <c r="A642" t="s">
        <v>11</v>
      </c>
      <c r="B642" t="s">
        <v>49</v>
      </c>
      <c r="C642" t="s">
        <v>30</v>
      </c>
      <c r="D642" t="s">
        <v>21</v>
      </c>
      <c r="E642">
        <v>30</v>
      </c>
      <c r="F642">
        <v>862</v>
      </c>
      <c r="G642" s="1">
        <v>42692</v>
      </c>
      <c r="H642" s="2">
        <v>45414</v>
      </c>
      <c r="I642" t="s">
        <v>39</v>
      </c>
      <c r="J642" t="s">
        <v>679</v>
      </c>
      <c r="K642" t="s">
        <v>34</v>
      </c>
      <c r="L642" t="str">
        <f t="shared" ref="L642:L705" si="60">TEXT(H642,"MMM")</f>
        <v>May</v>
      </c>
      <c r="M642" t="str">
        <f t="shared" ref="M642:M705" si="61">"Q"&amp;ROUNDUP(MONTH(H642)/3,0)</f>
        <v>Q2</v>
      </c>
      <c r="N642" t="str">
        <f t="shared" ref="N642:N705" si="62">IF(G642&gt;40000,"High",
IF(G642&gt;20000,"Medium","Low"))</f>
        <v>High</v>
      </c>
      <c r="O642">
        <f>_xlfn.XLOOKUP(I642,Helper_Table!A:A,Helper_Table!B:B)</f>
        <v>1.1000000000000001</v>
      </c>
      <c r="P642" s="1">
        <f t="shared" ref="P642:P705" si="63">G642*O642</f>
        <v>46961.200000000004</v>
      </c>
      <c r="Q642" s="4">
        <f t="shared" ref="Q642:Q705" si="64">G642/P642</f>
        <v>0.90909090909090906</v>
      </c>
      <c r="R642" t="str">
        <f t="shared" ref="R642:R705" si="65">IF(Q642&gt;=1,"Achieved","Below Target")</f>
        <v>Below Target</v>
      </c>
    </row>
    <row r="643" spans="1:18">
      <c r="A643" t="s">
        <v>11</v>
      </c>
      <c r="B643" t="s">
        <v>36</v>
      </c>
      <c r="C643" t="s">
        <v>20</v>
      </c>
      <c r="D643" t="s">
        <v>66</v>
      </c>
      <c r="E643">
        <v>30</v>
      </c>
      <c r="F643">
        <v>1888</v>
      </c>
      <c r="G643" s="1">
        <v>35394</v>
      </c>
      <c r="H643" s="2">
        <v>45156</v>
      </c>
      <c r="I643" t="s">
        <v>39</v>
      </c>
      <c r="J643" t="s">
        <v>680</v>
      </c>
      <c r="K643" t="s">
        <v>44</v>
      </c>
      <c r="L643" t="str">
        <f t="shared" si="60"/>
        <v>Aug</v>
      </c>
      <c r="M643" t="str">
        <f t="shared" si="61"/>
        <v>Q3</v>
      </c>
      <c r="N643" t="str">
        <f t="shared" si="62"/>
        <v>Medium</v>
      </c>
      <c r="O643">
        <f>_xlfn.XLOOKUP(I643,Helper_Table!A:A,Helper_Table!B:B)</f>
        <v>1.1000000000000001</v>
      </c>
      <c r="P643" s="1">
        <f t="shared" si="63"/>
        <v>38933.4</v>
      </c>
      <c r="Q643" s="4">
        <f t="shared" si="64"/>
        <v>0.90909090909090906</v>
      </c>
      <c r="R643" t="str">
        <f t="shared" si="65"/>
        <v>Below Target</v>
      </c>
    </row>
    <row r="644" spans="1:18">
      <c r="A644" t="s">
        <v>24</v>
      </c>
      <c r="B644" t="s">
        <v>19</v>
      </c>
      <c r="C644" t="s">
        <v>20</v>
      </c>
      <c r="D644" t="s">
        <v>14</v>
      </c>
      <c r="E644" t="s">
        <v>15</v>
      </c>
      <c r="F644">
        <v>1623</v>
      </c>
      <c r="G644" s="1">
        <v>26804</v>
      </c>
      <c r="H644" s="2">
        <v>45459</v>
      </c>
      <c r="I644" t="s">
        <v>27</v>
      </c>
      <c r="J644" t="s">
        <v>681</v>
      </c>
      <c r="K644" t="s">
        <v>18</v>
      </c>
      <c r="L644" t="str">
        <f t="shared" si="60"/>
        <v>Jun</v>
      </c>
      <c r="M644" t="str">
        <f t="shared" si="61"/>
        <v>Q2</v>
      </c>
      <c r="N644" t="str">
        <f t="shared" si="62"/>
        <v>Medium</v>
      </c>
      <c r="O644">
        <f>_xlfn.XLOOKUP(I644,Helper_Table!A:A,Helper_Table!B:B)</f>
        <v>0.9</v>
      </c>
      <c r="P644" s="1">
        <f t="shared" si="63"/>
        <v>24123.600000000002</v>
      </c>
      <c r="Q644" s="4">
        <f t="shared" si="64"/>
        <v>1.1111111111111109</v>
      </c>
      <c r="R644" t="str">
        <f t="shared" si="65"/>
        <v>Achieved</v>
      </c>
    </row>
    <row r="645" spans="1:18">
      <c r="A645" t="s">
        <v>64</v>
      </c>
      <c r="B645" t="s">
        <v>51</v>
      </c>
      <c r="C645" t="s">
        <v>20</v>
      </c>
      <c r="D645" t="s">
        <v>21</v>
      </c>
      <c r="E645">
        <v>60</v>
      </c>
      <c r="F645">
        <v>1641</v>
      </c>
      <c r="G645" s="1">
        <v>7106</v>
      </c>
      <c r="H645" s="2">
        <v>45148</v>
      </c>
      <c r="I645" t="s">
        <v>39</v>
      </c>
      <c r="J645" t="s">
        <v>682</v>
      </c>
      <c r="K645" t="s">
        <v>29</v>
      </c>
      <c r="L645" t="str">
        <f t="shared" si="60"/>
        <v>Aug</v>
      </c>
      <c r="M645" t="str">
        <f t="shared" si="61"/>
        <v>Q3</v>
      </c>
      <c r="N645" t="str">
        <f t="shared" si="62"/>
        <v>Low</v>
      </c>
      <c r="O645">
        <f>_xlfn.XLOOKUP(I645,Helper_Table!A:A,Helper_Table!B:B)</f>
        <v>1.1000000000000001</v>
      </c>
      <c r="P645" s="1">
        <f t="shared" si="63"/>
        <v>7816.6</v>
      </c>
      <c r="Q645" s="4">
        <f t="shared" si="64"/>
        <v>0.90909090909090906</v>
      </c>
      <c r="R645" t="str">
        <f t="shared" si="65"/>
        <v>Below Target</v>
      </c>
    </row>
    <row r="646" spans="1:18">
      <c r="A646" t="s">
        <v>11</v>
      </c>
      <c r="B646" t="s">
        <v>12</v>
      </c>
      <c r="C646" t="s">
        <v>20</v>
      </c>
      <c r="D646" t="s">
        <v>21</v>
      </c>
      <c r="E646">
        <v>60</v>
      </c>
      <c r="F646">
        <v>622</v>
      </c>
      <c r="G646" s="1">
        <v>30194</v>
      </c>
      <c r="H646" s="2">
        <v>45360</v>
      </c>
      <c r="I646" t="s">
        <v>41</v>
      </c>
      <c r="J646" t="s">
        <v>683</v>
      </c>
      <c r="K646" t="s">
        <v>29</v>
      </c>
      <c r="L646" t="str">
        <f t="shared" si="60"/>
        <v>Mar</v>
      </c>
      <c r="M646" t="str">
        <f t="shared" si="61"/>
        <v>Q1</v>
      </c>
      <c r="N646" t="str">
        <f t="shared" si="62"/>
        <v>Medium</v>
      </c>
      <c r="O646">
        <f>_xlfn.XLOOKUP(I646,Helper_Table!A:A,Helper_Table!B:B)</f>
        <v>1.2</v>
      </c>
      <c r="P646" s="1">
        <f t="shared" si="63"/>
        <v>36232.799999999996</v>
      </c>
      <c r="Q646" s="4">
        <f t="shared" si="64"/>
        <v>0.83333333333333348</v>
      </c>
      <c r="R646" t="str">
        <f t="shared" si="65"/>
        <v>Below Target</v>
      </c>
    </row>
    <row r="647" spans="1:18">
      <c r="A647" t="s">
        <v>24</v>
      </c>
      <c r="B647" t="s">
        <v>36</v>
      </c>
      <c r="C647" t="s">
        <v>59</v>
      </c>
      <c r="D647" t="s">
        <v>66</v>
      </c>
      <c r="E647" t="s">
        <v>15</v>
      </c>
      <c r="F647">
        <v>1529</v>
      </c>
      <c r="G647" s="1">
        <v>22974</v>
      </c>
      <c r="H647" s="2">
        <v>45408</v>
      </c>
      <c r="I647" t="s">
        <v>16</v>
      </c>
      <c r="J647" t="s">
        <v>684</v>
      </c>
      <c r="K647" t="s">
        <v>29</v>
      </c>
      <c r="L647" t="str">
        <f t="shared" si="60"/>
        <v>Apr</v>
      </c>
      <c r="M647" t="str">
        <f t="shared" si="61"/>
        <v>Q2</v>
      </c>
      <c r="N647" t="str">
        <f t="shared" si="62"/>
        <v>Medium</v>
      </c>
      <c r="O647">
        <f>_xlfn.XLOOKUP(I647,Helper_Table!A:A,Helper_Table!B:B)</f>
        <v>1.1000000000000001</v>
      </c>
      <c r="P647" s="1">
        <f t="shared" si="63"/>
        <v>25271.4</v>
      </c>
      <c r="Q647" s="4">
        <f t="shared" si="64"/>
        <v>0.90909090909090906</v>
      </c>
      <c r="R647" t="str">
        <f t="shared" si="65"/>
        <v>Below Target</v>
      </c>
    </row>
    <row r="648" spans="1:18">
      <c r="A648" t="s">
        <v>11</v>
      </c>
      <c r="B648" t="s">
        <v>12</v>
      </c>
      <c r="C648" t="s">
        <v>13</v>
      </c>
      <c r="D648" t="s">
        <v>31</v>
      </c>
      <c r="E648" t="s">
        <v>15</v>
      </c>
      <c r="F648">
        <v>1868</v>
      </c>
      <c r="G648" s="1">
        <v>14793</v>
      </c>
      <c r="H648" s="2">
        <v>45465</v>
      </c>
      <c r="I648" t="s">
        <v>16</v>
      </c>
      <c r="J648" t="s">
        <v>685</v>
      </c>
      <c r="K648" t="s">
        <v>29</v>
      </c>
      <c r="L648" t="str">
        <f t="shared" si="60"/>
        <v>Jun</v>
      </c>
      <c r="M648" t="str">
        <f t="shared" si="61"/>
        <v>Q2</v>
      </c>
      <c r="N648" t="str">
        <f t="shared" si="62"/>
        <v>Low</v>
      </c>
      <c r="O648">
        <f>_xlfn.XLOOKUP(I648,Helper_Table!A:A,Helper_Table!B:B)</f>
        <v>1.1000000000000001</v>
      </c>
      <c r="P648" s="1">
        <f t="shared" si="63"/>
        <v>16272.300000000001</v>
      </c>
      <c r="Q648" s="4">
        <f t="shared" si="64"/>
        <v>0.90909090909090906</v>
      </c>
      <c r="R648" t="str">
        <f t="shared" si="65"/>
        <v>Below Target</v>
      </c>
    </row>
    <row r="649" spans="1:18">
      <c r="A649" t="s">
        <v>45</v>
      </c>
      <c r="B649" t="s">
        <v>19</v>
      </c>
      <c r="C649" t="s">
        <v>13</v>
      </c>
      <c r="D649" t="s">
        <v>66</v>
      </c>
      <c r="E649">
        <v>30</v>
      </c>
      <c r="F649">
        <v>421</v>
      </c>
      <c r="G649" s="1">
        <v>11743</v>
      </c>
      <c r="H649" s="2">
        <v>45406</v>
      </c>
      <c r="I649" t="s">
        <v>32</v>
      </c>
      <c r="J649" t="s">
        <v>686</v>
      </c>
      <c r="K649" t="s">
        <v>18</v>
      </c>
      <c r="L649" t="str">
        <f t="shared" si="60"/>
        <v>Apr</v>
      </c>
      <c r="M649" t="str">
        <f t="shared" si="61"/>
        <v>Q2</v>
      </c>
      <c r="N649" t="str">
        <f t="shared" si="62"/>
        <v>Low</v>
      </c>
      <c r="O649">
        <f>_xlfn.XLOOKUP(I649,Helper_Table!A:A,Helper_Table!B:B)</f>
        <v>0.95</v>
      </c>
      <c r="P649" s="1">
        <f t="shared" si="63"/>
        <v>11155.85</v>
      </c>
      <c r="Q649" s="4">
        <f t="shared" si="64"/>
        <v>1.0526315789473684</v>
      </c>
      <c r="R649" t="str">
        <f t="shared" si="65"/>
        <v>Achieved</v>
      </c>
    </row>
    <row r="650" spans="1:18">
      <c r="A650" t="s">
        <v>11</v>
      </c>
      <c r="B650" t="s">
        <v>49</v>
      </c>
      <c r="C650" t="s">
        <v>30</v>
      </c>
      <c r="D650" t="s">
        <v>66</v>
      </c>
      <c r="E650" t="s">
        <v>15</v>
      </c>
      <c r="F650">
        <v>1140</v>
      </c>
      <c r="G650" s="1">
        <v>11932</v>
      </c>
      <c r="H650" s="2">
        <v>45147</v>
      </c>
      <c r="I650" t="s">
        <v>27</v>
      </c>
      <c r="J650" t="s">
        <v>687</v>
      </c>
      <c r="K650" t="s">
        <v>29</v>
      </c>
      <c r="L650" t="str">
        <f t="shared" si="60"/>
        <v>Aug</v>
      </c>
      <c r="M650" t="str">
        <f t="shared" si="61"/>
        <v>Q3</v>
      </c>
      <c r="N650" t="str">
        <f t="shared" si="62"/>
        <v>Low</v>
      </c>
      <c r="O650">
        <f>_xlfn.XLOOKUP(I650,Helper_Table!A:A,Helper_Table!B:B)</f>
        <v>0.9</v>
      </c>
      <c r="P650" s="1">
        <f t="shared" si="63"/>
        <v>10738.800000000001</v>
      </c>
      <c r="Q650" s="4">
        <f t="shared" si="64"/>
        <v>1.1111111111111109</v>
      </c>
      <c r="R650" t="str">
        <f t="shared" si="65"/>
        <v>Achieved</v>
      </c>
    </row>
    <row r="651" spans="1:18">
      <c r="A651" t="s">
        <v>11</v>
      </c>
      <c r="B651" t="s">
        <v>36</v>
      </c>
      <c r="C651" t="s">
        <v>59</v>
      </c>
      <c r="D651" t="s">
        <v>31</v>
      </c>
      <c r="E651" t="s">
        <v>22</v>
      </c>
      <c r="F651">
        <v>1689</v>
      </c>
      <c r="G651" s="1">
        <v>48095</v>
      </c>
      <c r="H651" s="2">
        <v>45322</v>
      </c>
      <c r="I651" t="s">
        <v>16</v>
      </c>
      <c r="J651" t="s">
        <v>688</v>
      </c>
      <c r="K651" t="s">
        <v>29</v>
      </c>
      <c r="L651" t="str">
        <f t="shared" si="60"/>
        <v>Jan</v>
      </c>
      <c r="M651" t="str">
        <f t="shared" si="61"/>
        <v>Q1</v>
      </c>
      <c r="N651" t="str">
        <f t="shared" si="62"/>
        <v>High</v>
      </c>
      <c r="O651">
        <f>_xlfn.XLOOKUP(I651,Helper_Table!A:A,Helper_Table!B:B)</f>
        <v>1.1000000000000001</v>
      </c>
      <c r="P651" s="1">
        <f t="shared" si="63"/>
        <v>52904.500000000007</v>
      </c>
      <c r="Q651" s="4">
        <f t="shared" si="64"/>
        <v>0.90909090909090895</v>
      </c>
      <c r="R651" t="str">
        <f t="shared" si="65"/>
        <v>Below Target</v>
      </c>
    </row>
    <row r="652" spans="1:18">
      <c r="A652" t="s">
        <v>11</v>
      </c>
      <c r="B652" t="s">
        <v>51</v>
      </c>
      <c r="C652" t="s">
        <v>59</v>
      </c>
      <c r="D652" t="s">
        <v>31</v>
      </c>
      <c r="E652">
        <v>30</v>
      </c>
      <c r="F652">
        <v>899</v>
      </c>
      <c r="G652" s="1">
        <v>30188</v>
      </c>
      <c r="H652" s="2">
        <v>45292</v>
      </c>
      <c r="I652" t="s">
        <v>41</v>
      </c>
      <c r="J652" t="s">
        <v>689</v>
      </c>
      <c r="K652" t="s">
        <v>29</v>
      </c>
      <c r="L652" t="str">
        <f t="shared" si="60"/>
        <v>Jan</v>
      </c>
      <c r="M652" t="str">
        <f t="shared" si="61"/>
        <v>Q1</v>
      </c>
      <c r="N652" t="str">
        <f t="shared" si="62"/>
        <v>Medium</v>
      </c>
      <c r="O652">
        <f>_xlfn.XLOOKUP(I652,Helper_Table!A:A,Helper_Table!B:B)</f>
        <v>1.2</v>
      </c>
      <c r="P652" s="1">
        <f t="shared" si="63"/>
        <v>36225.599999999999</v>
      </c>
      <c r="Q652" s="4">
        <f t="shared" si="64"/>
        <v>0.83333333333333337</v>
      </c>
      <c r="R652" t="str">
        <f t="shared" si="65"/>
        <v>Below Target</v>
      </c>
    </row>
    <row r="653" spans="1:18">
      <c r="A653" t="s">
        <v>11</v>
      </c>
      <c r="B653" t="s">
        <v>51</v>
      </c>
      <c r="C653" t="s">
        <v>20</v>
      </c>
      <c r="D653" t="s">
        <v>66</v>
      </c>
      <c r="E653" t="s">
        <v>38</v>
      </c>
      <c r="F653">
        <v>1631</v>
      </c>
      <c r="G653" s="1">
        <v>1499</v>
      </c>
      <c r="H653" s="2">
        <v>45449</v>
      </c>
      <c r="I653" t="s">
        <v>16</v>
      </c>
      <c r="J653" t="s">
        <v>690</v>
      </c>
      <c r="K653" t="s">
        <v>34</v>
      </c>
      <c r="L653" t="str">
        <f t="shared" si="60"/>
        <v>Jun</v>
      </c>
      <c r="M653" t="str">
        <f t="shared" si="61"/>
        <v>Q2</v>
      </c>
      <c r="N653" t="str">
        <f t="shared" si="62"/>
        <v>Low</v>
      </c>
      <c r="O653">
        <f>_xlfn.XLOOKUP(I653,Helper_Table!A:A,Helper_Table!B:B)</f>
        <v>1.1000000000000001</v>
      </c>
      <c r="P653" s="1">
        <f t="shared" si="63"/>
        <v>1648.9</v>
      </c>
      <c r="Q653" s="4">
        <f t="shared" si="64"/>
        <v>0.90909090909090906</v>
      </c>
      <c r="R653" t="str">
        <f t="shared" si="65"/>
        <v>Below Target</v>
      </c>
    </row>
    <row r="654" spans="1:18">
      <c r="A654" t="s">
        <v>11</v>
      </c>
      <c r="B654" t="s">
        <v>51</v>
      </c>
      <c r="C654" t="s">
        <v>20</v>
      </c>
      <c r="D654" t="s">
        <v>66</v>
      </c>
      <c r="E654" t="s">
        <v>15</v>
      </c>
      <c r="F654">
        <v>319</v>
      </c>
      <c r="G654" s="1">
        <v>13155</v>
      </c>
      <c r="H654" s="2">
        <v>45425</v>
      </c>
      <c r="I654" t="s">
        <v>32</v>
      </c>
      <c r="J654" t="s">
        <v>691</v>
      </c>
      <c r="K654" t="s">
        <v>44</v>
      </c>
      <c r="L654" t="str">
        <f t="shared" si="60"/>
        <v>May</v>
      </c>
      <c r="M654" t="str">
        <f t="shared" si="61"/>
        <v>Q2</v>
      </c>
      <c r="N654" t="str">
        <f t="shared" si="62"/>
        <v>Low</v>
      </c>
      <c r="O654">
        <f>_xlfn.XLOOKUP(I654,Helper_Table!A:A,Helper_Table!B:B)</f>
        <v>0.95</v>
      </c>
      <c r="P654" s="1">
        <f t="shared" si="63"/>
        <v>12497.25</v>
      </c>
      <c r="Q654" s="4">
        <f t="shared" si="64"/>
        <v>1.0526315789473684</v>
      </c>
      <c r="R654" t="str">
        <f t="shared" si="65"/>
        <v>Achieved</v>
      </c>
    </row>
    <row r="655" spans="1:18">
      <c r="A655" t="s">
        <v>35</v>
      </c>
      <c r="B655" t="s">
        <v>12</v>
      </c>
      <c r="C655" t="s">
        <v>59</v>
      </c>
      <c r="D655" t="s">
        <v>21</v>
      </c>
      <c r="E655" t="s">
        <v>38</v>
      </c>
      <c r="F655">
        <v>152</v>
      </c>
      <c r="G655" s="1">
        <v>12327</v>
      </c>
      <c r="H655" s="2">
        <v>45230</v>
      </c>
      <c r="I655" t="s">
        <v>41</v>
      </c>
      <c r="J655" t="s">
        <v>692</v>
      </c>
      <c r="K655" t="s">
        <v>44</v>
      </c>
      <c r="L655" t="str">
        <f t="shared" si="60"/>
        <v>Oct</v>
      </c>
      <c r="M655" t="str">
        <f t="shared" si="61"/>
        <v>Q4</v>
      </c>
      <c r="N655" t="str">
        <f t="shared" si="62"/>
        <v>Low</v>
      </c>
      <c r="O655">
        <f>_xlfn.XLOOKUP(I655,Helper_Table!A:A,Helper_Table!B:B)</f>
        <v>1.2</v>
      </c>
      <c r="P655" s="1">
        <f t="shared" si="63"/>
        <v>14792.4</v>
      </c>
      <c r="Q655" s="4">
        <f t="shared" si="64"/>
        <v>0.83333333333333337</v>
      </c>
      <c r="R655" t="str">
        <f t="shared" si="65"/>
        <v>Below Target</v>
      </c>
    </row>
    <row r="656" spans="1:18">
      <c r="A656" t="s">
        <v>35</v>
      </c>
      <c r="B656" t="s">
        <v>12</v>
      </c>
      <c r="C656" t="s">
        <v>20</v>
      </c>
      <c r="D656" t="s">
        <v>66</v>
      </c>
      <c r="E656" t="s">
        <v>15</v>
      </c>
      <c r="F656">
        <v>1283</v>
      </c>
      <c r="G656" s="1">
        <v>2668</v>
      </c>
      <c r="H656" s="2">
        <v>45425</v>
      </c>
      <c r="I656" t="s">
        <v>16</v>
      </c>
      <c r="J656" t="s">
        <v>693</v>
      </c>
      <c r="K656" t="s">
        <v>18</v>
      </c>
      <c r="L656" t="str">
        <f t="shared" si="60"/>
        <v>May</v>
      </c>
      <c r="M656" t="str">
        <f t="shared" si="61"/>
        <v>Q2</v>
      </c>
      <c r="N656" t="str">
        <f t="shared" si="62"/>
        <v>Low</v>
      </c>
      <c r="O656">
        <f>_xlfn.XLOOKUP(I656,Helper_Table!A:A,Helper_Table!B:B)</f>
        <v>1.1000000000000001</v>
      </c>
      <c r="P656" s="1">
        <f t="shared" si="63"/>
        <v>2934.8</v>
      </c>
      <c r="Q656" s="4">
        <f t="shared" si="64"/>
        <v>0.90909090909090906</v>
      </c>
      <c r="R656" t="str">
        <f t="shared" si="65"/>
        <v>Below Target</v>
      </c>
    </row>
    <row r="657" spans="1:18">
      <c r="A657" t="s">
        <v>45</v>
      </c>
      <c r="B657" t="s">
        <v>12</v>
      </c>
      <c r="C657" t="s">
        <v>30</v>
      </c>
      <c r="D657" t="s">
        <v>14</v>
      </c>
      <c r="E657" t="s">
        <v>22</v>
      </c>
      <c r="F657">
        <v>1508</v>
      </c>
      <c r="G657" s="1">
        <v>41269</v>
      </c>
      <c r="H657" s="2">
        <v>45285</v>
      </c>
      <c r="I657" t="s">
        <v>41</v>
      </c>
      <c r="J657" t="s">
        <v>694</v>
      </c>
      <c r="K657" t="s">
        <v>29</v>
      </c>
      <c r="L657" t="str">
        <f t="shared" si="60"/>
        <v>Dec</v>
      </c>
      <c r="M657" t="str">
        <f t="shared" si="61"/>
        <v>Q4</v>
      </c>
      <c r="N657" t="str">
        <f t="shared" si="62"/>
        <v>High</v>
      </c>
      <c r="O657">
        <f>_xlfn.XLOOKUP(I657,Helper_Table!A:A,Helper_Table!B:B)</f>
        <v>1.2</v>
      </c>
      <c r="P657" s="1">
        <f t="shared" si="63"/>
        <v>49522.799999999996</v>
      </c>
      <c r="Q657" s="4">
        <f t="shared" si="64"/>
        <v>0.83333333333333337</v>
      </c>
      <c r="R657" t="str">
        <f t="shared" si="65"/>
        <v>Below Target</v>
      </c>
    </row>
    <row r="658" spans="1:18">
      <c r="A658" t="s">
        <v>24</v>
      </c>
      <c r="B658" t="s">
        <v>49</v>
      </c>
      <c r="C658" t="s">
        <v>25</v>
      </c>
      <c r="D658" t="s">
        <v>14</v>
      </c>
      <c r="E658">
        <v>30</v>
      </c>
      <c r="F658">
        <v>774</v>
      </c>
      <c r="G658" s="1">
        <v>26648</v>
      </c>
      <c r="H658" s="2">
        <v>45442</v>
      </c>
      <c r="I658" t="s">
        <v>16</v>
      </c>
      <c r="J658" t="s">
        <v>695</v>
      </c>
      <c r="K658" t="s">
        <v>29</v>
      </c>
      <c r="L658" t="str">
        <f t="shared" si="60"/>
        <v>May</v>
      </c>
      <c r="M658" t="str">
        <f t="shared" si="61"/>
        <v>Q2</v>
      </c>
      <c r="N658" t="str">
        <f t="shared" si="62"/>
        <v>Medium</v>
      </c>
      <c r="O658">
        <f>_xlfn.XLOOKUP(I658,Helper_Table!A:A,Helper_Table!B:B)</f>
        <v>1.1000000000000001</v>
      </c>
      <c r="P658" s="1">
        <f t="shared" si="63"/>
        <v>29312.800000000003</v>
      </c>
      <c r="Q658" s="4">
        <f t="shared" si="64"/>
        <v>0.90909090909090895</v>
      </c>
      <c r="R658" t="str">
        <f t="shared" si="65"/>
        <v>Below Target</v>
      </c>
    </row>
    <row r="659" spans="1:18">
      <c r="A659" t="s">
        <v>45</v>
      </c>
      <c r="B659" t="s">
        <v>51</v>
      </c>
      <c r="C659" t="s">
        <v>59</v>
      </c>
      <c r="D659" t="s">
        <v>26</v>
      </c>
      <c r="E659">
        <v>30</v>
      </c>
      <c r="F659">
        <v>255</v>
      </c>
      <c r="G659" s="1">
        <v>47763</v>
      </c>
      <c r="H659" s="2">
        <v>45381</v>
      </c>
      <c r="I659" t="s">
        <v>27</v>
      </c>
      <c r="J659" t="s">
        <v>696</v>
      </c>
      <c r="K659" t="s">
        <v>47</v>
      </c>
      <c r="L659" t="str">
        <f t="shared" si="60"/>
        <v>Mar</v>
      </c>
      <c r="M659" t="str">
        <f t="shared" si="61"/>
        <v>Q1</v>
      </c>
      <c r="N659" t="str">
        <f t="shared" si="62"/>
        <v>High</v>
      </c>
      <c r="O659">
        <f>_xlfn.XLOOKUP(I659,Helper_Table!A:A,Helper_Table!B:B)</f>
        <v>0.9</v>
      </c>
      <c r="P659" s="1">
        <f t="shared" si="63"/>
        <v>42986.700000000004</v>
      </c>
      <c r="Q659" s="4">
        <f t="shared" si="64"/>
        <v>1.1111111111111109</v>
      </c>
      <c r="R659" t="str">
        <f t="shared" si="65"/>
        <v>Achieved</v>
      </c>
    </row>
    <row r="660" spans="1:18">
      <c r="A660" t="s">
        <v>64</v>
      </c>
      <c r="B660" t="s">
        <v>51</v>
      </c>
      <c r="C660" t="s">
        <v>13</v>
      </c>
      <c r="D660" t="s">
        <v>31</v>
      </c>
      <c r="E660" t="s">
        <v>38</v>
      </c>
      <c r="F660">
        <v>1460</v>
      </c>
      <c r="G660" s="1">
        <v>22865</v>
      </c>
      <c r="H660" s="2">
        <v>45209</v>
      </c>
      <c r="I660" t="s">
        <v>16</v>
      </c>
      <c r="J660" t="s">
        <v>697</v>
      </c>
      <c r="K660" t="s">
        <v>18</v>
      </c>
      <c r="L660" t="str">
        <f t="shared" si="60"/>
        <v>Oct</v>
      </c>
      <c r="M660" t="str">
        <f t="shared" si="61"/>
        <v>Q4</v>
      </c>
      <c r="N660" t="str">
        <f t="shared" si="62"/>
        <v>Medium</v>
      </c>
      <c r="O660">
        <f>_xlfn.XLOOKUP(I660,Helper_Table!A:A,Helper_Table!B:B)</f>
        <v>1.1000000000000001</v>
      </c>
      <c r="P660" s="1">
        <f t="shared" si="63"/>
        <v>25151.500000000004</v>
      </c>
      <c r="Q660" s="4">
        <f t="shared" si="64"/>
        <v>0.90909090909090895</v>
      </c>
      <c r="R660" t="str">
        <f t="shared" si="65"/>
        <v>Below Target</v>
      </c>
    </row>
    <row r="661" spans="1:18">
      <c r="A661" t="s">
        <v>11</v>
      </c>
      <c r="B661" t="s">
        <v>12</v>
      </c>
      <c r="C661" t="s">
        <v>20</v>
      </c>
      <c r="D661" t="s">
        <v>14</v>
      </c>
      <c r="E661">
        <v>30</v>
      </c>
      <c r="F661">
        <v>879</v>
      </c>
      <c r="G661" s="1">
        <v>6810</v>
      </c>
      <c r="H661" s="2">
        <v>45395</v>
      </c>
      <c r="I661" t="s">
        <v>27</v>
      </c>
      <c r="J661" t="s">
        <v>698</v>
      </c>
      <c r="K661" t="s">
        <v>29</v>
      </c>
      <c r="L661" t="str">
        <f t="shared" si="60"/>
        <v>Apr</v>
      </c>
      <c r="M661" t="str">
        <f t="shared" si="61"/>
        <v>Q2</v>
      </c>
      <c r="N661" t="str">
        <f t="shared" si="62"/>
        <v>Low</v>
      </c>
      <c r="O661">
        <f>_xlfn.XLOOKUP(I661,Helper_Table!A:A,Helper_Table!B:B)</f>
        <v>0.9</v>
      </c>
      <c r="P661" s="1">
        <f t="shared" si="63"/>
        <v>6129</v>
      </c>
      <c r="Q661" s="4">
        <f t="shared" si="64"/>
        <v>1.1111111111111112</v>
      </c>
      <c r="R661" t="str">
        <f t="shared" si="65"/>
        <v>Achieved</v>
      </c>
    </row>
    <row r="662" spans="1:18">
      <c r="A662" t="s">
        <v>11</v>
      </c>
      <c r="B662" t="s">
        <v>36</v>
      </c>
      <c r="C662" t="s">
        <v>30</v>
      </c>
      <c r="D662" t="s">
        <v>21</v>
      </c>
      <c r="E662" t="s">
        <v>15</v>
      </c>
      <c r="F662">
        <v>634</v>
      </c>
      <c r="G662" s="1">
        <v>15232</v>
      </c>
      <c r="H662" s="2">
        <v>45493</v>
      </c>
      <c r="I662" t="s">
        <v>32</v>
      </c>
      <c r="J662" t="s">
        <v>699</v>
      </c>
      <c r="K662" t="s">
        <v>34</v>
      </c>
      <c r="L662" t="str">
        <f t="shared" si="60"/>
        <v>Jul</v>
      </c>
      <c r="M662" t="str">
        <f t="shared" si="61"/>
        <v>Q3</v>
      </c>
      <c r="N662" t="str">
        <f t="shared" si="62"/>
        <v>Low</v>
      </c>
      <c r="O662">
        <f>_xlfn.XLOOKUP(I662,Helper_Table!A:A,Helper_Table!B:B)</f>
        <v>0.95</v>
      </c>
      <c r="P662" s="1">
        <f t="shared" si="63"/>
        <v>14470.4</v>
      </c>
      <c r="Q662" s="4">
        <f t="shared" si="64"/>
        <v>1.0526315789473684</v>
      </c>
      <c r="R662" t="str">
        <f t="shared" si="65"/>
        <v>Achieved</v>
      </c>
    </row>
    <row r="663" spans="1:18">
      <c r="A663" t="s">
        <v>35</v>
      </c>
      <c r="B663" t="s">
        <v>19</v>
      </c>
      <c r="C663" t="s">
        <v>20</v>
      </c>
      <c r="D663" t="s">
        <v>21</v>
      </c>
      <c r="E663" t="s">
        <v>22</v>
      </c>
      <c r="F663">
        <v>1589</v>
      </c>
      <c r="G663" s="1">
        <v>28963</v>
      </c>
      <c r="H663" s="2">
        <v>45337</v>
      </c>
      <c r="I663" t="s">
        <v>27</v>
      </c>
      <c r="J663" t="s">
        <v>700</v>
      </c>
      <c r="K663" t="s">
        <v>34</v>
      </c>
      <c r="L663" t="str">
        <f t="shared" si="60"/>
        <v>Feb</v>
      </c>
      <c r="M663" t="str">
        <f t="shared" si="61"/>
        <v>Q1</v>
      </c>
      <c r="N663" t="str">
        <f t="shared" si="62"/>
        <v>Medium</v>
      </c>
      <c r="O663">
        <f>_xlfn.XLOOKUP(I663,Helper_Table!A:A,Helper_Table!B:B)</f>
        <v>0.9</v>
      </c>
      <c r="P663" s="1">
        <f t="shared" si="63"/>
        <v>26066.7</v>
      </c>
      <c r="Q663" s="4">
        <f t="shared" si="64"/>
        <v>1.1111111111111112</v>
      </c>
      <c r="R663" t="str">
        <f t="shared" si="65"/>
        <v>Achieved</v>
      </c>
    </row>
    <row r="664" spans="1:18">
      <c r="A664" t="s">
        <v>45</v>
      </c>
      <c r="B664" t="s">
        <v>51</v>
      </c>
      <c r="C664" t="s">
        <v>59</v>
      </c>
      <c r="D664" t="s">
        <v>14</v>
      </c>
      <c r="E664" t="s">
        <v>22</v>
      </c>
      <c r="F664">
        <v>288</v>
      </c>
      <c r="G664" s="1">
        <v>10918</v>
      </c>
      <c r="H664" s="2">
        <v>45251</v>
      </c>
      <c r="I664" t="s">
        <v>27</v>
      </c>
      <c r="J664" t="s">
        <v>701</v>
      </c>
      <c r="K664" t="s">
        <v>18</v>
      </c>
      <c r="L664" t="str">
        <f t="shared" si="60"/>
        <v>Nov</v>
      </c>
      <c r="M664" t="str">
        <f t="shared" si="61"/>
        <v>Q4</v>
      </c>
      <c r="N664" t="str">
        <f t="shared" si="62"/>
        <v>Low</v>
      </c>
      <c r="O664">
        <f>_xlfn.XLOOKUP(I664,Helper_Table!A:A,Helper_Table!B:B)</f>
        <v>0.9</v>
      </c>
      <c r="P664" s="1">
        <f t="shared" si="63"/>
        <v>9826.2000000000007</v>
      </c>
      <c r="Q664" s="4">
        <f t="shared" si="64"/>
        <v>1.1111111111111109</v>
      </c>
      <c r="R664" t="str">
        <f t="shared" si="65"/>
        <v>Achieved</v>
      </c>
    </row>
    <row r="665" spans="1:18">
      <c r="A665" t="s">
        <v>35</v>
      </c>
      <c r="B665" t="s">
        <v>36</v>
      </c>
      <c r="C665" t="s">
        <v>25</v>
      </c>
      <c r="D665" t="s">
        <v>21</v>
      </c>
      <c r="E665" t="s">
        <v>15</v>
      </c>
      <c r="F665">
        <v>161</v>
      </c>
      <c r="G665" s="1">
        <v>15335</v>
      </c>
      <c r="H665" s="2">
        <v>45488</v>
      </c>
      <c r="I665" t="s">
        <v>16</v>
      </c>
      <c r="J665" t="s">
        <v>702</v>
      </c>
      <c r="K665" t="s">
        <v>44</v>
      </c>
      <c r="L665" t="str">
        <f t="shared" si="60"/>
        <v>Jul</v>
      </c>
      <c r="M665" t="str">
        <f t="shared" si="61"/>
        <v>Q3</v>
      </c>
      <c r="N665" t="str">
        <f t="shared" si="62"/>
        <v>Low</v>
      </c>
      <c r="O665">
        <f>_xlfn.XLOOKUP(I665,Helper_Table!A:A,Helper_Table!B:B)</f>
        <v>1.1000000000000001</v>
      </c>
      <c r="P665" s="1">
        <f t="shared" si="63"/>
        <v>16868.5</v>
      </c>
      <c r="Q665" s="4">
        <f t="shared" si="64"/>
        <v>0.90909090909090906</v>
      </c>
      <c r="R665" t="str">
        <f t="shared" si="65"/>
        <v>Below Target</v>
      </c>
    </row>
    <row r="666" spans="1:18">
      <c r="A666" t="s">
        <v>24</v>
      </c>
      <c r="B666" t="s">
        <v>49</v>
      </c>
      <c r="C666" t="s">
        <v>20</v>
      </c>
      <c r="D666" t="s">
        <v>21</v>
      </c>
      <c r="E666" t="s">
        <v>15</v>
      </c>
      <c r="F666">
        <v>855</v>
      </c>
      <c r="G666" s="1">
        <v>29393</v>
      </c>
      <c r="H666" s="2">
        <v>45173</v>
      </c>
      <c r="I666" t="s">
        <v>16</v>
      </c>
      <c r="J666" t="s">
        <v>703</v>
      </c>
      <c r="K666" t="s">
        <v>18</v>
      </c>
      <c r="L666" t="str">
        <f t="shared" si="60"/>
        <v>Sep</v>
      </c>
      <c r="M666" t="str">
        <f t="shared" si="61"/>
        <v>Q3</v>
      </c>
      <c r="N666" t="str">
        <f t="shared" si="62"/>
        <v>Medium</v>
      </c>
      <c r="O666">
        <f>_xlfn.XLOOKUP(I666,Helper_Table!A:A,Helper_Table!B:B)</f>
        <v>1.1000000000000001</v>
      </c>
      <c r="P666" s="1">
        <f t="shared" si="63"/>
        <v>32332.300000000003</v>
      </c>
      <c r="Q666" s="4">
        <f t="shared" si="64"/>
        <v>0.90909090909090906</v>
      </c>
      <c r="R666" t="str">
        <f t="shared" si="65"/>
        <v>Below Target</v>
      </c>
    </row>
    <row r="667" spans="1:18">
      <c r="A667" t="s">
        <v>24</v>
      </c>
      <c r="B667" t="s">
        <v>49</v>
      </c>
      <c r="C667" t="s">
        <v>59</v>
      </c>
      <c r="D667" t="s">
        <v>31</v>
      </c>
      <c r="E667" t="s">
        <v>38</v>
      </c>
      <c r="F667">
        <v>488</v>
      </c>
      <c r="G667" s="1">
        <v>48696</v>
      </c>
      <c r="H667" s="2">
        <v>45273</v>
      </c>
      <c r="I667" t="s">
        <v>39</v>
      </c>
      <c r="J667" t="s">
        <v>704</v>
      </c>
      <c r="K667" t="s">
        <v>18</v>
      </c>
      <c r="L667" t="str">
        <f t="shared" si="60"/>
        <v>Dec</v>
      </c>
      <c r="M667" t="str">
        <f t="shared" si="61"/>
        <v>Q4</v>
      </c>
      <c r="N667" t="str">
        <f t="shared" si="62"/>
        <v>High</v>
      </c>
      <c r="O667">
        <f>_xlfn.XLOOKUP(I667,Helper_Table!A:A,Helper_Table!B:B)</f>
        <v>1.1000000000000001</v>
      </c>
      <c r="P667" s="1">
        <f t="shared" si="63"/>
        <v>53565.600000000006</v>
      </c>
      <c r="Q667" s="4">
        <f t="shared" si="64"/>
        <v>0.90909090909090895</v>
      </c>
      <c r="R667" t="str">
        <f t="shared" si="65"/>
        <v>Below Target</v>
      </c>
    </row>
    <row r="668" spans="1:18">
      <c r="A668" t="s">
        <v>35</v>
      </c>
      <c r="B668" t="s">
        <v>12</v>
      </c>
      <c r="C668" t="s">
        <v>20</v>
      </c>
      <c r="D668" t="s">
        <v>26</v>
      </c>
      <c r="E668" t="s">
        <v>22</v>
      </c>
      <c r="F668">
        <v>1119</v>
      </c>
      <c r="G668" s="1">
        <v>17664</v>
      </c>
      <c r="H668" s="2">
        <v>45343</v>
      </c>
      <c r="I668" t="s">
        <v>27</v>
      </c>
      <c r="J668" t="s">
        <v>705</v>
      </c>
      <c r="K668" t="s">
        <v>29</v>
      </c>
      <c r="L668" t="str">
        <f t="shared" si="60"/>
        <v>Feb</v>
      </c>
      <c r="M668" t="str">
        <f t="shared" si="61"/>
        <v>Q1</v>
      </c>
      <c r="N668" t="str">
        <f t="shared" si="62"/>
        <v>Low</v>
      </c>
      <c r="O668">
        <f>_xlfn.XLOOKUP(I668,Helper_Table!A:A,Helper_Table!B:B)</f>
        <v>0.9</v>
      </c>
      <c r="P668" s="1">
        <f t="shared" si="63"/>
        <v>15897.6</v>
      </c>
      <c r="Q668" s="4">
        <f t="shared" si="64"/>
        <v>1.1111111111111112</v>
      </c>
      <c r="R668" t="str">
        <f t="shared" si="65"/>
        <v>Achieved</v>
      </c>
    </row>
    <row r="669" spans="1:18">
      <c r="A669" t="s">
        <v>64</v>
      </c>
      <c r="B669" t="s">
        <v>36</v>
      </c>
      <c r="C669" t="s">
        <v>13</v>
      </c>
      <c r="D669" t="s">
        <v>66</v>
      </c>
      <c r="E669">
        <v>30</v>
      </c>
      <c r="F669">
        <v>105</v>
      </c>
      <c r="G669" s="1">
        <v>10114</v>
      </c>
      <c r="H669" s="2">
        <v>45197</v>
      </c>
      <c r="I669" t="s">
        <v>32</v>
      </c>
      <c r="J669" t="s">
        <v>706</v>
      </c>
      <c r="K669" t="s">
        <v>18</v>
      </c>
      <c r="L669" t="str">
        <f t="shared" si="60"/>
        <v>Sep</v>
      </c>
      <c r="M669" t="str">
        <f t="shared" si="61"/>
        <v>Q3</v>
      </c>
      <c r="N669" t="str">
        <f t="shared" si="62"/>
        <v>Low</v>
      </c>
      <c r="O669">
        <f>_xlfn.XLOOKUP(I669,Helper_Table!A:A,Helper_Table!B:B)</f>
        <v>0.95</v>
      </c>
      <c r="P669" s="1">
        <f t="shared" si="63"/>
        <v>9608.2999999999993</v>
      </c>
      <c r="Q669" s="4">
        <f t="shared" si="64"/>
        <v>1.0526315789473686</v>
      </c>
      <c r="R669" t="str">
        <f t="shared" si="65"/>
        <v>Achieved</v>
      </c>
    </row>
    <row r="670" spans="1:18">
      <c r="A670" t="s">
        <v>64</v>
      </c>
      <c r="B670" t="s">
        <v>19</v>
      </c>
      <c r="C670" t="s">
        <v>30</v>
      </c>
      <c r="D670" t="s">
        <v>14</v>
      </c>
      <c r="E670" t="s">
        <v>22</v>
      </c>
      <c r="F670">
        <v>1425</v>
      </c>
      <c r="G670" s="1">
        <v>49691</v>
      </c>
      <c r="H670" s="2">
        <v>45252</v>
      </c>
      <c r="I670" t="s">
        <v>27</v>
      </c>
      <c r="J670" t="s">
        <v>707</v>
      </c>
      <c r="K670" t="s">
        <v>34</v>
      </c>
      <c r="L670" t="str">
        <f t="shared" si="60"/>
        <v>Nov</v>
      </c>
      <c r="M670" t="str">
        <f t="shared" si="61"/>
        <v>Q4</v>
      </c>
      <c r="N670" t="str">
        <f t="shared" si="62"/>
        <v>High</v>
      </c>
      <c r="O670">
        <f>_xlfn.XLOOKUP(I670,Helper_Table!A:A,Helper_Table!B:B)</f>
        <v>0.9</v>
      </c>
      <c r="P670" s="1">
        <f t="shared" si="63"/>
        <v>44721.9</v>
      </c>
      <c r="Q670" s="4">
        <f t="shared" si="64"/>
        <v>1.1111111111111112</v>
      </c>
      <c r="R670" t="str">
        <f t="shared" si="65"/>
        <v>Achieved</v>
      </c>
    </row>
    <row r="671" spans="1:18">
      <c r="A671" t="s">
        <v>11</v>
      </c>
      <c r="B671" t="s">
        <v>49</v>
      </c>
      <c r="C671" t="s">
        <v>59</v>
      </c>
      <c r="D671" t="s">
        <v>14</v>
      </c>
      <c r="E671" t="s">
        <v>38</v>
      </c>
      <c r="F671">
        <v>908</v>
      </c>
      <c r="G671" s="1">
        <v>12202</v>
      </c>
      <c r="H671" s="2">
        <v>45362</v>
      </c>
      <c r="I671" t="s">
        <v>39</v>
      </c>
      <c r="J671" t="s">
        <v>708</v>
      </c>
      <c r="K671" t="s">
        <v>29</v>
      </c>
      <c r="L671" t="str">
        <f t="shared" si="60"/>
        <v>Mar</v>
      </c>
      <c r="M671" t="str">
        <f t="shared" si="61"/>
        <v>Q1</v>
      </c>
      <c r="N671" t="str">
        <f t="shared" si="62"/>
        <v>Low</v>
      </c>
      <c r="O671">
        <f>_xlfn.XLOOKUP(I671,Helper_Table!A:A,Helper_Table!B:B)</f>
        <v>1.1000000000000001</v>
      </c>
      <c r="P671" s="1">
        <f t="shared" si="63"/>
        <v>13422.2</v>
      </c>
      <c r="Q671" s="4">
        <f t="shared" si="64"/>
        <v>0.90909090909090906</v>
      </c>
      <c r="R671" t="str">
        <f t="shared" si="65"/>
        <v>Below Target</v>
      </c>
    </row>
    <row r="672" spans="1:18">
      <c r="A672" t="s">
        <v>35</v>
      </c>
      <c r="B672" t="s">
        <v>49</v>
      </c>
      <c r="C672" t="s">
        <v>20</v>
      </c>
      <c r="D672" t="s">
        <v>66</v>
      </c>
      <c r="E672">
        <v>30</v>
      </c>
      <c r="F672">
        <v>1479</v>
      </c>
      <c r="G672" s="1">
        <v>39296</v>
      </c>
      <c r="H672" s="2">
        <v>45441</v>
      </c>
      <c r="I672" t="s">
        <v>27</v>
      </c>
      <c r="J672" t="s">
        <v>709</v>
      </c>
      <c r="K672" t="s">
        <v>34</v>
      </c>
      <c r="L672" t="str">
        <f t="shared" si="60"/>
        <v>May</v>
      </c>
      <c r="M672" t="str">
        <f t="shared" si="61"/>
        <v>Q2</v>
      </c>
      <c r="N672" t="str">
        <f t="shared" si="62"/>
        <v>Medium</v>
      </c>
      <c r="O672">
        <f>_xlfn.XLOOKUP(I672,Helper_Table!A:A,Helper_Table!B:B)</f>
        <v>0.9</v>
      </c>
      <c r="P672" s="1">
        <f t="shared" si="63"/>
        <v>35366.400000000001</v>
      </c>
      <c r="Q672" s="4">
        <f t="shared" si="64"/>
        <v>1.1111111111111112</v>
      </c>
      <c r="R672" t="str">
        <f t="shared" si="65"/>
        <v>Achieved</v>
      </c>
    </row>
    <row r="673" spans="1:18">
      <c r="A673" t="s">
        <v>64</v>
      </c>
      <c r="B673" t="s">
        <v>49</v>
      </c>
      <c r="C673" t="s">
        <v>30</v>
      </c>
      <c r="D673" t="s">
        <v>31</v>
      </c>
      <c r="E673">
        <v>30</v>
      </c>
      <c r="F673">
        <v>1271</v>
      </c>
      <c r="G673" s="1">
        <v>24977</v>
      </c>
      <c r="H673" s="2">
        <v>45233</v>
      </c>
      <c r="I673" t="s">
        <v>27</v>
      </c>
      <c r="J673" t="s">
        <v>710</v>
      </c>
      <c r="K673" t="s">
        <v>18</v>
      </c>
      <c r="L673" t="str">
        <f t="shared" si="60"/>
        <v>Nov</v>
      </c>
      <c r="M673" t="str">
        <f t="shared" si="61"/>
        <v>Q4</v>
      </c>
      <c r="N673" t="str">
        <f t="shared" si="62"/>
        <v>Medium</v>
      </c>
      <c r="O673">
        <f>_xlfn.XLOOKUP(I673,Helper_Table!A:A,Helper_Table!B:B)</f>
        <v>0.9</v>
      </c>
      <c r="P673" s="1">
        <f t="shared" si="63"/>
        <v>22479.3</v>
      </c>
      <c r="Q673" s="4">
        <f t="shared" si="64"/>
        <v>1.1111111111111112</v>
      </c>
      <c r="R673" t="str">
        <f t="shared" si="65"/>
        <v>Achieved</v>
      </c>
    </row>
    <row r="674" spans="1:18">
      <c r="A674" t="s">
        <v>11</v>
      </c>
      <c r="B674" t="s">
        <v>49</v>
      </c>
      <c r="C674" t="s">
        <v>25</v>
      </c>
      <c r="D674" t="s">
        <v>26</v>
      </c>
      <c r="E674">
        <v>60</v>
      </c>
      <c r="F674">
        <v>255</v>
      </c>
      <c r="G674" s="1">
        <v>3422</v>
      </c>
      <c r="H674" s="2">
        <v>45499</v>
      </c>
      <c r="I674" t="s">
        <v>39</v>
      </c>
      <c r="J674" t="s">
        <v>711</v>
      </c>
      <c r="K674" t="s">
        <v>29</v>
      </c>
      <c r="L674" t="str">
        <f t="shared" si="60"/>
        <v>Jul</v>
      </c>
      <c r="M674" t="str">
        <f t="shared" si="61"/>
        <v>Q3</v>
      </c>
      <c r="N674" t="str">
        <f t="shared" si="62"/>
        <v>Low</v>
      </c>
      <c r="O674">
        <f>_xlfn.XLOOKUP(I674,Helper_Table!A:A,Helper_Table!B:B)</f>
        <v>1.1000000000000001</v>
      </c>
      <c r="P674" s="1">
        <f t="shared" si="63"/>
        <v>3764.2000000000003</v>
      </c>
      <c r="Q674" s="4">
        <f t="shared" si="64"/>
        <v>0.90909090909090906</v>
      </c>
      <c r="R674" t="str">
        <f t="shared" si="65"/>
        <v>Below Target</v>
      </c>
    </row>
    <row r="675" spans="1:18">
      <c r="A675" t="s">
        <v>11</v>
      </c>
      <c r="B675" t="s">
        <v>51</v>
      </c>
      <c r="C675" t="s">
        <v>30</v>
      </c>
      <c r="D675" t="s">
        <v>26</v>
      </c>
      <c r="E675" t="s">
        <v>22</v>
      </c>
      <c r="F675">
        <v>1258</v>
      </c>
      <c r="G675" s="1">
        <v>40096</v>
      </c>
      <c r="H675" s="2">
        <v>45315</v>
      </c>
      <c r="I675" t="s">
        <v>41</v>
      </c>
      <c r="J675" t="s">
        <v>712</v>
      </c>
      <c r="K675" t="s">
        <v>18</v>
      </c>
      <c r="L675" t="str">
        <f t="shared" si="60"/>
        <v>Jan</v>
      </c>
      <c r="M675" t="str">
        <f t="shared" si="61"/>
        <v>Q1</v>
      </c>
      <c r="N675" t="str">
        <f t="shared" si="62"/>
        <v>High</v>
      </c>
      <c r="O675">
        <f>_xlfn.XLOOKUP(I675,Helper_Table!A:A,Helper_Table!B:B)</f>
        <v>1.2</v>
      </c>
      <c r="P675" s="1">
        <f t="shared" si="63"/>
        <v>48115.199999999997</v>
      </c>
      <c r="Q675" s="4">
        <f t="shared" si="64"/>
        <v>0.83333333333333337</v>
      </c>
      <c r="R675" t="str">
        <f t="shared" si="65"/>
        <v>Below Target</v>
      </c>
    </row>
    <row r="676" spans="1:18">
      <c r="A676" t="s">
        <v>11</v>
      </c>
      <c r="B676" t="s">
        <v>51</v>
      </c>
      <c r="C676" t="s">
        <v>25</v>
      </c>
      <c r="D676" t="s">
        <v>21</v>
      </c>
      <c r="E676" t="s">
        <v>22</v>
      </c>
      <c r="F676">
        <v>1633</v>
      </c>
      <c r="G676" s="1">
        <v>49748</v>
      </c>
      <c r="H676" s="2">
        <v>45140</v>
      </c>
      <c r="I676" t="s">
        <v>16</v>
      </c>
      <c r="J676" t="s">
        <v>713</v>
      </c>
      <c r="K676" t="s">
        <v>47</v>
      </c>
      <c r="L676" t="str">
        <f t="shared" si="60"/>
        <v>Aug</v>
      </c>
      <c r="M676" t="str">
        <f t="shared" si="61"/>
        <v>Q3</v>
      </c>
      <c r="N676" t="str">
        <f t="shared" si="62"/>
        <v>High</v>
      </c>
      <c r="O676">
        <f>_xlfn.XLOOKUP(I676,Helper_Table!A:A,Helper_Table!B:B)</f>
        <v>1.1000000000000001</v>
      </c>
      <c r="P676" s="1">
        <f t="shared" si="63"/>
        <v>54722.8</v>
      </c>
      <c r="Q676" s="4">
        <f t="shared" si="64"/>
        <v>0.90909090909090906</v>
      </c>
      <c r="R676" t="str">
        <f t="shared" si="65"/>
        <v>Below Target</v>
      </c>
    </row>
    <row r="677" spans="1:18">
      <c r="A677" t="s">
        <v>45</v>
      </c>
      <c r="B677" t="s">
        <v>51</v>
      </c>
      <c r="C677" t="s">
        <v>20</v>
      </c>
      <c r="D677" t="s">
        <v>31</v>
      </c>
      <c r="E677" t="s">
        <v>22</v>
      </c>
      <c r="F677">
        <v>115</v>
      </c>
      <c r="G677" s="1">
        <v>42746</v>
      </c>
      <c r="H677" s="2">
        <v>45470</v>
      </c>
      <c r="I677" t="s">
        <v>16</v>
      </c>
      <c r="J677" t="s">
        <v>714</v>
      </c>
      <c r="K677" t="s">
        <v>18</v>
      </c>
      <c r="L677" t="str">
        <f t="shared" si="60"/>
        <v>Jun</v>
      </c>
      <c r="M677" t="str">
        <f t="shared" si="61"/>
        <v>Q2</v>
      </c>
      <c r="N677" t="str">
        <f t="shared" si="62"/>
        <v>High</v>
      </c>
      <c r="O677">
        <f>_xlfn.XLOOKUP(I677,Helper_Table!A:A,Helper_Table!B:B)</f>
        <v>1.1000000000000001</v>
      </c>
      <c r="P677" s="1">
        <f t="shared" si="63"/>
        <v>47020.600000000006</v>
      </c>
      <c r="Q677" s="4">
        <f t="shared" si="64"/>
        <v>0.90909090909090895</v>
      </c>
      <c r="R677" t="str">
        <f t="shared" si="65"/>
        <v>Below Target</v>
      </c>
    </row>
    <row r="678" spans="1:18">
      <c r="A678" t="s">
        <v>24</v>
      </c>
      <c r="B678" t="s">
        <v>51</v>
      </c>
      <c r="C678" t="s">
        <v>30</v>
      </c>
      <c r="D678" t="s">
        <v>21</v>
      </c>
      <c r="E678">
        <v>30</v>
      </c>
      <c r="F678">
        <v>1666</v>
      </c>
      <c r="G678" s="1">
        <v>31902</v>
      </c>
      <c r="H678" s="2">
        <v>45296</v>
      </c>
      <c r="I678" t="s">
        <v>16</v>
      </c>
      <c r="J678" t="s">
        <v>715</v>
      </c>
      <c r="K678" t="s">
        <v>34</v>
      </c>
      <c r="L678" t="str">
        <f t="shared" si="60"/>
        <v>Jan</v>
      </c>
      <c r="M678" t="str">
        <f t="shared" si="61"/>
        <v>Q1</v>
      </c>
      <c r="N678" t="str">
        <f t="shared" si="62"/>
        <v>Medium</v>
      </c>
      <c r="O678">
        <f>_xlfn.XLOOKUP(I678,Helper_Table!A:A,Helper_Table!B:B)</f>
        <v>1.1000000000000001</v>
      </c>
      <c r="P678" s="1">
        <f t="shared" si="63"/>
        <v>35092.200000000004</v>
      </c>
      <c r="Q678" s="4">
        <f t="shared" si="64"/>
        <v>0.90909090909090895</v>
      </c>
      <c r="R678" t="str">
        <f t="shared" si="65"/>
        <v>Below Target</v>
      </c>
    </row>
    <row r="679" spans="1:18">
      <c r="A679" t="s">
        <v>24</v>
      </c>
      <c r="B679" t="s">
        <v>49</v>
      </c>
      <c r="C679" t="s">
        <v>30</v>
      </c>
      <c r="D679" t="s">
        <v>31</v>
      </c>
      <c r="E679" t="s">
        <v>22</v>
      </c>
      <c r="F679">
        <v>1141</v>
      </c>
      <c r="G679" s="1">
        <v>14925</v>
      </c>
      <c r="H679" s="2">
        <v>45410</v>
      </c>
      <c r="I679" t="s">
        <v>27</v>
      </c>
      <c r="J679" t="s">
        <v>716</v>
      </c>
      <c r="K679" t="s">
        <v>29</v>
      </c>
      <c r="L679" t="str">
        <f t="shared" si="60"/>
        <v>Apr</v>
      </c>
      <c r="M679" t="str">
        <f t="shared" si="61"/>
        <v>Q2</v>
      </c>
      <c r="N679" t="str">
        <f t="shared" si="62"/>
        <v>Low</v>
      </c>
      <c r="O679">
        <f>_xlfn.XLOOKUP(I679,Helper_Table!A:A,Helper_Table!B:B)</f>
        <v>0.9</v>
      </c>
      <c r="P679" s="1">
        <f t="shared" si="63"/>
        <v>13432.5</v>
      </c>
      <c r="Q679" s="4">
        <f t="shared" si="64"/>
        <v>1.1111111111111112</v>
      </c>
      <c r="R679" t="str">
        <f t="shared" si="65"/>
        <v>Achieved</v>
      </c>
    </row>
    <row r="680" spans="1:18">
      <c r="A680" t="s">
        <v>45</v>
      </c>
      <c r="B680" t="s">
        <v>19</v>
      </c>
      <c r="C680" t="s">
        <v>25</v>
      </c>
      <c r="D680" t="s">
        <v>21</v>
      </c>
      <c r="E680" t="s">
        <v>15</v>
      </c>
      <c r="F680">
        <v>684</v>
      </c>
      <c r="G680" s="1">
        <v>49285</v>
      </c>
      <c r="H680" s="2">
        <v>45348</v>
      </c>
      <c r="I680" t="s">
        <v>39</v>
      </c>
      <c r="J680" t="s">
        <v>717</v>
      </c>
      <c r="K680" t="s">
        <v>44</v>
      </c>
      <c r="L680" t="str">
        <f t="shared" si="60"/>
        <v>Feb</v>
      </c>
      <c r="M680" t="str">
        <f t="shared" si="61"/>
        <v>Q1</v>
      </c>
      <c r="N680" t="str">
        <f t="shared" si="62"/>
        <v>High</v>
      </c>
      <c r="O680">
        <f>_xlfn.XLOOKUP(I680,Helper_Table!A:A,Helper_Table!B:B)</f>
        <v>1.1000000000000001</v>
      </c>
      <c r="P680" s="1">
        <f t="shared" si="63"/>
        <v>54213.500000000007</v>
      </c>
      <c r="Q680" s="4">
        <f t="shared" si="64"/>
        <v>0.90909090909090895</v>
      </c>
      <c r="R680" t="str">
        <f t="shared" si="65"/>
        <v>Below Target</v>
      </c>
    </row>
    <row r="681" spans="1:18">
      <c r="A681" t="s">
        <v>35</v>
      </c>
      <c r="B681" t="s">
        <v>12</v>
      </c>
      <c r="C681" t="s">
        <v>13</v>
      </c>
      <c r="D681" t="s">
        <v>14</v>
      </c>
      <c r="E681" t="s">
        <v>22</v>
      </c>
      <c r="F681">
        <v>125</v>
      </c>
      <c r="G681" s="1">
        <v>27122</v>
      </c>
      <c r="H681" s="2">
        <v>45163</v>
      </c>
      <c r="I681" t="s">
        <v>32</v>
      </c>
      <c r="J681" t="s">
        <v>718</v>
      </c>
      <c r="K681" t="s">
        <v>29</v>
      </c>
      <c r="L681" t="str">
        <f t="shared" si="60"/>
        <v>Aug</v>
      </c>
      <c r="M681" t="str">
        <f t="shared" si="61"/>
        <v>Q3</v>
      </c>
      <c r="N681" t="str">
        <f t="shared" si="62"/>
        <v>Medium</v>
      </c>
      <c r="O681">
        <f>_xlfn.XLOOKUP(I681,Helper_Table!A:A,Helper_Table!B:B)</f>
        <v>0.95</v>
      </c>
      <c r="P681" s="1">
        <f t="shared" si="63"/>
        <v>25765.899999999998</v>
      </c>
      <c r="Q681" s="4">
        <f t="shared" si="64"/>
        <v>1.0526315789473686</v>
      </c>
      <c r="R681" t="str">
        <f t="shared" si="65"/>
        <v>Achieved</v>
      </c>
    </row>
    <row r="682" spans="1:18">
      <c r="A682" t="s">
        <v>11</v>
      </c>
      <c r="B682" t="s">
        <v>49</v>
      </c>
      <c r="C682" t="s">
        <v>59</v>
      </c>
      <c r="D682" t="s">
        <v>31</v>
      </c>
      <c r="E682" t="s">
        <v>22</v>
      </c>
      <c r="F682">
        <v>1257</v>
      </c>
      <c r="G682" s="1">
        <v>9065</v>
      </c>
      <c r="H682" s="2">
        <v>45335</v>
      </c>
      <c r="I682" t="s">
        <v>16</v>
      </c>
      <c r="J682" t="s">
        <v>719</v>
      </c>
      <c r="K682" t="s">
        <v>44</v>
      </c>
      <c r="L682" t="str">
        <f t="shared" si="60"/>
        <v>Feb</v>
      </c>
      <c r="M682" t="str">
        <f t="shared" si="61"/>
        <v>Q1</v>
      </c>
      <c r="N682" t="str">
        <f t="shared" si="62"/>
        <v>Low</v>
      </c>
      <c r="O682">
        <f>_xlfn.XLOOKUP(I682,Helper_Table!A:A,Helper_Table!B:B)</f>
        <v>1.1000000000000001</v>
      </c>
      <c r="P682" s="1">
        <f t="shared" si="63"/>
        <v>9971.5</v>
      </c>
      <c r="Q682" s="4">
        <f t="shared" si="64"/>
        <v>0.90909090909090906</v>
      </c>
      <c r="R682" t="str">
        <f t="shared" si="65"/>
        <v>Below Target</v>
      </c>
    </row>
    <row r="683" spans="1:18">
      <c r="A683" t="s">
        <v>45</v>
      </c>
      <c r="B683" t="s">
        <v>12</v>
      </c>
      <c r="C683" t="s">
        <v>59</v>
      </c>
      <c r="D683" t="s">
        <v>66</v>
      </c>
      <c r="E683" t="s">
        <v>38</v>
      </c>
      <c r="F683">
        <v>512</v>
      </c>
      <c r="G683" s="1">
        <v>38483</v>
      </c>
      <c r="H683" s="2">
        <v>45259</v>
      </c>
      <c r="I683" t="s">
        <v>27</v>
      </c>
      <c r="J683" t="s">
        <v>720</v>
      </c>
      <c r="K683" t="s">
        <v>29</v>
      </c>
      <c r="L683" t="str">
        <f t="shared" si="60"/>
        <v>Nov</v>
      </c>
      <c r="M683" t="str">
        <f t="shared" si="61"/>
        <v>Q4</v>
      </c>
      <c r="N683" t="str">
        <f t="shared" si="62"/>
        <v>Medium</v>
      </c>
      <c r="O683">
        <f>_xlfn.XLOOKUP(I683,Helper_Table!A:A,Helper_Table!B:B)</f>
        <v>0.9</v>
      </c>
      <c r="P683" s="1">
        <f t="shared" si="63"/>
        <v>34634.700000000004</v>
      </c>
      <c r="Q683" s="4">
        <f t="shared" si="64"/>
        <v>1.1111111111111109</v>
      </c>
      <c r="R683" t="str">
        <f t="shared" si="65"/>
        <v>Achieved</v>
      </c>
    </row>
    <row r="684" spans="1:18">
      <c r="A684" t="s">
        <v>11</v>
      </c>
      <c r="B684" t="s">
        <v>51</v>
      </c>
      <c r="C684" t="s">
        <v>13</v>
      </c>
      <c r="D684" t="s">
        <v>21</v>
      </c>
      <c r="E684">
        <v>60</v>
      </c>
      <c r="F684">
        <v>1978</v>
      </c>
      <c r="G684" s="1">
        <v>35271</v>
      </c>
      <c r="H684" s="2">
        <v>45285</v>
      </c>
      <c r="I684" t="s">
        <v>41</v>
      </c>
      <c r="J684" t="s">
        <v>721</v>
      </c>
      <c r="K684" t="s">
        <v>47</v>
      </c>
      <c r="L684" t="str">
        <f t="shared" si="60"/>
        <v>Dec</v>
      </c>
      <c r="M684" t="str">
        <f t="shared" si="61"/>
        <v>Q4</v>
      </c>
      <c r="N684" t="str">
        <f t="shared" si="62"/>
        <v>Medium</v>
      </c>
      <c r="O684">
        <f>_xlfn.XLOOKUP(I684,Helper_Table!A:A,Helper_Table!B:B)</f>
        <v>1.2</v>
      </c>
      <c r="P684" s="1">
        <f t="shared" si="63"/>
        <v>42325.2</v>
      </c>
      <c r="Q684" s="4">
        <f t="shared" si="64"/>
        <v>0.83333333333333337</v>
      </c>
      <c r="R684" t="str">
        <f t="shared" si="65"/>
        <v>Below Target</v>
      </c>
    </row>
    <row r="685" spans="1:18">
      <c r="A685" t="s">
        <v>11</v>
      </c>
      <c r="B685" t="s">
        <v>51</v>
      </c>
      <c r="C685" t="s">
        <v>59</v>
      </c>
      <c r="D685" t="s">
        <v>26</v>
      </c>
      <c r="E685" t="s">
        <v>38</v>
      </c>
      <c r="F685">
        <v>452</v>
      </c>
      <c r="G685" s="1">
        <v>27833</v>
      </c>
      <c r="H685" s="2">
        <v>45231</v>
      </c>
      <c r="I685" t="s">
        <v>39</v>
      </c>
      <c r="J685" t="s">
        <v>722</v>
      </c>
      <c r="K685" t="s">
        <v>34</v>
      </c>
      <c r="L685" t="str">
        <f t="shared" si="60"/>
        <v>Nov</v>
      </c>
      <c r="M685" t="str">
        <f t="shared" si="61"/>
        <v>Q4</v>
      </c>
      <c r="N685" t="str">
        <f t="shared" si="62"/>
        <v>Medium</v>
      </c>
      <c r="O685">
        <f>_xlfn.XLOOKUP(I685,Helper_Table!A:A,Helper_Table!B:B)</f>
        <v>1.1000000000000001</v>
      </c>
      <c r="P685" s="1">
        <f t="shared" si="63"/>
        <v>30616.300000000003</v>
      </c>
      <c r="Q685" s="4">
        <f t="shared" si="64"/>
        <v>0.90909090909090895</v>
      </c>
      <c r="R685" t="str">
        <f t="shared" si="65"/>
        <v>Below Target</v>
      </c>
    </row>
    <row r="686" spans="1:18">
      <c r="A686" t="s">
        <v>35</v>
      </c>
      <c r="B686" t="s">
        <v>49</v>
      </c>
      <c r="C686" t="s">
        <v>20</v>
      </c>
      <c r="D686" t="s">
        <v>26</v>
      </c>
      <c r="E686" t="s">
        <v>22</v>
      </c>
      <c r="F686">
        <v>1464</v>
      </c>
      <c r="G686" s="1">
        <v>13450</v>
      </c>
      <c r="H686" s="2">
        <v>45203</v>
      </c>
      <c r="I686" t="s">
        <v>41</v>
      </c>
      <c r="J686" t="s">
        <v>723</v>
      </c>
      <c r="K686" t="s">
        <v>29</v>
      </c>
      <c r="L686" t="str">
        <f t="shared" si="60"/>
        <v>Oct</v>
      </c>
      <c r="M686" t="str">
        <f t="shared" si="61"/>
        <v>Q4</v>
      </c>
      <c r="N686" t="str">
        <f t="shared" si="62"/>
        <v>Low</v>
      </c>
      <c r="O686">
        <f>_xlfn.XLOOKUP(I686,Helper_Table!A:A,Helper_Table!B:B)</f>
        <v>1.2</v>
      </c>
      <c r="P686" s="1">
        <f t="shared" si="63"/>
        <v>16140</v>
      </c>
      <c r="Q686" s="4">
        <f t="shared" si="64"/>
        <v>0.83333333333333337</v>
      </c>
      <c r="R686" t="str">
        <f t="shared" si="65"/>
        <v>Below Target</v>
      </c>
    </row>
    <row r="687" spans="1:18">
      <c r="A687" t="s">
        <v>24</v>
      </c>
      <c r="B687" t="s">
        <v>36</v>
      </c>
      <c r="C687" t="s">
        <v>20</v>
      </c>
      <c r="D687" t="s">
        <v>14</v>
      </c>
      <c r="E687">
        <v>60</v>
      </c>
      <c r="F687">
        <v>1259</v>
      </c>
      <c r="G687" s="1">
        <v>34258</v>
      </c>
      <c r="H687" s="2">
        <v>45220</v>
      </c>
      <c r="I687" t="s">
        <v>41</v>
      </c>
      <c r="J687" t="s">
        <v>724</v>
      </c>
      <c r="K687" t="s">
        <v>44</v>
      </c>
      <c r="L687" t="str">
        <f t="shared" si="60"/>
        <v>Oct</v>
      </c>
      <c r="M687" t="str">
        <f t="shared" si="61"/>
        <v>Q4</v>
      </c>
      <c r="N687" t="str">
        <f t="shared" si="62"/>
        <v>Medium</v>
      </c>
      <c r="O687">
        <f>_xlfn.XLOOKUP(I687,Helper_Table!A:A,Helper_Table!B:B)</f>
        <v>1.2</v>
      </c>
      <c r="P687" s="1">
        <f t="shared" si="63"/>
        <v>41109.599999999999</v>
      </c>
      <c r="Q687" s="4">
        <f t="shared" si="64"/>
        <v>0.83333333333333337</v>
      </c>
      <c r="R687" t="str">
        <f t="shared" si="65"/>
        <v>Below Target</v>
      </c>
    </row>
    <row r="688" spans="1:18">
      <c r="A688" t="s">
        <v>11</v>
      </c>
      <c r="B688" t="s">
        <v>51</v>
      </c>
      <c r="C688" t="s">
        <v>30</v>
      </c>
      <c r="D688" t="s">
        <v>26</v>
      </c>
      <c r="E688" t="s">
        <v>38</v>
      </c>
      <c r="F688">
        <v>997</v>
      </c>
      <c r="G688" s="1">
        <v>6288</v>
      </c>
      <c r="H688" s="2">
        <v>45490</v>
      </c>
      <c r="I688" t="s">
        <v>41</v>
      </c>
      <c r="J688" t="s">
        <v>725</v>
      </c>
      <c r="K688" t="s">
        <v>47</v>
      </c>
      <c r="L688" t="str">
        <f t="shared" si="60"/>
        <v>Jul</v>
      </c>
      <c r="M688" t="str">
        <f t="shared" si="61"/>
        <v>Q3</v>
      </c>
      <c r="N688" t="str">
        <f t="shared" si="62"/>
        <v>Low</v>
      </c>
      <c r="O688">
        <f>_xlfn.XLOOKUP(I688,Helper_Table!A:A,Helper_Table!B:B)</f>
        <v>1.2</v>
      </c>
      <c r="P688" s="1">
        <f t="shared" si="63"/>
        <v>7545.5999999999995</v>
      </c>
      <c r="Q688" s="4">
        <f t="shared" si="64"/>
        <v>0.83333333333333337</v>
      </c>
      <c r="R688" t="str">
        <f t="shared" si="65"/>
        <v>Below Target</v>
      </c>
    </row>
    <row r="689" spans="1:18">
      <c r="A689" t="s">
        <v>45</v>
      </c>
      <c r="B689" t="s">
        <v>36</v>
      </c>
      <c r="C689" t="s">
        <v>20</v>
      </c>
      <c r="D689" t="s">
        <v>26</v>
      </c>
      <c r="E689">
        <v>60</v>
      </c>
      <c r="F689">
        <v>324</v>
      </c>
      <c r="G689" s="1">
        <v>16995</v>
      </c>
      <c r="H689" s="2">
        <v>45225</v>
      </c>
      <c r="I689" t="s">
        <v>39</v>
      </c>
      <c r="J689" t="s">
        <v>726</v>
      </c>
      <c r="K689" t="s">
        <v>34</v>
      </c>
      <c r="L689" t="str">
        <f t="shared" si="60"/>
        <v>Oct</v>
      </c>
      <c r="M689" t="str">
        <f t="shared" si="61"/>
        <v>Q4</v>
      </c>
      <c r="N689" t="str">
        <f t="shared" si="62"/>
        <v>Low</v>
      </c>
      <c r="O689">
        <f>_xlfn.XLOOKUP(I689,Helper_Table!A:A,Helper_Table!B:B)</f>
        <v>1.1000000000000001</v>
      </c>
      <c r="P689" s="1">
        <f t="shared" si="63"/>
        <v>18694.5</v>
      </c>
      <c r="Q689" s="4">
        <f t="shared" si="64"/>
        <v>0.90909090909090906</v>
      </c>
      <c r="R689" t="str">
        <f t="shared" si="65"/>
        <v>Below Target</v>
      </c>
    </row>
    <row r="690" spans="1:18">
      <c r="A690" t="s">
        <v>45</v>
      </c>
      <c r="B690" t="s">
        <v>19</v>
      </c>
      <c r="C690" t="s">
        <v>59</v>
      </c>
      <c r="D690" t="s">
        <v>31</v>
      </c>
      <c r="E690" t="s">
        <v>22</v>
      </c>
      <c r="F690">
        <v>153</v>
      </c>
      <c r="G690" s="1">
        <v>48959</v>
      </c>
      <c r="H690" s="2">
        <v>45443</v>
      </c>
      <c r="I690" t="s">
        <v>39</v>
      </c>
      <c r="J690" t="s">
        <v>727</v>
      </c>
      <c r="K690" t="s">
        <v>18</v>
      </c>
      <c r="L690" t="str">
        <f t="shared" si="60"/>
        <v>May</v>
      </c>
      <c r="M690" t="str">
        <f t="shared" si="61"/>
        <v>Q2</v>
      </c>
      <c r="N690" t="str">
        <f t="shared" si="62"/>
        <v>High</v>
      </c>
      <c r="O690">
        <f>_xlfn.XLOOKUP(I690,Helper_Table!A:A,Helper_Table!B:B)</f>
        <v>1.1000000000000001</v>
      </c>
      <c r="P690" s="1">
        <f t="shared" si="63"/>
        <v>53854.9</v>
      </c>
      <c r="Q690" s="4">
        <f t="shared" si="64"/>
        <v>0.90909090909090906</v>
      </c>
      <c r="R690" t="str">
        <f t="shared" si="65"/>
        <v>Below Target</v>
      </c>
    </row>
    <row r="691" spans="1:18">
      <c r="A691" t="s">
        <v>24</v>
      </c>
      <c r="B691" t="s">
        <v>49</v>
      </c>
      <c r="C691" t="s">
        <v>20</v>
      </c>
      <c r="D691" t="s">
        <v>31</v>
      </c>
      <c r="E691" t="s">
        <v>15</v>
      </c>
      <c r="F691">
        <v>1927</v>
      </c>
      <c r="G691" s="1">
        <v>36009</v>
      </c>
      <c r="H691" s="2">
        <v>45147</v>
      </c>
      <c r="I691" t="s">
        <v>27</v>
      </c>
      <c r="J691" t="s">
        <v>728</v>
      </c>
      <c r="K691" t="s">
        <v>29</v>
      </c>
      <c r="L691" t="str">
        <f t="shared" si="60"/>
        <v>Aug</v>
      </c>
      <c r="M691" t="str">
        <f t="shared" si="61"/>
        <v>Q3</v>
      </c>
      <c r="N691" t="str">
        <f t="shared" si="62"/>
        <v>Medium</v>
      </c>
      <c r="O691">
        <f>_xlfn.XLOOKUP(I691,Helper_Table!A:A,Helper_Table!B:B)</f>
        <v>0.9</v>
      </c>
      <c r="P691" s="1">
        <f t="shared" si="63"/>
        <v>32408.100000000002</v>
      </c>
      <c r="Q691" s="4">
        <f t="shared" si="64"/>
        <v>1.1111111111111109</v>
      </c>
      <c r="R691" t="str">
        <f t="shared" si="65"/>
        <v>Achieved</v>
      </c>
    </row>
    <row r="692" spans="1:18">
      <c r="A692" t="s">
        <v>11</v>
      </c>
      <c r="B692" t="s">
        <v>19</v>
      </c>
      <c r="C692" t="s">
        <v>20</v>
      </c>
      <c r="D692" t="s">
        <v>14</v>
      </c>
      <c r="E692">
        <v>60</v>
      </c>
      <c r="F692">
        <v>463</v>
      </c>
      <c r="G692" s="1">
        <v>7692</v>
      </c>
      <c r="H692" s="2">
        <v>45137</v>
      </c>
      <c r="I692" t="s">
        <v>27</v>
      </c>
      <c r="J692" t="s">
        <v>729</v>
      </c>
      <c r="K692" t="s">
        <v>18</v>
      </c>
      <c r="L692" t="str">
        <f t="shared" si="60"/>
        <v>Jul</v>
      </c>
      <c r="M692" t="str">
        <f t="shared" si="61"/>
        <v>Q3</v>
      </c>
      <c r="N692" t="str">
        <f t="shared" si="62"/>
        <v>Low</v>
      </c>
      <c r="O692">
        <f>_xlfn.XLOOKUP(I692,Helper_Table!A:A,Helper_Table!B:B)</f>
        <v>0.9</v>
      </c>
      <c r="P692" s="1">
        <f t="shared" si="63"/>
        <v>6922.8</v>
      </c>
      <c r="Q692" s="4">
        <f t="shared" si="64"/>
        <v>1.1111111111111112</v>
      </c>
      <c r="R692" t="str">
        <f t="shared" si="65"/>
        <v>Achieved</v>
      </c>
    </row>
    <row r="693" spans="1:18">
      <c r="A693" t="s">
        <v>11</v>
      </c>
      <c r="B693" t="s">
        <v>36</v>
      </c>
      <c r="C693" t="s">
        <v>25</v>
      </c>
      <c r="D693" t="s">
        <v>31</v>
      </c>
      <c r="E693">
        <v>30</v>
      </c>
      <c r="F693">
        <v>1767</v>
      </c>
      <c r="G693" s="1">
        <v>37875</v>
      </c>
      <c r="H693" s="2">
        <v>45319</v>
      </c>
      <c r="I693" t="s">
        <v>39</v>
      </c>
      <c r="J693" t="s">
        <v>730</v>
      </c>
      <c r="K693" t="s">
        <v>18</v>
      </c>
      <c r="L693" t="str">
        <f t="shared" si="60"/>
        <v>Jan</v>
      </c>
      <c r="M693" t="str">
        <f t="shared" si="61"/>
        <v>Q1</v>
      </c>
      <c r="N693" t="str">
        <f t="shared" si="62"/>
        <v>Medium</v>
      </c>
      <c r="O693">
        <f>_xlfn.XLOOKUP(I693,Helper_Table!A:A,Helper_Table!B:B)</f>
        <v>1.1000000000000001</v>
      </c>
      <c r="P693" s="1">
        <f t="shared" si="63"/>
        <v>41662.5</v>
      </c>
      <c r="Q693" s="4">
        <f t="shared" si="64"/>
        <v>0.90909090909090906</v>
      </c>
      <c r="R693" t="str">
        <f t="shared" si="65"/>
        <v>Below Target</v>
      </c>
    </row>
    <row r="694" spans="1:18">
      <c r="A694" t="s">
        <v>64</v>
      </c>
      <c r="B694" t="s">
        <v>12</v>
      </c>
      <c r="C694" t="s">
        <v>30</v>
      </c>
      <c r="D694" t="s">
        <v>66</v>
      </c>
      <c r="E694" t="s">
        <v>22</v>
      </c>
      <c r="F694">
        <v>1906</v>
      </c>
      <c r="G694" s="1">
        <v>37464</v>
      </c>
      <c r="H694" s="2">
        <v>45142</v>
      </c>
      <c r="I694" t="s">
        <v>32</v>
      </c>
      <c r="J694" t="s">
        <v>731</v>
      </c>
      <c r="K694" t="s">
        <v>34</v>
      </c>
      <c r="L694" t="str">
        <f t="shared" si="60"/>
        <v>Aug</v>
      </c>
      <c r="M694" t="str">
        <f t="shared" si="61"/>
        <v>Q3</v>
      </c>
      <c r="N694" t="str">
        <f t="shared" si="62"/>
        <v>Medium</v>
      </c>
      <c r="O694">
        <f>_xlfn.XLOOKUP(I694,Helper_Table!A:A,Helper_Table!B:B)</f>
        <v>0.95</v>
      </c>
      <c r="P694" s="1">
        <f t="shared" si="63"/>
        <v>35590.799999999996</v>
      </c>
      <c r="Q694" s="4">
        <f t="shared" si="64"/>
        <v>1.0526315789473686</v>
      </c>
      <c r="R694" t="str">
        <f t="shared" si="65"/>
        <v>Achieved</v>
      </c>
    </row>
    <row r="695" spans="1:18">
      <c r="A695" t="s">
        <v>35</v>
      </c>
      <c r="B695" t="s">
        <v>19</v>
      </c>
      <c r="C695" t="s">
        <v>13</v>
      </c>
      <c r="D695" t="s">
        <v>14</v>
      </c>
      <c r="E695">
        <v>30</v>
      </c>
      <c r="F695">
        <v>1155</v>
      </c>
      <c r="G695" s="1">
        <v>27188</v>
      </c>
      <c r="H695" s="2">
        <v>45188</v>
      </c>
      <c r="I695" t="s">
        <v>27</v>
      </c>
      <c r="J695" t="s">
        <v>732</v>
      </c>
      <c r="K695" t="s">
        <v>44</v>
      </c>
      <c r="L695" t="str">
        <f t="shared" si="60"/>
        <v>Sep</v>
      </c>
      <c r="M695" t="str">
        <f t="shared" si="61"/>
        <v>Q3</v>
      </c>
      <c r="N695" t="str">
        <f t="shared" si="62"/>
        <v>Medium</v>
      </c>
      <c r="O695">
        <f>_xlfn.XLOOKUP(I695,Helper_Table!A:A,Helper_Table!B:B)</f>
        <v>0.9</v>
      </c>
      <c r="P695" s="1">
        <f t="shared" si="63"/>
        <v>24469.200000000001</v>
      </c>
      <c r="Q695" s="4">
        <f t="shared" si="64"/>
        <v>1.1111111111111112</v>
      </c>
      <c r="R695" t="str">
        <f t="shared" si="65"/>
        <v>Achieved</v>
      </c>
    </row>
    <row r="696" spans="1:18">
      <c r="A696" t="s">
        <v>11</v>
      </c>
      <c r="B696" t="s">
        <v>19</v>
      </c>
      <c r="C696" t="s">
        <v>25</v>
      </c>
      <c r="D696" t="s">
        <v>26</v>
      </c>
      <c r="E696" t="s">
        <v>22</v>
      </c>
      <c r="F696">
        <v>752</v>
      </c>
      <c r="G696" s="1">
        <v>2969</v>
      </c>
      <c r="H696" s="2">
        <v>45413</v>
      </c>
      <c r="I696" t="s">
        <v>41</v>
      </c>
      <c r="J696" t="s">
        <v>733</v>
      </c>
      <c r="K696" t="s">
        <v>44</v>
      </c>
      <c r="L696" t="str">
        <f t="shared" si="60"/>
        <v>May</v>
      </c>
      <c r="M696" t="str">
        <f t="shared" si="61"/>
        <v>Q2</v>
      </c>
      <c r="N696" t="str">
        <f t="shared" si="62"/>
        <v>Low</v>
      </c>
      <c r="O696">
        <f>_xlfn.XLOOKUP(I696,Helper_Table!A:A,Helper_Table!B:B)</f>
        <v>1.2</v>
      </c>
      <c r="P696" s="1">
        <f t="shared" si="63"/>
        <v>3562.7999999999997</v>
      </c>
      <c r="Q696" s="4">
        <f t="shared" si="64"/>
        <v>0.83333333333333337</v>
      </c>
      <c r="R696" t="str">
        <f t="shared" si="65"/>
        <v>Below Target</v>
      </c>
    </row>
    <row r="697" spans="1:18">
      <c r="A697" t="s">
        <v>45</v>
      </c>
      <c r="B697" t="s">
        <v>12</v>
      </c>
      <c r="C697" t="s">
        <v>30</v>
      </c>
      <c r="D697" t="s">
        <v>31</v>
      </c>
      <c r="E697">
        <v>30</v>
      </c>
      <c r="F697">
        <v>1723</v>
      </c>
      <c r="G697" s="1">
        <v>43091</v>
      </c>
      <c r="H697" s="2">
        <v>45155</v>
      </c>
      <c r="I697" t="s">
        <v>27</v>
      </c>
      <c r="J697" t="s">
        <v>734</v>
      </c>
      <c r="K697" t="s">
        <v>29</v>
      </c>
      <c r="L697" t="str">
        <f t="shared" si="60"/>
        <v>Aug</v>
      </c>
      <c r="M697" t="str">
        <f t="shared" si="61"/>
        <v>Q3</v>
      </c>
      <c r="N697" t="str">
        <f t="shared" si="62"/>
        <v>High</v>
      </c>
      <c r="O697">
        <f>_xlfn.XLOOKUP(I697,Helper_Table!A:A,Helper_Table!B:B)</f>
        <v>0.9</v>
      </c>
      <c r="P697" s="1">
        <f t="shared" si="63"/>
        <v>38781.9</v>
      </c>
      <c r="Q697" s="4">
        <f t="shared" si="64"/>
        <v>1.1111111111111112</v>
      </c>
      <c r="R697" t="str">
        <f t="shared" si="65"/>
        <v>Achieved</v>
      </c>
    </row>
    <row r="698" spans="1:18">
      <c r="A698" t="s">
        <v>35</v>
      </c>
      <c r="B698" t="s">
        <v>51</v>
      </c>
      <c r="C698" t="s">
        <v>25</v>
      </c>
      <c r="D698" t="s">
        <v>14</v>
      </c>
      <c r="E698">
        <v>60</v>
      </c>
      <c r="F698">
        <v>1337</v>
      </c>
      <c r="G698" s="1">
        <v>22675</v>
      </c>
      <c r="H698" s="2">
        <v>45143</v>
      </c>
      <c r="I698" t="s">
        <v>27</v>
      </c>
      <c r="J698" t="s">
        <v>735</v>
      </c>
      <c r="K698" t="s">
        <v>18</v>
      </c>
      <c r="L698" t="str">
        <f t="shared" si="60"/>
        <v>Aug</v>
      </c>
      <c r="M698" t="str">
        <f t="shared" si="61"/>
        <v>Q3</v>
      </c>
      <c r="N698" t="str">
        <f t="shared" si="62"/>
        <v>Medium</v>
      </c>
      <c r="O698">
        <f>_xlfn.XLOOKUP(I698,Helper_Table!A:A,Helper_Table!B:B)</f>
        <v>0.9</v>
      </c>
      <c r="P698" s="1">
        <f t="shared" si="63"/>
        <v>20407.5</v>
      </c>
      <c r="Q698" s="4">
        <f t="shared" si="64"/>
        <v>1.1111111111111112</v>
      </c>
      <c r="R698" t="str">
        <f t="shared" si="65"/>
        <v>Achieved</v>
      </c>
    </row>
    <row r="699" spans="1:18">
      <c r="A699" t="s">
        <v>64</v>
      </c>
      <c r="B699" t="s">
        <v>49</v>
      </c>
      <c r="C699" t="s">
        <v>25</v>
      </c>
      <c r="D699" t="s">
        <v>26</v>
      </c>
      <c r="E699">
        <v>60</v>
      </c>
      <c r="F699">
        <v>1430</v>
      </c>
      <c r="G699" s="1">
        <v>41328</v>
      </c>
      <c r="H699" s="2">
        <v>45144</v>
      </c>
      <c r="I699" t="s">
        <v>16</v>
      </c>
      <c r="J699" t="s">
        <v>736</v>
      </c>
      <c r="K699" t="s">
        <v>47</v>
      </c>
      <c r="L699" t="str">
        <f t="shared" si="60"/>
        <v>Aug</v>
      </c>
      <c r="M699" t="str">
        <f t="shared" si="61"/>
        <v>Q3</v>
      </c>
      <c r="N699" t="str">
        <f t="shared" si="62"/>
        <v>High</v>
      </c>
      <c r="O699">
        <f>_xlfn.XLOOKUP(I699,Helper_Table!A:A,Helper_Table!B:B)</f>
        <v>1.1000000000000001</v>
      </c>
      <c r="P699" s="1">
        <f t="shared" si="63"/>
        <v>45460.800000000003</v>
      </c>
      <c r="Q699" s="4">
        <f t="shared" si="64"/>
        <v>0.90909090909090906</v>
      </c>
      <c r="R699" t="str">
        <f t="shared" si="65"/>
        <v>Below Target</v>
      </c>
    </row>
    <row r="700" spans="1:18">
      <c r="A700" t="s">
        <v>45</v>
      </c>
      <c r="B700" t="s">
        <v>49</v>
      </c>
      <c r="C700" t="s">
        <v>25</v>
      </c>
      <c r="D700" t="s">
        <v>26</v>
      </c>
      <c r="E700" t="s">
        <v>22</v>
      </c>
      <c r="F700">
        <v>1184</v>
      </c>
      <c r="G700" s="1">
        <v>27895</v>
      </c>
      <c r="H700" s="2">
        <v>45411</v>
      </c>
      <c r="I700" t="s">
        <v>16</v>
      </c>
      <c r="J700" t="s">
        <v>737</v>
      </c>
      <c r="K700" t="s">
        <v>18</v>
      </c>
      <c r="L700" t="str">
        <f t="shared" si="60"/>
        <v>Apr</v>
      </c>
      <c r="M700" t="str">
        <f t="shared" si="61"/>
        <v>Q2</v>
      </c>
      <c r="N700" t="str">
        <f t="shared" si="62"/>
        <v>Medium</v>
      </c>
      <c r="O700">
        <f>_xlfn.XLOOKUP(I700,Helper_Table!A:A,Helper_Table!B:B)</f>
        <v>1.1000000000000001</v>
      </c>
      <c r="P700" s="1">
        <f t="shared" si="63"/>
        <v>30684.500000000004</v>
      </c>
      <c r="Q700" s="4">
        <f t="shared" si="64"/>
        <v>0.90909090909090895</v>
      </c>
      <c r="R700" t="str">
        <f t="shared" si="65"/>
        <v>Below Target</v>
      </c>
    </row>
    <row r="701" spans="1:18">
      <c r="A701" t="s">
        <v>24</v>
      </c>
      <c r="B701" t="s">
        <v>49</v>
      </c>
      <c r="C701" t="s">
        <v>59</v>
      </c>
      <c r="D701" t="s">
        <v>31</v>
      </c>
      <c r="E701">
        <v>30</v>
      </c>
      <c r="F701">
        <v>506</v>
      </c>
      <c r="G701" s="1">
        <v>17762</v>
      </c>
      <c r="H701" s="2">
        <v>45463</v>
      </c>
      <c r="I701" t="s">
        <v>32</v>
      </c>
      <c r="J701" t="s">
        <v>738</v>
      </c>
      <c r="K701" t="s">
        <v>34</v>
      </c>
      <c r="L701" t="str">
        <f t="shared" si="60"/>
        <v>Jun</v>
      </c>
      <c r="M701" t="str">
        <f t="shared" si="61"/>
        <v>Q2</v>
      </c>
      <c r="N701" t="str">
        <f t="shared" si="62"/>
        <v>Low</v>
      </c>
      <c r="O701">
        <f>_xlfn.XLOOKUP(I701,Helper_Table!A:A,Helper_Table!B:B)</f>
        <v>0.95</v>
      </c>
      <c r="P701" s="1">
        <f t="shared" si="63"/>
        <v>16873.899999999998</v>
      </c>
      <c r="Q701" s="4">
        <f t="shared" si="64"/>
        <v>1.0526315789473686</v>
      </c>
      <c r="R701" t="str">
        <f t="shared" si="65"/>
        <v>Achieved</v>
      </c>
    </row>
    <row r="702" spans="1:18">
      <c r="A702" t="s">
        <v>64</v>
      </c>
      <c r="B702" t="s">
        <v>51</v>
      </c>
      <c r="C702" t="s">
        <v>25</v>
      </c>
      <c r="D702" t="s">
        <v>21</v>
      </c>
      <c r="E702" t="s">
        <v>38</v>
      </c>
      <c r="F702">
        <v>1085</v>
      </c>
      <c r="G702" s="1">
        <v>1367</v>
      </c>
      <c r="H702" s="2">
        <v>45356</v>
      </c>
      <c r="I702" t="s">
        <v>27</v>
      </c>
      <c r="J702" t="s">
        <v>739</v>
      </c>
      <c r="K702" t="s">
        <v>34</v>
      </c>
      <c r="L702" t="str">
        <f t="shared" si="60"/>
        <v>Mar</v>
      </c>
      <c r="M702" t="str">
        <f t="shared" si="61"/>
        <v>Q1</v>
      </c>
      <c r="N702" t="str">
        <f t="shared" si="62"/>
        <v>Low</v>
      </c>
      <c r="O702">
        <f>_xlfn.XLOOKUP(I702,Helper_Table!A:A,Helper_Table!B:B)</f>
        <v>0.9</v>
      </c>
      <c r="P702" s="1">
        <f t="shared" si="63"/>
        <v>1230.3</v>
      </c>
      <c r="Q702" s="4">
        <f t="shared" si="64"/>
        <v>1.1111111111111112</v>
      </c>
      <c r="R702" t="str">
        <f t="shared" si="65"/>
        <v>Achieved</v>
      </c>
    </row>
    <row r="703" spans="1:18">
      <c r="A703" t="s">
        <v>35</v>
      </c>
      <c r="B703" t="s">
        <v>36</v>
      </c>
      <c r="C703" t="s">
        <v>30</v>
      </c>
      <c r="D703" t="s">
        <v>26</v>
      </c>
      <c r="E703" t="s">
        <v>38</v>
      </c>
      <c r="F703">
        <v>1151</v>
      </c>
      <c r="G703" s="1">
        <v>23237</v>
      </c>
      <c r="H703" s="2">
        <v>45379</v>
      </c>
      <c r="I703" t="s">
        <v>39</v>
      </c>
      <c r="J703" t="s">
        <v>740</v>
      </c>
      <c r="K703" t="s">
        <v>29</v>
      </c>
      <c r="L703" t="str">
        <f t="shared" si="60"/>
        <v>Mar</v>
      </c>
      <c r="M703" t="str">
        <f t="shared" si="61"/>
        <v>Q1</v>
      </c>
      <c r="N703" t="str">
        <f t="shared" si="62"/>
        <v>Medium</v>
      </c>
      <c r="O703">
        <f>_xlfn.XLOOKUP(I703,Helper_Table!A:A,Helper_Table!B:B)</f>
        <v>1.1000000000000001</v>
      </c>
      <c r="P703" s="1">
        <f t="shared" si="63"/>
        <v>25560.7</v>
      </c>
      <c r="Q703" s="4">
        <f t="shared" si="64"/>
        <v>0.90909090909090906</v>
      </c>
      <c r="R703" t="str">
        <f t="shared" si="65"/>
        <v>Below Target</v>
      </c>
    </row>
    <row r="704" spans="1:18">
      <c r="A704" t="s">
        <v>35</v>
      </c>
      <c r="B704" t="s">
        <v>51</v>
      </c>
      <c r="C704" t="s">
        <v>25</v>
      </c>
      <c r="D704" t="s">
        <v>66</v>
      </c>
      <c r="E704" t="s">
        <v>22</v>
      </c>
      <c r="F704">
        <v>157</v>
      </c>
      <c r="G704" s="1">
        <v>17373</v>
      </c>
      <c r="H704" s="2">
        <v>45388</v>
      </c>
      <c r="I704" t="s">
        <v>41</v>
      </c>
      <c r="J704" t="s">
        <v>741</v>
      </c>
      <c r="K704" t="s">
        <v>18</v>
      </c>
      <c r="L704" t="str">
        <f t="shared" si="60"/>
        <v>Apr</v>
      </c>
      <c r="M704" t="str">
        <f t="shared" si="61"/>
        <v>Q2</v>
      </c>
      <c r="N704" t="str">
        <f t="shared" si="62"/>
        <v>Low</v>
      </c>
      <c r="O704">
        <f>_xlfn.XLOOKUP(I704,Helper_Table!A:A,Helper_Table!B:B)</f>
        <v>1.2</v>
      </c>
      <c r="P704" s="1">
        <f t="shared" si="63"/>
        <v>20847.599999999999</v>
      </c>
      <c r="Q704" s="4">
        <f t="shared" si="64"/>
        <v>0.83333333333333337</v>
      </c>
      <c r="R704" t="str">
        <f t="shared" si="65"/>
        <v>Below Target</v>
      </c>
    </row>
    <row r="705" spans="1:18">
      <c r="A705" t="s">
        <v>64</v>
      </c>
      <c r="B705" t="s">
        <v>12</v>
      </c>
      <c r="C705" t="s">
        <v>30</v>
      </c>
      <c r="D705" t="s">
        <v>21</v>
      </c>
      <c r="E705" t="s">
        <v>38</v>
      </c>
      <c r="F705">
        <v>1665</v>
      </c>
      <c r="G705" s="1">
        <v>49986</v>
      </c>
      <c r="H705" s="2">
        <v>45167</v>
      </c>
      <c r="I705" t="s">
        <v>41</v>
      </c>
      <c r="J705" t="s">
        <v>742</v>
      </c>
      <c r="K705" t="s">
        <v>44</v>
      </c>
      <c r="L705" t="str">
        <f t="shared" si="60"/>
        <v>Aug</v>
      </c>
      <c r="M705" t="str">
        <f t="shared" si="61"/>
        <v>Q3</v>
      </c>
      <c r="N705" t="str">
        <f t="shared" si="62"/>
        <v>High</v>
      </c>
      <c r="O705">
        <f>_xlfn.XLOOKUP(I705,Helper_Table!A:A,Helper_Table!B:B)</f>
        <v>1.2</v>
      </c>
      <c r="P705" s="1">
        <f t="shared" si="63"/>
        <v>59983.199999999997</v>
      </c>
      <c r="Q705" s="4">
        <f t="shared" si="64"/>
        <v>0.83333333333333337</v>
      </c>
      <c r="R705" t="str">
        <f t="shared" si="65"/>
        <v>Below Target</v>
      </c>
    </row>
    <row r="706" spans="1:18">
      <c r="A706" t="s">
        <v>64</v>
      </c>
      <c r="B706" t="s">
        <v>49</v>
      </c>
      <c r="C706" t="s">
        <v>20</v>
      </c>
      <c r="D706" t="s">
        <v>26</v>
      </c>
      <c r="E706">
        <v>30</v>
      </c>
      <c r="F706">
        <v>206</v>
      </c>
      <c r="G706" s="1">
        <v>35133</v>
      </c>
      <c r="H706" s="2">
        <v>45366</v>
      </c>
      <c r="I706" t="s">
        <v>27</v>
      </c>
      <c r="J706" t="s">
        <v>743</v>
      </c>
      <c r="K706" t="s">
        <v>29</v>
      </c>
      <c r="L706" t="str">
        <f t="shared" ref="L706:L769" si="66">TEXT(H706,"MMM")</f>
        <v>Mar</v>
      </c>
      <c r="M706" t="str">
        <f t="shared" ref="M706:M769" si="67">"Q"&amp;ROUNDUP(MONTH(H706)/3,0)</f>
        <v>Q1</v>
      </c>
      <c r="N706" t="str">
        <f t="shared" ref="N706:N769" si="68">IF(G706&gt;40000,"High",
IF(G706&gt;20000,"Medium","Low"))</f>
        <v>Medium</v>
      </c>
      <c r="O706">
        <f>_xlfn.XLOOKUP(I706,Helper_Table!A:A,Helper_Table!B:B)</f>
        <v>0.9</v>
      </c>
      <c r="P706" s="1">
        <f t="shared" ref="P706:P769" si="69">G706*O706</f>
        <v>31619.7</v>
      </c>
      <c r="Q706" s="4">
        <f t="shared" ref="Q706:Q769" si="70">G706/P706</f>
        <v>1.1111111111111112</v>
      </c>
      <c r="R706" t="str">
        <f t="shared" ref="R706:R769" si="71">IF(Q706&gt;=1,"Achieved","Below Target")</f>
        <v>Achieved</v>
      </c>
    </row>
    <row r="707" spans="1:18">
      <c r="A707" t="s">
        <v>35</v>
      </c>
      <c r="B707" t="s">
        <v>36</v>
      </c>
      <c r="C707" t="s">
        <v>13</v>
      </c>
      <c r="D707" t="s">
        <v>14</v>
      </c>
      <c r="E707">
        <v>30</v>
      </c>
      <c r="F707">
        <v>1348</v>
      </c>
      <c r="G707" s="1">
        <v>37823</v>
      </c>
      <c r="H707" s="2">
        <v>45467</v>
      </c>
      <c r="I707" t="s">
        <v>27</v>
      </c>
      <c r="J707" t="s">
        <v>744</v>
      </c>
      <c r="K707" t="s">
        <v>47</v>
      </c>
      <c r="L707" t="str">
        <f t="shared" si="66"/>
        <v>Jun</v>
      </c>
      <c r="M707" t="str">
        <f t="shared" si="67"/>
        <v>Q2</v>
      </c>
      <c r="N707" t="str">
        <f t="shared" si="68"/>
        <v>Medium</v>
      </c>
      <c r="O707">
        <f>_xlfn.XLOOKUP(I707,Helper_Table!A:A,Helper_Table!B:B)</f>
        <v>0.9</v>
      </c>
      <c r="P707" s="1">
        <f t="shared" si="69"/>
        <v>34040.700000000004</v>
      </c>
      <c r="Q707" s="4">
        <f t="shared" si="70"/>
        <v>1.1111111111111109</v>
      </c>
      <c r="R707" t="str">
        <f t="shared" si="71"/>
        <v>Achieved</v>
      </c>
    </row>
    <row r="708" spans="1:18">
      <c r="A708" t="s">
        <v>64</v>
      </c>
      <c r="B708" t="s">
        <v>36</v>
      </c>
      <c r="C708" t="s">
        <v>13</v>
      </c>
      <c r="D708" t="s">
        <v>21</v>
      </c>
      <c r="E708">
        <v>60</v>
      </c>
      <c r="F708">
        <v>1397</v>
      </c>
      <c r="G708" s="1">
        <v>45903</v>
      </c>
      <c r="H708" s="2">
        <v>45225</v>
      </c>
      <c r="I708" t="s">
        <v>32</v>
      </c>
      <c r="J708" t="s">
        <v>745</v>
      </c>
      <c r="K708" t="s">
        <v>18</v>
      </c>
      <c r="L708" t="str">
        <f t="shared" si="66"/>
        <v>Oct</v>
      </c>
      <c r="M708" t="str">
        <f t="shared" si="67"/>
        <v>Q4</v>
      </c>
      <c r="N708" t="str">
        <f t="shared" si="68"/>
        <v>High</v>
      </c>
      <c r="O708">
        <f>_xlfn.XLOOKUP(I708,Helper_Table!A:A,Helper_Table!B:B)</f>
        <v>0.95</v>
      </c>
      <c r="P708" s="1">
        <f t="shared" si="69"/>
        <v>43607.85</v>
      </c>
      <c r="Q708" s="4">
        <f t="shared" si="70"/>
        <v>1.0526315789473684</v>
      </c>
      <c r="R708" t="str">
        <f t="shared" si="71"/>
        <v>Achieved</v>
      </c>
    </row>
    <row r="709" spans="1:18">
      <c r="A709" t="s">
        <v>11</v>
      </c>
      <c r="B709" t="s">
        <v>36</v>
      </c>
      <c r="C709" t="s">
        <v>13</v>
      </c>
      <c r="D709" t="s">
        <v>26</v>
      </c>
      <c r="E709" t="s">
        <v>22</v>
      </c>
      <c r="F709">
        <v>1514</v>
      </c>
      <c r="G709" s="1">
        <v>24056</v>
      </c>
      <c r="H709" s="2">
        <v>45398</v>
      </c>
      <c r="I709" t="s">
        <v>39</v>
      </c>
      <c r="J709" t="s">
        <v>746</v>
      </c>
      <c r="K709" t="s">
        <v>18</v>
      </c>
      <c r="L709" t="str">
        <f t="shared" si="66"/>
        <v>Apr</v>
      </c>
      <c r="M709" t="str">
        <f t="shared" si="67"/>
        <v>Q2</v>
      </c>
      <c r="N709" t="str">
        <f t="shared" si="68"/>
        <v>Medium</v>
      </c>
      <c r="O709">
        <f>_xlfn.XLOOKUP(I709,Helper_Table!A:A,Helper_Table!B:B)</f>
        <v>1.1000000000000001</v>
      </c>
      <c r="P709" s="1">
        <f t="shared" si="69"/>
        <v>26461.600000000002</v>
      </c>
      <c r="Q709" s="4">
        <f t="shared" si="70"/>
        <v>0.90909090909090906</v>
      </c>
      <c r="R709" t="str">
        <f t="shared" si="71"/>
        <v>Below Target</v>
      </c>
    </row>
    <row r="710" spans="1:18">
      <c r="A710" t="s">
        <v>11</v>
      </c>
      <c r="B710" t="s">
        <v>36</v>
      </c>
      <c r="C710" t="s">
        <v>13</v>
      </c>
      <c r="D710" t="s">
        <v>26</v>
      </c>
      <c r="E710">
        <v>30</v>
      </c>
      <c r="F710">
        <v>160</v>
      </c>
      <c r="G710" s="1">
        <v>14104</v>
      </c>
      <c r="H710" s="2">
        <v>45229</v>
      </c>
      <c r="I710" t="s">
        <v>41</v>
      </c>
      <c r="J710" t="s">
        <v>747</v>
      </c>
      <c r="K710" t="s">
        <v>18</v>
      </c>
      <c r="L710" t="str">
        <f t="shared" si="66"/>
        <v>Oct</v>
      </c>
      <c r="M710" t="str">
        <f t="shared" si="67"/>
        <v>Q4</v>
      </c>
      <c r="N710" t="str">
        <f t="shared" si="68"/>
        <v>Low</v>
      </c>
      <c r="O710">
        <f>_xlfn.XLOOKUP(I710,Helper_Table!A:A,Helper_Table!B:B)</f>
        <v>1.2</v>
      </c>
      <c r="P710" s="1">
        <f t="shared" si="69"/>
        <v>16924.8</v>
      </c>
      <c r="Q710" s="4">
        <f t="shared" si="70"/>
        <v>0.83333333333333337</v>
      </c>
      <c r="R710" t="str">
        <f t="shared" si="71"/>
        <v>Below Target</v>
      </c>
    </row>
    <row r="711" spans="1:18">
      <c r="A711" t="s">
        <v>35</v>
      </c>
      <c r="B711" t="s">
        <v>36</v>
      </c>
      <c r="C711" t="s">
        <v>30</v>
      </c>
      <c r="D711" t="s">
        <v>21</v>
      </c>
      <c r="E711">
        <v>60</v>
      </c>
      <c r="F711">
        <v>1386</v>
      </c>
      <c r="G711" s="1">
        <v>21572</v>
      </c>
      <c r="H711" s="2">
        <v>45326</v>
      </c>
      <c r="I711" t="s">
        <v>32</v>
      </c>
      <c r="J711" t="s">
        <v>748</v>
      </c>
      <c r="K711" t="s">
        <v>29</v>
      </c>
      <c r="L711" t="str">
        <f t="shared" si="66"/>
        <v>Feb</v>
      </c>
      <c r="M711" t="str">
        <f t="shared" si="67"/>
        <v>Q1</v>
      </c>
      <c r="N711" t="str">
        <f t="shared" si="68"/>
        <v>Medium</v>
      </c>
      <c r="O711">
        <f>_xlfn.XLOOKUP(I711,Helper_Table!A:A,Helper_Table!B:B)</f>
        <v>0.95</v>
      </c>
      <c r="P711" s="1">
        <f t="shared" si="69"/>
        <v>20493.399999999998</v>
      </c>
      <c r="Q711" s="4">
        <f t="shared" si="70"/>
        <v>1.0526315789473686</v>
      </c>
      <c r="R711" t="str">
        <f t="shared" si="71"/>
        <v>Achieved</v>
      </c>
    </row>
    <row r="712" spans="1:18">
      <c r="A712" t="s">
        <v>35</v>
      </c>
      <c r="B712" t="s">
        <v>49</v>
      </c>
      <c r="C712" t="s">
        <v>20</v>
      </c>
      <c r="D712" t="s">
        <v>21</v>
      </c>
      <c r="E712">
        <v>60</v>
      </c>
      <c r="F712">
        <v>348</v>
      </c>
      <c r="G712" s="1">
        <v>3487</v>
      </c>
      <c r="H712" s="2">
        <v>45356</v>
      </c>
      <c r="I712" t="s">
        <v>27</v>
      </c>
      <c r="J712" t="s">
        <v>749</v>
      </c>
      <c r="K712" t="s">
        <v>34</v>
      </c>
      <c r="L712" t="str">
        <f t="shared" si="66"/>
        <v>Mar</v>
      </c>
      <c r="M712" t="str">
        <f t="shared" si="67"/>
        <v>Q1</v>
      </c>
      <c r="N712" t="str">
        <f t="shared" si="68"/>
        <v>Low</v>
      </c>
      <c r="O712">
        <f>_xlfn.XLOOKUP(I712,Helper_Table!A:A,Helper_Table!B:B)</f>
        <v>0.9</v>
      </c>
      <c r="P712" s="1">
        <f t="shared" si="69"/>
        <v>3138.3</v>
      </c>
      <c r="Q712" s="4">
        <f t="shared" si="70"/>
        <v>1.1111111111111109</v>
      </c>
      <c r="R712" t="str">
        <f t="shared" si="71"/>
        <v>Achieved</v>
      </c>
    </row>
    <row r="713" spans="1:18">
      <c r="A713" t="s">
        <v>64</v>
      </c>
      <c r="B713" t="s">
        <v>12</v>
      </c>
      <c r="C713" t="s">
        <v>25</v>
      </c>
      <c r="D713" t="s">
        <v>31</v>
      </c>
      <c r="E713" t="s">
        <v>15</v>
      </c>
      <c r="F713">
        <v>1100</v>
      </c>
      <c r="G713" s="1">
        <v>3858</v>
      </c>
      <c r="H713" s="2">
        <v>45399</v>
      </c>
      <c r="I713" t="s">
        <v>32</v>
      </c>
      <c r="J713" t="s">
        <v>750</v>
      </c>
      <c r="K713" t="s">
        <v>29</v>
      </c>
      <c r="L713" t="str">
        <f t="shared" si="66"/>
        <v>Apr</v>
      </c>
      <c r="M713" t="str">
        <f t="shared" si="67"/>
        <v>Q2</v>
      </c>
      <c r="N713" t="str">
        <f t="shared" si="68"/>
        <v>Low</v>
      </c>
      <c r="O713">
        <f>_xlfn.XLOOKUP(I713,Helper_Table!A:A,Helper_Table!B:B)</f>
        <v>0.95</v>
      </c>
      <c r="P713" s="1">
        <f t="shared" si="69"/>
        <v>3665.1</v>
      </c>
      <c r="Q713" s="4">
        <f t="shared" si="70"/>
        <v>1.0526315789473684</v>
      </c>
      <c r="R713" t="str">
        <f t="shared" si="71"/>
        <v>Achieved</v>
      </c>
    </row>
    <row r="714" spans="1:18">
      <c r="A714" t="s">
        <v>35</v>
      </c>
      <c r="B714" t="s">
        <v>49</v>
      </c>
      <c r="C714" t="s">
        <v>25</v>
      </c>
      <c r="D714" t="s">
        <v>14</v>
      </c>
      <c r="E714">
        <v>60</v>
      </c>
      <c r="F714">
        <v>514</v>
      </c>
      <c r="G714" s="1">
        <v>39240</v>
      </c>
      <c r="H714" s="2">
        <v>45241</v>
      </c>
      <c r="I714" t="s">
        <v>27</v>
      </c>
      <c r="J714" t="s">
        <v>751</v>
      </c>
      <c r="K714" t="s">
        <v>47</v>
      </c>
      <c r="L714" t="str">
        <f t="shared" si="66"/>
        <v>Nov</v>
      </c>
      <c r="M714" t="str">
        <f t="shared" si="67"/>
        <v>Q4</v>
      </c>
      <c r="N714" t="str">
        <f t="shared" si="68"/>
        <v>Medium</v>
      </c>
      <c r="O714">
        <f>_xlfn.XLOOKUP(I714,Helper_Table!A:A,Helper_Table!B:B)</f>
        <v>0.9</v>
      </c>
      <c r="P714" s="1">
        <f t="shared" si="69"/>
        <v>35316</v>
      </c>
      <c r="Q714" s="4">
        <f t="shared" si="70"/>
        <v>1.1111111111111112</v>
      </c>
      <c r="R714" t="str">
        <f t="shared" si="71"/>
        <v>Achieved</v>
      </c>
    </row>
    <row r="715" spans="1:18">
      <c r="A715" t="s">
        <v>11</v>
      </c>
      <c r="B715" t="s">
        <v>12</v>
      </c>
      <c r="C715" t="s">
        <v>59</v>
      </c>
      <c r="D715" t="s">
        <v>14</v>
      </c>
      <c r="E715" t="s">
        <v>22</v>
      </c>
      <c r="F715">
        <v>1752</v>
      </c>
      <c r="G715" s="1">
        <v>38068</v>
      </c>
      <c r="H715" s="2">
        <v>45289</v>
      </c>
      <c r="I715" t="s">
        <v>41</v>
      </c>
      <c r="J715" t="s">
        <v>752</v>
      </c>
      <c r="K715" t="s">
        <v>44</v>
      </c>
      <c r="L715" t="str">
        <f t="shared" si="66"/>
        <v>Dec</v>
      </c>
      <c r="M715" t="str">
        <f t="shared" si="67"/>
        <v>Q4</v>
      </c>
      <c r="N715" t="str">
        <f t="shared" si="68"/>
        <v>Medium</v>
      </c>
      <c r="O715">
        <f>_xlfn.XLOOKUP(I715,Helper_Table!A:A,Helper_Table!B:B)</f>
        <v>1.2</v>
      </c>
      <c r="P715" s="1">
        <f t="shared" si="69"/>
        <v>45681.599999999999</v>
      </c>
      <c r="Q715" s="4">
        <f t="shared" si="70"/>
        <v>0.83333333333333337</v>
      </c>
      <c r="R715" t="str">
        <f t="shared" si="71"/>
        <v>Below Target</v>
      </c>
    </row>
    <row r="716" spans="1:18">
      <c r="A716" t="s">
        <v>45</v>
      </c>
      <c r="B716" t="s">
        <v>12</v>
      </c>
      <c r="C716" t="s">
        <v>20</v>
      </c>
      <c r="D716" t="s">
        <v>14</v>
      </c>
      <c r="E716" t="s">
        <v>38</v>
      </c>
      <c r="F716">
        <v>358</v>
      </c>
      <c r="G716" s="1">
        <v>13438</v>
      </c>
      <c r="H716" s="2">
        <v>45364</v>
      </c>
      <c r="I716" t="s">
        <v>39</v>
      </c>
      <c r="J716" t="s">
        <v>753</v>
      </c>
      <c r="K716" t="s">
        <v>47</v>
      </c>
      <c r="L716" t="str">
        <f t="shared" si="66"/>
        <v>Mar</v>
      </c>
      <c r="M716" t="str">
        <f t="shared" si="67"/>
        <v>Q1</v>
      </c>
      <c r="N716" t="str">
        <f t="shared" si="68"/>
        <v>Low</v>
      </c>
      <c r="O716">
        <f>_xlfn.XLOOKUP(I716,Helper_Table!A:A,Helper_Table!B:B)</f>
        <v>1.1000000000000001</v>
      </c>
      <c r="P716" s="1">
        <f t="shared" si="69"/>
        <v>14781.800000000001</v>
      </c>
      <c r="Q716" s="4">
        <f t="shared" si="70"/>
        <v>0.90909090909090906</v>
      </c>
      <c r="R716" t="str">
        <f t="shared" si="71"/>
        <v>Below Target</v>
      </c>
    </row>
    <row r="717" spans="1:18">
      <c r="A717" t="s">
        <v>45</v>
      </c>
      <c r="B717" t="s">
        <v>49</v>
      </c>
      <c r="C717" t="s">
        <v>25</v>
      </c>
      <c r="D717" t="s">
        <v>21</v>
      </c>
      <c r="E717" t="s">
        <v>38</v>
      </c>
      <c r="F717">
        <v>506</v>
      </c>
      <c r="G717" s="1">
        <v>28350</v>
      </c>
      <c r="H717" s="2">
        <v>45392</v>
      </c>
      <c r="I717" t="s">
        <v>32</v>
      </c>
      <c r="J717" t="s">
        <v>754</v>
      </c>
      <c r="K717" t="s">
        <v>47</v>
      </c>
      <c r="L717" t="str">
        <f t="shared" si="66"/>
        <v>Apr</v>
      </c>
      <c r="M717" t="str">
        <f t="shared" si="67"/>
        <v>Q2</v>
      </c>
      <c r="N717" t="str">
        <f t="shared" si="68"/>
        <v>Medium</v>
      </c>
      <c r="O717">
        <f>_xlfn.XLOOKUP(I717,Helper_Table!A:A,Helper_Table!B:B)</f>
        <v>0.95</v>
      </c>
      <c r="P717" s="1">
        <f t="shared" si="69"/>
        <v>26932.5</v>
      </c>
      <c r="Q717" s="4">
        <f t="shared" si="70"/>
        <v>1.0526315789473684</v>
      </c>
      <c r="R717" t="str">
        <f t="shared" si="71"/>
        <v>Achieved</v>
      </c>
    </row>
    <row r="718" spans="1:18">
      <c r="A718" t="s">
        <v>24</v>
      </c>
      <c r="B718" t="s">
        <v>49</v>
      </c>
      <c r="C718" t="s">
        <v>13</v>
      </c>
      <c r="D718" t="s">
        <v>14</v>
      </c>
      <c r="E718" t="s">
        <v>22</v>
      </c>
      <c r="F718">
        <v>1938</v>
      </c>
      <c r="G718" s="1">
        <v>28072</v>
      </c>
      <c r="H718" s="2">
        <v>45485</v>
      </c>
      <c r="I718" t="s">
        <v>32</v>
      </c>
      <c r="J718" t="s">
        <v>755</v>
      </c>
      <c r="K718" t="s">
        <v>44</v>
      </c>
      <c r="L718" t="str">
        <f t="shared" si="66"/>
        <v>Jul</v>
      </c>
      <c r="M718" t="str">
        <f t="shared" si="67"/>
        <v>Q3</v>
      </c>
      <c r="N718" t="str">
        <f t="shared" si="68"/>
        <v>Medium</v>
      </c>
      <c r="O718">
        <f>_xlfn.XLOOKUP(I718,Helper_Table!A:A,Helper_Table!B:B)</f>
        <v>0.95</v>
      </c>
      <c r="P718" s="1">
        <f t="shared" si="69"/>
        <v>26668.399999999998</v>
      </c>
      <c r="Q718" s="4">
        <f t="shared" si="70"/>
        <v>1.0526315789473686</v>
      </c>
      <c r="R718" t="str">
        <f t="shared" si="71"/>
        <v>Achieved</v>
      </c>
    </row>
    <row r="719" spans="1:18">
      <c r="A719" t="s">
        <v>11</v>
      </c>
      <c r="B719" t="s">
        <v>36</v>
      </c>
      <c r="C719" t="s">
        <v>25</v>
      </c>
      <c r="D719" t="s">
        <v>21</v>
      </c>
      <c r="E719" t="s">
        <v>38</v>
      </c>
      <c r="F719">
        <v>794</v>
      </c>
      <c r="G719" s="1">
        <v>29529</v>
      </c>
      <c r="H719" s="2">
        <v>45256</v>
      </c>
      <c r="I719" t="s">
        <v>41</v>
      </c>
      <c r="J719" t="s">
        <v>756</v>
      </c>
      <c r="K719" t="s">
        <v>18</v>
      </c>
      <c r="L719" t="str">
        <f t="shared" si="66"/>
        <v>Nov</v>
      </c>
      <c r="M719" t="str">
        <f t="shared" si="67"/>
        <v>Q4</v>
      </c>
      <c r="N719" t="str">
        <f t="shared" si="68"/>
        <v>Medium</v>
      </c>
      <c r="O719">
        <f>_xlfn.XLOOKUP(I719,Helper_Table!A:A,Helper_Table!B:B)</f>
        <v>1.2</v>
      </c>
      <c r="P719" s="1">
        <f t="shared" si="69"/>
        <v>35434.799999999996</v>
      </c>
      <c r="Q719" s="4">
        <f t="shared" si="70"/>
        <v>0.83333333333333348</v>
      </c>
      <c r="R719" t="str">
        <f t="shared" si="71"/>
        <v>Below Target</v>
      </c>
    </row>
    <row r="720" spans="1:18">
      <c r="A720" t="s">
        <v>45</v>
      </c>
      <c r="B720" t="s">
        <v>19</v>
      </c>
      <c r="C720" t="s">
        <v>30</v>
      </c>
      <c r="D720" t="s">
        <v>21</v>
      </c>
      <c r="E720" t="s">
        <v>38</v>
      </c>
      <c r="F720">
        <v>483</v>
      </c>
      <c r="G720" s="1">
        <v>26712</v>
      </c>
      <c r="H720" s="2">
        <v>45282</v>
      </c>
      <c r="I720" t="s">
        <v>41</v>
      </c>
      <c r="J720" t="s">
        <v>757</v>
      </c>
      <c r="K720" t="s">
        <v>34</v>
      </c>
      <c r="L720" t="str">
        <f t="shared" si="66"/>
        <v>Dec</v>
      </c>
      <c r="M720" t="str">
        <f t="shared" si="67"/>
        <v>Q4</v>
      </c>
      <c r="N720" t="str">
        <f t="shared" si="68"/>
        <v>Medium</v>
      </c>
      <c r="O720">
        <f>_xlfn.XLOOKUP(I720,Helper_Table!A:A,Helper_Table!B:B)</f>
        <v>1.2</v>
      </c>
      <c r="P720" s="1">
        <f t="shared" si="69"/>
        <v>32054.399999999998</v>
      </c>
      <c r="Q720" s="4">
        <f t="shared" si="70"/>
        <v>0.83333333333333337</v>
      </c>
      <c r="R720" t="str">
        <f t="shared" si="71"/>
        <v>Below Target</v>
      </c>
    </row>
    <row r="721" spans="1:18">
      <c r="A721" t="s">
        <v>64</v>
      </c>
      <c r="B721" t="s">
        <v>36</v>
      </c>
      <c r="C721" t="s">
        <v>20</v>
      </c>
      <c r="D721" t="s">
        <v>14</v>
      </c>
      <c r="E721" t="s">
        <v>15</v>
      </c>
      <c r="F721">
        <v>1884</v>
      </c>
      <c r="G721" s="1">
        <v>23635</v>
      </c>
      <c r="H721" s="2">
        <v>45423</v>
      </c>
      <c r="I721" t="s">
        <v>32</v>
      </c>
      <c r="J721" t="s">
        <v>758</v>
      </c>
      <c r="K721" t="s">
        <v>47</v>
      </c>
      <c r="L721" t="str">
        <f t="shared" si="66"/>
        <v>May</v>
      </c>
      <c r="M721" t="str">
        <f t="shared" si="67"/>
        <v>Q2</v>
      </c>
      <c r="N721" t="str">
        <f t="shared" si="68"/>
        <v>Medium</v>
      </c>
      <c r="O721">
        <f>_xlfn.XLOOKUP(I721,Helper_Table!A:A,Helper_Table!B:B)</f>
        <v>0.95</v>
      </c>
      <c r="P721" s="1">
        <f t="shared" si="69"/>
        <v>22453.25</v>
      </c>
      <c r="Q721" s="4">
        <f t="shared" si="70"/>
        <v>1.0526315789473684</v>
      </c>
      <c r="R721" t="str">
        <f t="shared" si="71"/>
        <v>Achieved</v>
      </c>
    </row>
    <row r="722" spans="1:18">
      <c r="A722" t="s">
        <v>64</v>
      </c>
      <c r="B722" t="s">
        <v>49</v>
      </c>
      <c r="C722" t="s">
        <v>20</v>
      </c>
      <c r="D722" t="s">
        <v>26</v>
      </c>
      <c r="E722" t="s">
        <v>38</v>
      </c>
      <c r="F722">
        <v>735</v>
      </c>
      <c r="G722" s="1">
        <v>40658</v>
      </c>
      <c r="H722" s="2">
        <v>45211</v>
      </c>
      <c r="I722" t="s">
        <v>27</v>
      </c>
      <c r="J722" t="s">
        <v>759</v>
      </c>
      <c r="K722" t="s">
        <v>44</v>
      </c>
      <c r="L722" t="str">
        <f t="shared" si="66"/>
        <v>Oct</v>
      </c>
      <c r="M722" t="str">
        <f t="shared" si="67"/>
        <v>Q4</v>
      </c>
      <c r="N722" t="str">
        <f t="shared" si="68"/>
        <v>High</v>
      </c>
      <c r="O722">
        <f>_xlfn.XLOOKUP(I722,Helper_Table!A:A,Helper_Table!B:B)</f>
        <v>0.9</v>
      </c>
      <c r="P722" s="1">
        <f t="shared" si="69"/>
        <v>36592.200000000004</v>
      </c>
      <c r="Q722" s="4">
        <f t="shared" si="70"/>
        <v>1.1111111111111109</v>
      </c>
      <c r="R722" t="str">
        <f t="shared" si="71"/>
        <v>Achieved</v>
      </c>
    </row>
    <row r="723" spans="1:18">
      <c r="A723" t="s">
        <v>11</v>
      </c>
      <c r="B723" t="s">
        <v>36</v>
      </c>
      <c r="C723" t="s">
        <v>59</v>
      </c>
      <c r="D723" t="s">
        <v>14</v>
      </c>
      <c r="E723" t="s">
        <v>15</v>
      </c>
      <c r="F723">
        <v>274</v>
      </c>
      <c r="G723" s="1">
        <v>30681</v>
      </c>
      <c r="H723" s="2">
        <v>45431</v>
      </c>
      <c r="I723" t="s">
        <v>32</v>
      </c>
      <c r="J723" t="s">
        <v>760</v>
      </c>
      <c r="K723" t="s">
        <v>47</v>
      </c>
      <c r="L723" t="str">
        <f t="shared" si="66"/>
        <v>May</v>
      </c>
      <c r="M723" t="str">
        <f t="shared" si="67"/>
        <v>Q2</v>
      </c>
      <c r="N723" t="str">
        <f t="shared" si="68"/>
        <v>Medium</v>
      </c>
      <c r="O723">
        <f>_xlfn.XLOOKUP(I723,Helper_Table!A:A,Helper_Table!B:B)</f>
        <v>0.95</v>
      </c>
      <c r="P723" s="1">
        <f t="shared" si="69"/>
        <v>29146.949999999997</v>
      </c>
      <c r="Q723" s="4">
        <f t="shared" si="70"/>
        <v>1.0526315789473686</v>
      </c>
      <c r="R723" t="str">
        <f t="shared" si="71"/>
        <v>Achieved</v>
      </c>
    </row>
    <row r="724" spans="1:18">
      <c r="A724" t="s">
        <v>35</v>
      </c>
      <c r="B724" t="s">
        <v>36</v>
      </c>
      <c r="C724" t="s">
        <v>13</v>
      </c>
      <c r="D724" t="s">
        <v>21</v>
      </c>
      <c r="E724" t="s">
        <v>15</v>
      </c>
      <c r="F724">
        <v>1805</v>
      </c>
      <c r="G724" s="1">
        <v>40381</v>
      </c>
      <c r="H724" s="2">
        <v>45392</v>
      </c>
      <c r="I724" t="s">
        <v>41</v>
      </c>
      <c r="J724" t="s">
        <v>761</v>
      </c>
      <c r="K724" t="s">
        <v>29</v>
      </c>
      <c r="L724" t="str">
        <f t="shared" si="66"/>
        <v>Apr</v>
      </c>
      <c r="M724" t="str">
        <f t="shared" si="67"/>
        <v>Q2</v>
      </c>
      <c r="N724" t="str">
        <f t="shared" si="68"/>
        <v>High</v>
      </c>
      <c r="O724">
        <f>_xlfn.XLOOKUP(I724,Helper_Table!A:A,Helper_Table!B:B)</f>
        <v>1.2</v>
      </c>
      <c r="P724" s="1">
        <f t="shared" si="69"/>
        <v>48457.2</v>
      </c>
      <c r="Q724" s="4">
        <f t="shared" si="70"/>
        <v>0.83333333333333337</v>
      </c>
      <c r="R724" t="str">
        <f t="shared" si="71"/>
        <v>Below Target</v>
      </c>
    </row>
    <row r="725" spans="1:18">
      <c r="A725" t="s">
        <v>11</v>
      </c>
      <c r="B725" t="s">
        <v>49</v>
      </c>
      <c r="C725" t="s">
        <v>25</v>
      </c>
      <c r="D725" t="s">
        <v>31</v>
      </c>
      <c r="E725" t="s">
        <v>15</v>
      </c>
      <c r="F725">
        <v>873</v>
      </c>
      <c r="G725" s="1">
        <v>28594</v>
      </c>
      <c r="H725" s="2">
        <v>45332</v>
      </c>
      <c r="I725" t="s">
        <v>39</v>
      </c>
      <c r="J725" t="s">
        <v>762</v>
      </c>
      <c r="K725" t="s">
        <v>18</v>
      </c>
      <c r="L725" t="str">
        <f t="shared" si="66"/>
        <v>Feb</v>
      </c>
      <c r="M725" t="str">
        <f t="shared" si="67"/>
        <v>Q1</v>
      </c>
      <c r="N725" t="str">
        <f t="shared" si="68"/>
        <v>Medium</v>
      </c>
      <c r="O725">
        <f>_xlfn.XLOOKUP(I725,Helper_Table!A:A,Helper_Table!B:B)</f>
        <v>1.1000000000000001</v>
      </c>
      <c r="P725" s="1">
        <f t="shared" si="69"/>
        <v>31453.4</v>
      </c>
      <c r="Q725" s="4">
        <f t="shared" si="70"/>
        <v>0.90909090909090906</v>
      </c>
      <c r="R725" t="str">
        <f t="shared" si="71"/>
        <v>Below Target</v>
      </c>
    </row>
    <row r="726" spans="1:18">
      <c r="A726" t="s">
        <v>45</v>
      </c>
      <c r="B726" t="s">
        <v>12</v>
      </c>
      <c r="C726" t="s">
        <v>59</v>
      </c>
      <c r="D726" t="s">
        <v>21</v>
      </c>
      <c r="E726" t="s">
        <v>22</v>
      </c>
      <c r="F726">
        <v>132</v>
      </c>
      <c r="G726" s="1">
        <v>44778</v>
      </c>
      <c r="H726" s="2">
        <v>45400</v>
      </c>
      <c r="I726" t="s">
        <v>32</v>
      </c>
      <c r="J726" t="s">
        <v>763</v>
      </c>
      <c r="K726" t="s">
        <v>29</v>
      </c>
      <c r="L726" t="str">
        <f t="shared" si="66"/>
        <v>Apr</v>
      </c>
      <c r="M726" t="str">
        <f t="shared" si="67"/>
        <v>Q2</v>
      </c>
      <c r="N726" t="str">
        <f t="shared" si="68"/>
        <v>High</v>
      </c>
      <c r="O726">
        <f>_xlfn.XLOOKUP(I726,Helper_Table!A:A,Helper_Table!B:B)</f>
        <v>0.95</v>
      </c>
      <c r="P726" s="1">
        <f t="shared" si="69"/>
        <v>42539.1</v>
      </c>
      <c r="Q726" s="4">
        <f t="shared" si="70"/>
        <v>1.0526315789473684</v>
      </c>
      <c r="R726" t="str">
        <f t="shared" si="71"/>
        <v>Achieved</v>
      </c>
    </row>
    <row r="727" spans="1:18">
      <c r="A727" t="s">
        <v>45</v>
      </c>
      <c r="B727" t="s">
        <v>12</v>
      </c>
      <c r="C727" t="s">
        <v>13</v>
      </c>
      <c r="D727" t="s">
        <v>66</v>
      </c>
      <c r="E727" t="s">
        <v>15</v>
      </c>
      <c r="F727">
        <v>1420</v>
      </c>
      <c r="G727" s="1">
        <v>14853</v>
      </c>
      <c r="H727" s="2">
        <v>45314</v>
      </c>
      <c r="I727" t="s">
        <v>39</v>
      </c>
      <c r="J727" t="s">
        <v>764</v>
      </c>
      <c r="K727" t="s">
        <v>47</v>
      </c>
      <c r="L727" t="str">
        <f t="shared" si="66"/>
        <v>Jan</v>
      </c>
      <c r="M727" t="str">
        <f t="shared" si="67"/>
        <v>Q1</v>
      </c>
      <c r="N727" t="str">
        <f t="shared" si="68"/>
        <v>Low</v>
      </c>
      <c r="O727">
        <f>_xlfn.XLOOKUP(I727,Helper_Table!A:A,Helper_Table!B:B)</f>
        <v>1.1000000000000001</v>
      </c>
      <c r="P727" s="1">
        <f t="shared" si="69"/>
        <v>16338.300000000001</v>
      </c>
      <c r="Q727" s="4">
        <f t="shared" si="70"/>
        <v>0.90909090909090906</v>
      </c>
      <c r="R727" t="str">
        <f t="shared" si="71"/>
        <v>Below Target</v>
      </c>
    </row>
    <row r="728" spans="1:18">
      <c r="A728" t="s">
        <v>45</v>
      </c>
      <c r="B728" t="s">
        <v>12</v>
      </c>
      <c r="C728" t="s">
        <v>30</v>
      </c>
      <c r="D728" t="s">
        <v>14</v>
      </c>
      <c r="E728" t="s">
        <v>15</v>
      </c>
      <c r="F728">
        <v>1683</v>
      </c>
      <c r="G728" s="1">
        <v>29645</v>
      </c>
      <c r="H728" s="2">
        <v>45202</v>
      </c>
      <c r="I728" t="s">
        <v>39</v>
      </c>
      <c r="J728" t="s">
        <v>765</v>
      </c>
      <c r="K728" t="s">
        <v>44</v>
      </c>
      <c r="L728" t="str">
        <f t="shared" si="66"/>
        <v>Oct</v>
      </c>
      <c r="M728" t="str">
        <f t="shared" si="67"/>
        <v>Q4</v>
      </c>
      <c r="N728" t="str">
        <f t="shared" si="68"/>
        <v>Medium</v>
      </c>
      <c r="O728">
        <f>_xlfn.XLOOKUP(I728,Helper_Table!A:A,Helper_Table!B:B)</f>
        <v>1.1000000000000001</v>
      </c>
      <c r="P728" s="1">
        <f t="shared" si="69"/>
        <v>32609.500000000004</v>
      </c>
      <c r="Q728" s="4">
        <f t="shared" si="70"/>
        <v>0.90909090909090895</v>
      </c>
      <c r="R728" t="str">
        <f t="shared" si="71"/>
        <v>Below Target</v>
      </c>
    </row>
    <row r="729" spans="1:18">
      <c r="A729" t="s">
        <v>24</v>
      </c>
      <c r="B729" t="s">
        <v>49</v>
      </c>
      <c r="C729" t="s">
        <v>30</v>
      </c>
      <c r="D729" t="s">
        <v>66</v>
      </c>
      <c r="E729">
        <v>60</v>
      </c>
      <c r="F729">
        <v>1143</v>
      </c>
      <c r="G729" s="1">
        <v>43589</v>
      </c>
      <c r="H729" s="2">
        <v>45407</v>
      </c>
      <c r="I729" t="s">
        <v>32</v>
      </c>
      <c r="J729" t="s">
        <v>766</v>
      </c>
      <c r="K729" t="s">
        <v>47</v>
      </c>
      <c r="L729" t="str">
        <f t="shared" si="66"/>
        <v>Apr</v>
      </c>
      <c r="M729" t="str">
        <f t="shared" si="67"/>
        <v>Q2</v>
      </c>
      <c r="N729" t="str">
        <f t="shared" si="68"/>
        <v>High</v>
      </c>
      <c r="O729">
        <f>_xlfn.XLOOKUP(I729,Helper_Table!A:A,Helper_Table!B:B)</f>
        <v>0.95</v>
      </c>
      <c r="P729" s="1">
        <f t="shared" si="69"/>
        <v>41409.549999999996</v>
      </c>
      <c r="Q729" s="4">
        <f t="shared" si="70"/>
        <v>1.0526315789473686</v>
      </c>
      <c r="R729" t="str">
        <f t="shared" si="71"/>
        <v>Achieved</v>
      </c>
    </row>
    <row r="730" spans="1:18">
      <c r="A730" t="s">
        <v>11</v>
      </c>
      <c r="B730" t="s">
        <v>51</v>
      </c>
      <c r="C730" t="s">
        <v>20</v>
      </c>
      <c r="D730" t="s">
        <v>21</v>
      </c>
      <c r="E730">
        <v>30</v>
      </c>
      <c r="F730">
        <v>223</v>
      </c>
      <c r="G730" s="1">
        <v>2979</v>
      </c>
      <c r="H730" s="2">
        <v>45416</v>
      </c>
      <c r="I730" t="s">
        <v>39</v>
      </c>
      <c r="J730" t="s">
        <v>767</v>
      </c>
      <c r="K730" t="s">
        <v>18</v>
      </c>
      <c r="L730" t="str">
        <f t="shared" si="66"/>
        <v>May</v>
      </c>
      <c r="M730" t="str">
        <f t="shared" si="67"/>
        <v>Q2</v>
      </c>
      <c r="N730" t="str">
        <f t="shared" si="68"/>
        <v>Low</v>
      </c>
      <c r="O730">
        <f>_xlfn.XLOOKUP(I730,Helper_Table!A:A,Helper_Table!B:B)</f>
        <v>1.1000000000000001</v>
      </c>
      <c r="P730" s="1">
        <f t="shared" si="69"/>
        <v>3276.9</v>
      </c>
      <c r="Q730" s="4">
        <f t="shared" si="70"/>
        <v>0.90909090909090906</v>
      </c>
      <c r="R730" t="str">
        <f t="shared" si="71"/>
        <v>Below Target</v>
      </c>
    </row>
    <row r="731" spans="1:18">
      <c r="A731" t="s">
        <v>35</v>
      </c>
      <c r="B731" t="s">
        <v>19</v>
      </c>
      <c r="C731" t="s">
        <v>59</v>
      </c>
      <c r="D731" t="s">
        <v>31</v>
      </c>
      <c r="E731">
        <v>60</v>
      </c>
      <c r="F731">
        <v>1324</v>
      </c>
      <c r="G731" s="1">
        <v>4688</v>
      </c>
      <c r="H731" s="2">
        <v>45205</v>
      </c>
      <c r="I731" t="s">
        <v>32</v>
      </c>
      <c r="J731" t="s">
        <v>768</v>
      </c>
      <c r="K731" t="s">
        <v>18</v>
      </c>
      <c r="L731" t="str">
        <f t="shared" si="66"/>
        <v>Oct</v>
      </c>
      <c r="M731" t="str">
        <f t="shared" si="67"/>
        <v>Q4</v>
      </c>
      <c r="N731" t="str">
        <f t="shared" si="68"/>
        <v>Low</v>
      </c>
      <c r="O731">
        <f>_xlfn.XLOOKUP(I731,Helper_Table!A:A,Helper_Table!B:B)</f>
        <v>0.95</v>
      </c>
      <c r="P731" s="1">
        <f t="shared" si="69"/>
        <v>4453.5999999999995</v>
      </c>
      <c r="Q731" s="4">
        <f t="shared" si="70"/>
        <v>1.0526315789473686</v>
      </c>
      <c r="R731" t="str">
        <f t="shared" si="71"/>
        <v>Achieved</v>
      </c>
    </row>
    <row r="732" spans="1:18">
      <c r="A732" t="s">
        <v>24</v>
      </c>
      <c r="B732" t="s">
        <v>36</v>
      </c>
      <c r="C732" t="s">
        <v>30</v>
      </c>
      <c r="D732" t="s">
        <v>66</v>
      </c>
      <c r="E732" t="s">
        <v>22</v>
      </c>
      <c r="F732">
        <v>194</v>
      </c>
      <c r="G732" s="1">
        <v>24534</v>
      </c>
      <c r="H732" s="2">
        <v>45385</v>
      </c>
      <c r="I732" t="s">
        <v>39</v>
      </c>
      <c r="J732" t="s">
        <v>769</v>
      </c>
      <c r="K732" t="s">
        <v>44</v>
      </c>
      <c r="L732" t="str">
        <f t="shared" si="66"/>
        <v>Apr</v>
      </c>
      <c r="M732" t="str">
        <f t="shared" si="67"/>
        <v>Q2</v>
      </c>
      <c r="N732" t="str">
        <f t="shared" si="68"/>
        <v>Medium</v>
      </c>
      <c r="O732">
        <f>_xlfn.XLOOKUP(I732,Helper_Table!A:A,Helper_Table!B:B)</f>
        <v>1.1000000000000001</v>
      </c>
      <c r="P732" s="1">
        <f t="shared" si="69"/>
        <v>26987.4</v>
      </c>
      <c r="Q732" s="4">
        <f t="shared" si="70"/>
        <v>0.90909090909090906</v>
      </c>
      <c r="R732" t="str">
        <f t="shared" si="71"/>
        <v>Below Target</v>
      </c>
    </row>
    <row r="733" spans="1:18">
      <c r="A733" t="s">
        <v>35</v>
      </c>
      <c r="B733" t="s">
        <v>49</v>
      </c>
      <c r="C733" t="s">
        <v>13</v>
      </c>
      <c r="D733" t="s">
        <v>31</v>
      </c>
      <c r="E733">
        <v>60</v>
      </c>
      <c r="F733">
        <v>661</v>
      </c>
      <c r="G733" s="1">
        <v>23684</v>
      </c>
      <c r="H733" s="2">
        <v>45311</v>
      </c>
      <c r="I733" t="s">
        <v>27</v>
      </c>
      <c r="J733" t="s">
        <v>770</v>
      </c>
      <c r="K733" t="s">
        <v>44</v>
      </c>
      <c r="L733" t="str">
        <f t="shared" si="66"/>
        <v>Jan</v>
      </c>
      <c r="M733" t="str">
        <f t="shared" si="67"/>
        <v>Q1</v>
      </c>
      <c r="N733" t="str">
        <f t="shared" si="68"/>
        <v>Medium</v>
      </c>
      <c r="O733">
        <f>_xlfn.XLOOKUP(I733,Helper_Table!A:A,Helper_Table!B:B)</f>
        <v>0.9</v>
      </c>
      <c r="P733" s="1">
        <f t="shared" si="69"/>
        <v>21315.600000000002</v>
      </c>
      <c r="Q733" s="4">
        <f t="shared" si="70"/>
        <v>1.1111111111111109</v>
      </c>
      <c r="R733" t="str">
        <f t="shared" si="71"/>
        <v>Achieved</v>
      </c>
    </row>
    <row r="734" spans="1:18">
      <c r="A734" t="s">
        <v>11</v>
      </c>
      <c r="B734" t="s">
        <v>49</v>
      </c>
      <c r="C734" t="s">
        <v>13</v>
      </c>
      <c r="D734" t="s">
        <v>31</v>
      </c>
      <c r="E734" t="s">
        <v>15</v>
      </c>
      <c r="F734">
        <v>751</v>
      </c>
      <c r="G734" s="1">
        <v>19968</v>
      </c>
      <c r="H734" s="2">
        <v>45367</v>
      </c>
      <c r="I734" t="s">
        <v>16</v>
      </c>
      <c r="J734" t="s">
        <v>771</v>
      </c>
      <c r="K734" t="s">
        <v>34</v>
      </c>
      <c r="L734" t="str">
        <f t="shared" si="66"/>
        <v>Mar</v>
      </c>
      <c r="M734" t="str">
        <f t="shared" si="67"/>
        <v>Q1</v>
      </c>
      <c r="N734" t="str">
        <f t="shared" si="68"/>
        <v>Low</v>
      </c>
      <c r="O734">
        <f>_xlfn.XLOOKUP(I734,Helper_Table!A:A,Helper_Table!B:B)</f>
        <v>1.1000000000000001</v>
      </c>
      <c r="P734" s="1">
        <f t="shared" si="69"/>
        <v>21964.800000000003</v>
      </c>
      <c r="Q734" s="4">
        <f t="shared" si="70"/>
        <v>0.90909090909090895</v>
      </c>
      <c r="R734" t="str">
        <f t="shared" si="71"/>
        <v>Below Target</v>
      </c>
    </row>
    <row r="735" spans="1:18">
      <c r="A735" t="s">
        <v>11</v>
      </c>
      <c r="B735" t="s">
        <v>36</v>
      </c>
      <c r="C735" t="s">
        <v>20</v>
      </c>
      <c r="D735" t="s">
        <v>66</v>
      </c>
      <c r="E735" t="s">
        <v>22</v>
      </c>
      <c r="F735">
        <v>1257</v>
      </c>
      <c r="G735" s="1">
        <v>23292</v>
      </c>
      <c r="H735" s="2">
        <v>45499</v>
      </c>
      <c r="I735" t="s">
        <v>41</v>
      </c>
      <c r="J735" t="s">
        <v>772</v>
      </c>
      <c r="K735" t="s">
        <v>34</v>
      </c>
      <c r="L735" t="str">
        <f t="shared" si="66"/>
        <v>Jul</v>
      </c>
      <c r="M735" t="str">
        <f t="shared" si="67"/>
        <v>Q3</v>
      </c>
      <c r="N735" t="str">
        <f t="shared" si="68"/>
        <v>Medium</v>
      </c>
      <c r="O735">
        <f>_xlfn.XLOOKUP(I735,Helper_Table!A:A,Helper_Table!B:B)</f>
        <v>1.2</v>
      </c>
      <c r="P735" s="1">
        <f t="shared" si="69"/>
        <v>27950.399999999998</v>
      </c>
      <c r="Q735" s="4">
        <f t="shared" si="70"/>
        <v>0.83333333333333337</v>
      </c>
      <c r="R735" t="str">
        <f t="shared" si="71"/>
        <v>Below Target</v>
      </c>
    </row>
    <row r="736" spans="1:18">
      <c r="A736" t="s">
        <v>64</v>
      </c>
      <c r="B736" t="s">
        <v>36</v>
      </c>
      <c r="C736" t="s">
        <v>30</v>
      </c>
      <c r="D736" t="s">
        <v>21</v>
      </c>
      <c r="E736">
        <v>60</v>
      </c>
      <c r="F736">
        <v>302</v>
      </c>
      <c r="G736" s="1">
        <v>13102</v>
      </c>
      <c r="H736" s="2">
        <v>45301</v>
      </c>
      <c r="I736" t="s">
        <v>27</v>
      </c>
      <c r="J736" t="s">
        <v>773</v>
      </c>
      <c r="K736" t="s">
        <v>44</v>
      </c>
      <c r="L736" t="str">
        <f t="shared" si="66"/>
        <v>Jan</v>
      </c>
      <c r="M736" t="str">
        <f t="shared" si="67"/>
        <v>Q1</v>
      </c>
      <c r="N736" t="str">
        <f t="shared" si="68"/>
        <v>Low</v>
      </c>
      <c r="O736">
        <f>_xlfn.XLOOKUP(I736,Helper_Table!A:A,Helper_Table!B:B)</f>
        <v>0.9</v>
      </c>
      <c r="P736" s="1">
        <f t="shared" si="69"/>
        <v>11791.800000000001</v>
      </c>
      <c r="Q736" s="4">
        <f t="shared" si="70"/>
        <v>1.1111111111111109</v>
      </c>
      <c r="R736" t="str">
        <f t="shared" si="71"/>
        <v>Achieved</v>
      </c>
    </row>
    <row r="737" spans="1:18">
      <c r="A737" t="s">
        <v>64</v>
      </c>
      <c r="B737" t="s">
        <v>49</v>
      </c>
      <c r="C737" t="s">
        <v>25</v>
      </c>
      <c r="D737" t="s">
        <v>21</v>
      </c>
      <c r="E737" t="s">
        <v>22</v>
      </c>
      <c r="F737">
        <v>952</v>
      </c>
      <c r="G737" s="1">
        <v>24617</v>
      </c>
      <c r="H737" s="2">
        <v>45448</v>
      </c>
      <c r="I737" t="s">
        <v>41</v>
      </c>
      <c r="J737" t="s">
        <v>774</v>
      </c>
      <c r="K737" t="s">
        <v>34</v>
      </c>
      <c r="L737" t="str">
        <f t="shared" si="66"/>
        <v>Jun</v>
      </c>
      <c r="M737" t="str">
        <f t="shared" si="67"/>
        <v>Q2</v>
      </c>
      <c r="N737" t="str">
        <f t="shared" si="68"/>
        <v>Medium</v>
      </c>
      <c r="O737">
        <f>_xlfn.XLOOKUP(I737,Helper_Table!A:A,Helper_Table!B:B)</f>
        <v>1.2</v>
      </c>
      <c r="P737" s="1">
        <f t="shared" si="69"/>
        <v>29540.399999999998</v>
      </c>
      <c r="Q737" s="4">
        <f t="shared" si="70"/>
        <v>0.83333333333333337</v>
      </c>
      <c r="R737" t="str">
        <f t="shared" si="71"/>
        <v>Below Target</v>
      </c>
    </row>
    <row r="738" spans="1:18">
      <c r="A738" t="s">
        <v>45</v>
      </c>
      <c r="B738" t="s">
        <v>19</v>
      </c>
      <c r="C738" t="s">
        <v>25</v>
      </c>
      <c r="D738" t="s">
        <v>31</v>
      </c>
      <c r="E738" t="s">
        <v>22</v>
      </c>
      <c r="F738">
        <v>507</v>
      </c>
      <c r="G738" s="1">
        <v>10837</v>
      </c>
      <c r="H738" s="2">
        <v>45269</v>
      </c>
      <c r="I738" t="s">
        <v>32</v>
      </c>
      <c r="J738" t="s">
        <v>775</v>
      </c>
      <c r="K738" t="s">
        <v>44</v>
      </c>
      <c r="L738" t="str">
        <f t="shared" si="66"/>
        <v>Dec</v>
      </c>
      <c r="M738" t="str">
        <f t="shared" si="67"/>
        <v>Q4</v>
      </c>
      <c r="N738" t="str">
        <f t="shared" si="68"/>
        <v>Low</v>
      </c>
      <c r="O738">
        <f>_xlfn.XLOOKUP(I738,Helper_Table!A:A,Helper_Table!B:B)</f>
        <v>0.95</v>
      </c>
      <c r="P738" s="1">
        <f t="shared" si="69"/>
        <v>10295.15</v>
      </c>
      <c r="Q738" s="4">
        <f t="shared" si="70"/>
        <v>1.0526315789473684</v>
      </c>
      <c r="R738" t="str">
        <f t="shared" si="71"/>
        <v>Achieved</v>
      </c>
    </row>
    <row r="739" spans="1:18">
      <c r="A739" t="s">
        <v>11</v>
      </c>
      <c r="B739" t="s">
        <v>36</v>
      </c>
      <c r="C739" t="s">
        <v>20</v>
      </c>
      <c r="D739" t="s">
        <v>31</v>
      </c>
      <c r="E739" t="s">
        <v>15</v>
      </c>
      <c r="F739">
        <v>1325</v>
      </c>
      <c r="G739" s="1">
        <v>29008</v>
      </c>
      <c r="H739" s="2">
        <v>45187</v>
      </c>
      <c r="I739" t="s">
        <v>16</v>
      </c>
      <c r="J739" t="s">
        <v>776</v>
      </c>
      <c r="K739" t="s">
        <v>18</v>
      </c>
      <c r="L739" t="str">
        <f t="shared" si="66"/>
        <v>Sep</v>
      </c>
      <c r="M739" t="str">
        <f t="shared" si="67"/>
        <v>Q3</v>
      </c>
      <c r="N739" t="str">
        <f t="shared" si="68"/>
        <v>Medium</v>
      </c>
      <c r="O739">
        <f>_xlfn.XLOOKUP(I739,Helper_Table!A:A,Helper_Table!B:B)</f>
        <v>1.1000000000000001</v>
      </c>
      <c r="P739" s="1">
        <f t="shared" si="69"/>
        <v>31908.800000000003</v>
      </c>
      <c r="Q739" s="4">
        <f t="shared" si="70"/>
        <v>0.90909090909090906</v>
      </c>
      <c r="R739" t="str">
        <f t="shared" si="71"/>
        <v>Below Target</v>
      </c>
    </row>
    <row r="740" spans="1:18">
      <c r="A740" t="s">
        <v>11</v>
      </c>
      <c r="B740" t="s">
        <v>36</v>
      </c>
      <c r="C740" t="s">
        <v>13</v>
      </c>
      <c r="D740" t="s">
        <v>31</v>
      </c>
      <c r="E740" t="s">
        <v>15</v>
      </c>
      <c r="F740">
        <v>970</v>
      </c>
      <c r="G740" s="1">
        <v>30738</v>
      </c>
      <c r="H740" s="2">
        <v>45439</v>
      </c>
      <c r="I740" t="s">
        <v>27</v>
      </c>
      <c r="J740" t="s">
        <v>777</v>
      </c>
      <c r="K740" t="s">
        <v>34</v>
      </c>
      <c r="L740" t="str">
        <f t="shared" si="66"/>
        <v>May</v>
      </c>
      <c r="M740" t="str">
        <f t="shared" si="67"/>
        <v>Q2</v>
      </c>
      <c r="N740" t="str">
        <f t="shared" si="68"/>
        <v>Medium</v>
      </c>
      <c r="O740">
        <f>_xlfn.XLOOKUP(I740,Helper_Table!A:A,Helper_Table!B:B)</f>
        <v>0.9</v>
      </c>
      <c r="P740" s="1">
        <f t="shared" si="69"/>
        <v>27664.2</v>
      </c>
      <c r="Q740" s="4">
        <f t="shared" si="70"/>
        <v>1.1111111111111112</v>
      </c>
      <c r="R740" t="str">
        <f t="shared" si="71"/>
        <v>Achieved</v>
      </c>
    </row>
    <row r="741" spans="1:18">
      <c r="A741" t="s">
        <v>24</v>
      </c>
      <c r="B741" t="s">
        <v>12</v>
      </c>
      <c r="C741" t="s">
        <v>25</v>
      </c>
      <c r="D741" t="s">
        <v>21</v>
      </c>
      <c r="E741" t="s">
        <v>15</v>
      </c>
      <c r="F741">
        <v>1034</v>
      </c>
      <c r="G741" s="1">
        <v>9255</v>
      </c>
      <c r="H741" s="2">
        <v>45368</v>
      </c>
      <c r="I741" t="s">
        <v>32</v>
      </c>
      <c r="J741" t="s">
        <v>778</v>
      </c>
      <c r="K741" t="s">
        <v>47</v>
      </c>
      <c r="L741" t="str">
        <f t="shared" si="66"/>
        <v>Mar</v>
      </c>
      <c r="M741" t="str">
        <f t="shared" si="67"/>
        <v>Q1</v>
      </c>
      <c r="N741" t="str">
        <f t="shared" si="68"/>
        <v>Low</v>
      </c>
      <c r="O741">
        <f>_xlfn.XLOOKUP(I741,Helper_Table!A:A,Helper_Table!B:B)</f>
        <v>0.95</v>
      </c>
      <c r="P741" s="1">
        <f t="shared" si="69"/>
        <v>8792.25</v>
      </c>
      <c r="Q741" s="4">
        <f t="shared" si="70"/>
        <v>1.0526315789473684</v>
      </c>
      <c r="R741" t="str">
        <f t="shared" si="71"/>
        <v>Achieved</v>
      </c>
    </row>
    <row r="742" spans="1:18">
      <c r="A742" t="s">
        <v>24</v>
      </c>
      <c r="B742" t="s">
        <v>51</v>
      </c>
      <c r="C742" t="s">
        <v>25</v>
      </c>
      <c r="D742" t="s">
        <v>14</v>
      </c>
      <c r="E742" t="s">
        <v>22</v>
      </c>
      <c r="F742">
        <v>1127</v>
      </c>
      <c r="G742" s="1">
        <v>3828</v>
      </c>
      <c r="H742" s="2">
        <v>45467</v>
      </c>
      <c r="I742" t="s">
        <v>16</v>
      </c>
      <c r="J742" t="s">
        <v>779</v>
      </c>
      <c r="K742" t="s">
        <v>29</v>
      </c>
      <c r="L742" t="str">
        <f t="shared" si="66"/>
        <v>Jun</v>
      </c>
      <c r="M742" t="str">
        <f t="shared" si="67"/>
        <v>Q2</v>
      </c>
      <c r="N742" t="str">
        <f t="shared" si="68"/>
        <v>Low</v>
      </c>
      <c r="O742">
        <f>_xlfn.XLOOKUP(I742,Helper_Table!A:A,Helper_Table!B:B)</f>
        <v>1.1000000000000001</v>
      </c>
      <c r="P742" s="1">
        <f t="shared" si="69"/>
        <v>4210.8</v>
      </c>
      <c r="Q742" s="4">
        <f t="shared" si="70"/>
        <v>0.90909090909090906</v>
      </c>
      <c r="R742" t="str">
        <f t="shared" si="71"/>
        <v>Below Target</v>
      </c>
    </row>
    <row r="743" spans="1:18">
      <c r="A743" t="s">
        <v>24</v>
      </c>
      <c r="B743" t="s">
        <v>51</v>
      </c>
      <c r="C743" t="s">
        <v>59</v>
      </c>
      <c r="D743" t="s">
        <v>66</v>
      </c>
      <c r="E743">
        <v>30</v>
      </c>
      <c r="F743">
        <v>347</v>
      </c>
      <c r="G743" s="1">
        <v>46219</v>
      </c>
      <c r="H743" s="2">
        <v>45421</v>
      </c>
      <c r="I743" t="s">
        <v>27</v>
      </c>
      <c r="J743" t="s">
        <v>780</v>
      </c>
      <c r="K743" t="s">
        <v>34</v>
      </c>
      <c r="L743" t="str">
        <f t="shared" si="66"/>
        <v>May</v>
      </c>
      <c r="M743" t="str">
        <f t="shared" si="67"/>
        <v>Q2</v>
      </c>
      <c r="N743" t="str">
        <f t="shared" si="68"/>
        <v>High</v>
      </c>
      <c r="O743">
        <f>_xlfn.XLOOKUP(I743,Helper_Table!A:A,Helper_Table!B:B)</f>
        <v>0.9</v>
      </c>
      <c r="P743" s="1">
        <f t="shared" si="69"/>
        <v>41597.1</v>
      </c>
      <c r="Q743" s="4">
        <f t="shared" si="70"/>
        <v>1.1111111111111112</v>
      </c>
      <c r="R743" t="str">
        <f t="shared" si="71"/>
        <v>Achieved</v>
      </c>
    </row>
    <row r="744" spans="1:18">
      <c r="A744" t="s">
        <v>35</v>
      </c>
      <c r="B744" t="s">
        <v>49</v>
      </c>
      <c r="C744" t="s">
        <v>59</v>
      </c>
      <c r="D744" t="s">
        <v>31</v>
      </c>
      <c r="E744" t="s">
        <v>15</v>
      </c>
      <c r="F744">
        <v>1032</v>
      </c>
      <c r="G744" s="1">
        <v>37678</v>
      </c>
      <c r="H744" s="2">
        <v>45311</v>
      </c>
      <c r="I744" t="s">
        <v>41</v>
      </c>
      <c r="J744" t="s">
        <v>781</v>
      </c>
      <c r="K744" t="s">
        <v>18</v>
      </c>
      <c r="L744" t="str">
        <f t="shared" si="66"/>
        <v>Jan</v>
      </c>
      <c r="M744" t="str">
        <f t="shared" si="67"/>
        <v>Q1</v>
      </c>
      <c r="N744" t="str">
        <f t="shared" si="68"/>
        <v>Medium</v>
      </c>
      <c r="O744">
        <f>_xlfn.XLOOKUP(I744,Helper_Table!A:A,Helper_Table!B:B)</f>
        <v>1.2</v>
      </c>
      <c r="P744" s="1">
        <f t="shared" si="69"/>
        <v>45213.599999999999</v>
      </c>
      <c r="Q744" s="4">
        <f t="shared" si="70"/>
        <v>0.83333333333333337</v>
      </c>
      <c r="R744" t="str">
        <f t="shared" si="71"/>
        <v>Below Target</v>
      </c>
    </row>
    <row r="745" spans="1:18">
      <c r="A745" t="s">
        <v>11</v>
      </c>
      <c r="B745" t="s">
        <v>51</v>
      </c>
      <c r="C745" t="s">
        <v>13</v>
      </c>
      <c r="D745" t="s">
        <v>26</v>
      </c>
      <c r="E745">
        <v>30</v>
      </c>
      <c r="F745">
        <v>1105</v>
      </c>
      <c r="G745" s="1">
        <v>35389</v>
      </c>
      <c r="H745" s="2">
        <v>45253</v>
      </c>
      <c r="I745" t="s">
        <v>32</v>
      </c>
      <c r="J745" t="s">
        <v>782</v>
      </c>
      <c r="K745" t="s">
        <v>34</v>
      </c>
      <c r="L745" t="str">
        <f t="shared" si="66"/>
        <v>Nov</v>
      </c>
      <c r="M745" t="str">
        <f t="shared" si="67"/>
        <v>Q4</v>
      </c>
      <c r="N745" t="str">
        <f t="shared" si="68"/>
        <v>Medium</v>
      </c>
      <c r="O745">
        <f>_xlfn.XLOOKUP(I745,Helper_Table!A:A,Helper_Table!B:B)</f>
        <v>0.95</v>
      </c>
      <c r="P745" s="1">
        <f t="shared" si="69"/>
        <v>33619.549999999996</v>
      </c>
      <c r="Q745" s="4">
        <f t="shared" si="70"/>
        <v>1.0526315789473686</v>
      </c>
      <c r="R745" t="str">
        <f t="shared" si="71"/>
        <v>Achieved</v>
      </c>
    </row>
    <row r="746" spans="1:18">
      <c r="A746" t="s">
        <v>11</v>
      </c>
      <c r="B746" t="s">
        <v>36</v>
      </c>
      <c r="C746" t="s">
        <v>59</v>
      </c>
      <c r="D746" t="s">
        <v>66</v>
      </c>
      <c r="E746" t="s">
        <v>22</v>
      </c>
      <c r="F746">
        <v>107</v>
      </c>
      <c r="G746" s="1">
        <v>11533</v>
      </c>
      <c r="H746" s="2">
        <v>45317</v>
      </c>
      <c r="I746" t="s">
        <v>16</v>
      </c>
      <c r="J746" t="s">
        <v>783</v>
      </c>
      <c r="K746" t="s">
        <v>44</v>
      </c>
      <c r="L746" t="str">
        <f t="shared" si="66"/>
        <v>Jan</v>
      </c>
      <c r="M746" t="str">
        <f t="shared" si="67"/>
        <v>Q1</v>
      </c>
      <c r="N746" t="str">
        <f t="shared" si="68"/>
        <v>Low</v>
      </c>
      <c r="O746">
        <f>_xlfn.XLOOKUP(I746,Helper_Table!A:A,Helper_Table!B:B)</f>
        <v>1.1000000000000001</v>
      </c>
      <c r="P746" s="1">
        <f t="shared" si="69"/>
        <v>12686.300000000001</v>
      </c>
      <c r="Q746" s="4">
        <f t="shared" si="70"/>
        <v>0.90909090909090906</v>
      </c>
      <c r="R746" t="str">
        <f t="shared" si="71"/>
        <v>Below Target</v>
      </c>
    </row>
    <row r="747" spans="1:18">
      <c r="A747" t="s">
        <v>24</v>
      </c>
      <c r="B747" t="s">
        <v>51</v>
      </c>
      <c r="C747" t="s">
        <v>20</v>
      </c>
      <c r="D747" t="s">
        <v>14</v>
      </c>
      <c r="E747">
        <v>60</v>
      </c>
      <c r="F747">
        <v>585</v>
      </c>
      <c r="G747" s="1">
        <v>37206</v>
      </c>
      <c r="H747" s="2">
        <v>45340</v>
      </c>
      <c r="I747" t="s">
        <v>41</v>
      </c>
      <c r="J747" t="s">
        <v>784</v>
      </c>
      <c r="K747" t="s">
        <v>44</v>
      </c>
      <c r="L747" t="str">
        <f t="shared" si="66"/>
        <v>Feb</v>
      </c>
      <c r="M747" t="str">
        <f t="shared" si="67"/>
        <v>Q1</v>
      </c>
      <c r="N747" t="str">
        <f t="shared" si="68"/>
        <v>Medium</v>
      </c>
      <c r="O747">
        <f>_xlfn.XLOOKUP(I747,Helper_Table!A:A,Helper_Table!B:B)</f>
        <v>1.2</v>
      </c>
      <c r="P747" s="1">
        <f t="shared" si="69"/>
        <v>44647.199999999997</v>
      </c>
      <c r="Q747" s="4">
        <f t="shared" si="70"/>
        <v>0.83333333333333337</v>
      </c>
      <c r="R747" t="str">
        <f t="shared" si="71"/>
        <v>Below Target</v>
      </c>
    </row>
    <row r="748" spans="1:18">
      <c r="A748" t="s">
        <v>24</v>
      </c>
      <c r="B748" t="s">
        <v>19</v>
      </c>
      <c r="C748" t="s">
        <v>13</v>
      </c>
      <c r="D748" t="s">
        <v>21</v>
      </c>
      <c r="E748">
        <v>30</v>
      </c>
      <c r="F748">
        <v>1915</v>
      </c>
      <c r="G748" s="1">
        <v>6442</v>
      </c>
      <c r="H748" s="2">
        <v>45428</v>
      </c>
      <c r="I748" t="s">
        <v>16</v>
      </c>
      <c r="J748" t="s">
        <v>785</v>
      </c>
      <c r="K748" t="s">
        <v>44</v>
      </c>
      <c r="L748" t="str">
        <f t="shared" si="66"/>
        <v>May</v>
      </c>
      <c r="M748" t="str">
        <f t="shared" si="67"/>
        <v>Q2</v>
      </c>
      <c r="N748" t="str">
        <f t="shared" si="68"/>
        <v>Low</v>
      </c>
      <c r="O748">
        <f>_xlfn.XLOOKUP(I748,Helper_Table!A:A,Helper_Table!B:B)</f>
        <v>1.1000000000000001</v>
      </c>
      <c r="P748" s="1">
        <f t="shared" si="69"/>
        <v>7086.2000000000007</v>
      </c>
      <c r="Q748" s="4">
        <f t="shared" si="70"/>
        <v>0.90909090909090895</v>
      </c>
      <c r="R748" t="str">
        <f t="shared" si="71"/>
        <v>Below Target</v>
      </c>
    </row>
    <row r="749" spans="1:18">
      <c r="A749" t="s">
        <v>11</v>
      </c>
      <c r="B749" t="s">
        <v>12</v>
      </c>
      <c r="C749" t="s">
        <v>20</v>
      </c>
      <c r="D749" t="s">
        <v>66</v>
      </c>
      <c r="E749" t="s">
        <v>22</v>
      </c>
      <c r="F749">
        <v>1228</v>
      </c>
      <c r="G749" s="1">
        <v>47317</v>
      </c>
      <c r="H749" s="2">
        <v>45424</v>
      </c>
      <c r="I749" t="s">
        <v>39</v>
      </c>
      <c r="J749" t="s">
        <v>786</v>
      </c>
      <c r="K749" t="s">
        <v>34</v>
      </c>
      <c r="L749" t="str">
        <f t="shared" si="66"/>
        <v>May</v>
      </c>
      <c r="M749" t="str">
        <f t="shared" si="67"/>
        <v>Q2</v>
      </c>
      <c r="N749" t="str">
        <f t="shared" si="68"/>
        <v>High</v>
      </c>
      <c r="O749">
        <f>_xlfn.XLOOKUP(I749,Helper_Table!A:A,Helper_Table!B:B)</f>
        <v>1.1000000000000001</v>
      </c>
      <c r="P749" s="1">
        <f t="shared" si="69"/>
        <v>52048.700000000004</v>
      </c>
      <c r="Q749" s="4">
        <f t="shared" si="70"/>
        <v>0.90909090909090906</v>
      </c>
      <c r="R749" t="str">
        <f t="shared" si="71"/>
        <v>Below Target</v>
      </c>
    </row>
    <row r="750" spans="1:18">
      <c r="A750" t="s">
        <v>64</v>
      </c>
      <c r="B750" t="s">
        <v>19</v>
      </c>
      <c r="C750" t="s">
        <v>30</v>
      </c>
      <c r="D750" t="s">
        <v>31</v>
      </c>
      <c r="E750">
        <v>60</v>
      </c>
      <c r="F750">
        <v>728</v>
      </c>
      <c r="G750" s="1">
        <v>17927</v>
      </c>
      <c r="H750" s="2">
        <v>45481</v>
      </c>
      <c r="I750" t="s">
        <v>41</v>
      </c>
      <c r="J750" t="s">
        <v>787</v>
      </c>
      <c r="K750" t="s">
        <v>44</v>
      </c>
      <c r="L750" t="str">
        <f t="shared" si="66"/>
        <v>Jul</v>
      </c>
      <c r="M750" t="str">
        <f t="shared" si="67"/>
        <v>Q3</v>
      </c>
      <c r="N750" t="str">
        <f t="shared" si="68"/>
        <v>Low</v>
      </c>
      <c r="O750">
        <f>_xlfn.XLOOKUP(I750,Helper_Table!A:A,Helper_Table!B:B)</f>
        <v>1.2</v>
      </c>
      <c r="P750" s="1">
        <f t="shared" si="69"/>
        <v>21512.399999999998</v>
      </c>
      <c r="Q750" s="4">
        <f t="shared" si="70"/>
        <v>0.83333333333333337</v>
      </c>
      <c r="R750" t="str">
        <f t="shared" si="71"/>
        <v>Below Target</v>
      </c>
    </row>
    <row r="751" spans="1:18">
      <c r="A751" t="s">
        <v>35</v>
      </c>
      <c r="B751" t="s">
        <v>19</v>
      </c>
      <c r="C751" t="s">
        <v>30</v>
      </c>
      <c r="D751" t="s">
        <v>26</v>
      </c>
      <c r="E751" t="s">
        <v>22</v>
      </c>
      <c r="F751">
        <v>938</v>
      </c>
      <c r="G751" s="1">
        <v>49452</v>
      </c>
      <c r="H751" s="2">
        <v>45280</v>
      </c>
      <c r="I751" t="s">
        <v>39</v>
      </c>
      <c r="J751" t="s">
        <v>788</v>
      </c>
      <c r="K751" t="s">
        <v>29</v>
      </c>
      <c r="L751" t="str">
        <f t="shared" si="66"/>
        <v>Dec</v>
      </c>
      <c r="M751" t="str">
        <f t="shared" si="67"/>
        <v>Q4</v>
      </c>
      <c r="N751" t="str">
        <f t="shared" si="68"/>
        <v>High</v>
      </c>
      <c r="O751">
        <f>_xlfn.XLOOKUP(I751,Helper_Table!A:A,Helper_Table!B:B)</f>
        <v>1.1000000000000001</v>
      </c>
      <c r="P751" s="1">
        <f t="shared" si="69"/>
        <v>54397.200000000004</v>
      </c>
      <c r="Q751" s="4">
        <f t="shared" si="70"/>
        <v>0.90909090909090906</v>
      </c>
      <c r="R751" t="str">
        <f t="shared" si="71"/>
        <v>Below Target</v>
      </c>
    </row>
    <row r="752" spans="1:18">
      <c r="A752" t="s">
        <v>11</v>
      </c>
      <c r="B752" t="s">
        <v>12</v>
      </c>
      <c r="C752" t="s">
        <v>30</v>
      </c>
      <c r="D752" t="s">
        <v>14</v>
      </c>
      <c r="E752" t="s">
        <v>15</v>
      </c>
      <c r="F752">
        <v>1140</v>
      </c>
      <c r="G752" s="1">
        <v>37493</v>
      </c>
      <c r="H752" s="2">
        <v>45170</v>
      </c>
      <c r="I752" t="s">
        <v>41</v>
      </c>
      <c r="J752" t="s">
        <v>789</v>
      </c>
      <c r="K752" t="s">
        <v>29</v>
      </c>
      <c r="L752" t="str">
        <f t="shared" si="66"/>
        <v>Sep</v>
      </c>
      <c r="M752" t="str">
        <f t="shared" si="67"/>
        <v>Q3</v>
      </c>
      <c r="N752" t="str">
        <f t="shared" si="68"/>
        <v>Medium</v>
      </c>
      <c r="O752">
        <f>_xlfn.XLOOKUP(I752,Helper_Table!A:A,Helper_Table!B:B)</f>
        <v>1.2</v>
      </c>
      <c r="P752" s="1">
        <f t="shared" si="69"/>
        <v>44991.6</v>
      </c>
      <c r="Q752" s="4">
        <f t="shared" si="70"/>
        <v>0.83333333333333337</v>
      </c>
      <c r="R752" t="str">
        <f t="shared" si="71"/>
        <v>Below Target</v>
      </c>
    </row>
    <row r="753" spans="1:18">
      <c r="A753" t="s">
        <v>64</v>
      </c>
      <c r="B753" t="s">
        <v>36</v>
      </c>
      <c r="C753" t="s">
        <v>20</v>
      </c>
      <c r="D753" t="s">
        <v>66</v>
      </c>
      <c r="E753" t="s">
        <v>38</v>
      </c>
      <c r="F753">
        <v>493</v>
      </c>
      <c r="G753" s="1">
        <v>37610</v>
      </c>
      <c r="H753" s="2">
        <v>45190</v>
      </c>
      <c r="I753" t="s">
        <v>39</v>
      </c>
      <c r="J753" t="s">
        <v>790</v>
      </c>
      <c r="K753" t="s">
        <v>29</v>
      </c>
      <c r="L753" t="str">
        <f t="shared" si="66"/>
        <v>Sep</v>
      </c>
      <c r="M753" t="str">
        <f t="shared" si="67"/>
        <v>Q3</v>
      </c>
      <c r="N753" t="str">
        <f t="shared" si="68"/>
        <v>Medium</v>
      </c>
      <c r="O753">
        <f>_xlfn.XLOOKUP(I753,Helper_Table!A:A,Helper_Table!B:B)</f>
        <v>1.1000000000000001</v>
      </c>
      <c r="P753" s="1">
        <f t="shared" si="69"/>
        <v>41371</v>
      </c>
      <c r="Q753" s="4">
        <f t="shared" si="70"/>
        <v>0.90909090909090906</v>
      </c>
      <c r="R753" t="str">
        <f t="shared" si="71"/>
        <v>Below Target</v>
      </c>
    </row>
    <row r="754" spans="1:18">
      <c r="A754" t="s">
        <v>64</v>
      </c>
      <c r="B754" t="s">
        <v>49</v>
      </c>
      <c r="C754" t="s">
        <v>59</v>
      </c>
      <c r="D754" t="s">
        <v>66</v>
      </c>
      <c r="E754" t="s">
        <v>38</v>
      </c>
      <c r="F754">
        <v>1358</v>
      </c>
      <c r="G754" s="1">
        <v>3735</v>
      </c>
      <c r="H754" s="2">
        <v>45482</v>
      </c>
      <c r="I754" t="s">
        <v>39</v>
      </c>
      <c r="J754" t="s">
        <v>791</v>
      </c>
      <c r="K754" t="s">
        <v>18</v>
      </c>
      <c r="L754" t="str">
        <f t="shared" si="66"/>
        <v>Jul</v>
      </c>
      <c r="M754" t="str">
        <f t="shared" si="67"/>
        <v>Q3</v>
      </c>
      <c r="N754" t="str">
        <f t="shared" si="68"/>
        <v>Low</v>
      </c>
      <c r="O754">
        <f>_xlfn.XLOOKUP(I754,Helper_Table!A:A,Helper_Table!B:B)</f>
        <v>1.1000000000000001</v>
      </c>
      <c r="P754" s="1">
        <f t="shared" si="69"/>
        <v>4108.5</v>
      </c>
      <c r="Q754" s="4">
        <f t="shared" si="70"/>
        <v>0.90909090909090906</v>
      </c>
      <c r="R754" t="str">
        <f t="shared" si="71"/>
        <v>Below Target</v>
      </c>
    </row>
    <row r="755" spans="1:18">
      <c r="A755" t="s">
        <v>45</v>
      </c>
      <c r="B755" t="s">
        <v>51</v>
      </c>
      <c r="C755" t="s">
        <v>20</v>
      </c>
      <c r="D755" t="s">
        <v>21</v>
      </c>
      <c r="E755" t="s">
        <v>15</v>
      </c>
      <c r="F755">
        <v>269</v>
      </c>
      <c r="G755" s="1">
        <v>43198</v>
      </c>
      <c r="H755" s="2">
        <v>45209</v>
      </c>
      <c r="I755" t="s">
        <v>32</v>
      </c>
      <c r="J755" t="s">
        <v>792</v>
      </c>
      <c r="K755" t="s">
        <v>34</v>
      </c>
      <c r="L755" t="str">
        <f t="shared" si="66"/>
        <v>Oct</v>
      </c>
      <c r="M755" t="str">
        <f t="shared" si="67"/>
        <v>Q4</v>
      </c>
      <c r="N755" t="str">
        <f t="shared" si="68"/>
        <v>High</v>
      </c>
      <c r="O755">
        <f>_xlfn.XLOOKUP(I755,Helper_Table!A:A,Helper_Table!B:B)</f>
        <v>0.95</v>
      </c>
      <c r="P755" s="1">
        <f t="shared" si="69"/>
        <v>41038.1</v>
      </c>
      <c r="Q755" s="4">
        <f t="shared" si="70"/>
        <v>1.0526315789473684</v>
      </c>
      <c r="R755" t="str">
        <f t="shared" si="71"/>
        <v>Achieved</v>
      </c>
    </row>
    <row r="756" spans="1:18">
      <c r="A756" t="s">
        <v>11</v>
      </c>
      <c r="B756" t="s">
        <v>19</v>
      </c>
      <c r="C756" t="s">
        <v>20</v>
      </c>
      <c r="D756" t="s">
        <v>66</v>
      </c>
      <c r="E756">
        <v>30</v>
      </c>
      <c r="F756">
        <v>201</v>
      </c>
      <c r="G756" s="1">
        <v>24265</v>
      </c>
      <c r="H756" s="2">
        <v>45216</v>
      </c>
      <c r="I756" t="s">
        <v>32</v>
      </c>
      <c r="J756" t="s">
        <v>793</v>
      </c>
      <c r="K756" t="s">
        <v>44</v>
      </c>
      <c r="L756" t="str">
        <f t="shared" si="66"/>
        <v>Oct</v>
      </c>
      <c r="M756" t="str">
        <f t="shared" si="67"/>
        <v>Q4</v>
      </c>
      <c r="N756" t="str">
        <f t="shared" si="68"/>
        <v>Medium</v>
      </c>
      <c r="O756">
        <f>_xlfn.XLOOKUP(I756,Helper_Table!A:A,Helper_Table!B:B)</f>
        <v>0.95</v>
      </c>
      <c r="P756" s="1">
        <f t="shared" si="69"/>
        <v>23051.75</v>
      </c>
      <c r="Q756" s="4">
        <f t="shared" si="70"/>
        <v>1.0526315789473684</v>
      </c>
      <c r="R756" t="str">
        <f t="shared" si="71"/>
        <v>Achieved</v>
      </c>
    </row>
    <row r="757" spans="1:18">
      <c r="A757" t="s">
        <v>24</v>
      </c>
      <c r="B757" t="s">
        <v>49</v>
      </c>
      <c r="C757" t="s">
        <v>20</v>
      </c>
      <c r="D757" t="s">
        <v>26</v>
      </c>
      <c r="E757">
        <v>30</v>
      </c>
      <c r="F757">
        <v>1918</v>
      </c>
      <c r="G757" s="1">
        <v>16223</v>
      </c>
      <c r="H757" s="2">
        <v>45350</v>
      </c>
      <c r="I757" t="s">
        <v>32</v>
      </c>
      <c r="J757" t="s">
        <v>794</v>
      </c>
      <c r="K757" t="s">
        <v>29</v>
      </c>
      <c r="L757" t="str">
        <f t="shared" si="66"/>
        <v>Feb</v>
      </c>
      <c r="M757" t="str">
        <f t="shared" si="67"/>
        <v>Q1</v>
      </c>
      <c r="N757" t="str">
        <f t="shared" si="68"/>
        <v>Low</v>
      </c>
      <c r="O757">
        <f>_xlfn.XLOOKUP(I757,Helper_Table!A:A,Helper_Table!B:B)</f>
        <v>0.95</v>
      </c>
      <c r="P757" s="1">
        <f t="shared" si="69"/>
        <v>15411.849999999999</v>
      </c>
      <c r="Q757" s="4">
        <f t="shared" si="70"/>
        <v>1.0526315789473686</v>
      </c>
      <c r="R757" t="str">
        <f t="shared" si="71"/>
        <v>Achieved</v>
      </c>
    </row>
    <row r="758" spans="1:18">
      <c r="A758" t="s">
        <v>64</v>
      </c>
      <c r="B758" t="s">
        <v>12</v>
      </c>
      <c r="C758" t="s">
        <v>30</v>
      </c>
      <c r="D758" t="s">
        <v>14</v>
      </c>
      <c r="E758">
        <v>60</v>
      </c>
      <c r="F758">
        <v>1337</v>
      </c>
      <c r="G758" s="1">
        <v>12997</v>
      </c>
      <c r="H758" s="2">
        <v>45469</v>
      </c>
      <c r="I758" t="s">
        <v>39</v>
      </c>
      <c r="J758" t="s">
        <v>795</v>
      </c>
      <c r="K758" t="s">
        <v>47</v>
      </c>
      <c r="L758" t="str">
        <f t="shared" si="66"/>
        <v>Jun</v>
      </c>
      <c r="M758" t="str">
        <f t="shared" si="67"/>
        <v>Q2</v>
      </c>
      <c r="N758" t="str">
        <f t="shared" si="68"/>
        <v>Low</v>
      </c>
      <c r="O758">
        <f>_xlfn.XLOOKUP(I758,Helper_Table!A:A,Helper_Table!B:B)</f>
        <v>1.1000000000000001</v>
      </c>
      <c r="P758" s="1">
        <f t="shared" si="69"/>
        <v>14296.7</v>
      </c>
      <c r="Q758" s="4">
        <f t="shared" si="70"/>
        <v>0.90909090909090906</v>
      </c>
      <c r="R758" t="str">
        <f t="shared" si="71"/>
        <v>Below Target</v>
      </c>
    </row>
    <row r="759" spans="1:18">
      <c r="A759" t="s">
        <v>64</v>
      </c>
      <c r="B759" t="s">
        <v>19</v>
      </c>
      <c r="C759" t="s">
        <v>59</v>
      </c>
      <c r="D759" t="s">
        <v>14</v>
      </c>
      <c r="E759" t="s">
        <v>22</v>
      </c>
      <c r="F759">
        <v>483</v>
      </c>
      <c r="G759" s="1">
        <v>25162</v>
      </c>
      <c r="H759" s="2">
        <v>45138</v>
      </c>
      <c r="I759" t="s">
        <v>27</v>
      </c>
      <c r="J759" t="s">
        <v>796</v>
      </c>
      <c r="K759" t="s">
        <v>47</v>
      </c>
      <c r="L759" t="str">
        <f t="shared" si="66"/>
        <v>Jul</v>
      </c>
      <c r="M759" t="str">
        <f t="shared" si="67"/>
        <v>Q3</v>
      </c>
      <c r="N759" t="str">
        <f t="shared" si="68"/>
        <v>Medium</v>
      </c>
      <c r="O759">
        <f>_xlfn.XLOOKUP(I759,Helper_Table!A:A,Helper_Table!B:B)</f>
        <v>0.9</v>
      </c>
      <c r="P759" s="1">
        <f t="shared" si="69"/>
        <v>22645.8</v>
      </c>
      <c r="Q759" s="4">
        <f t="shared" si="70"/>
        <v>1.1111111111111112</v>
      </c>
      <c r="R759" t="str">
        <f t="shared" si="71"/>
        <v>Achieved</v>
      </c>
    </row>
    <row r="760" spans="1:18">
      <c r="A760" t="s">
        <v>45</v>
      </c>
      <c r="B760" t="s">
        <v>49</v>
      </c>
      <c r="C760" t="s">
        <v>30</v>
      </c>
      <c r="D760" t="s">
        <v>21</v>
      </c>
      <c r="E760" t="s">
        <v>15</v>
      </c>
      <c r="F760">
        <v>105</v>
      </c>
      <c r="G760" s="1">
        <v>31985</v>
      </c>
      <c r="H760" s="2">
        <v>45490</v>
      </c>
      <c r="I760" t="s">
        <v>16</v>
      </c>
      <c r="J760" t="s">
        <v>797</v>
      </c>
      <c r="K760" t="s">
        <v>47</v>
      </c>
      <c r="L760" t="str">
        <f t="shared" si="66"/>
        <v>Jul</v>
      </c>
      <c r="M760" t="str">
        <f t="shared" si="67"/>
        <v>Q3</v>
      </c>
      <c r="N760" t="str">
        <f t="shared" si="68"/>
        <v>Medium</v>
      </c>
      <c r="O760">
        <f>_xlfn.XLOOKUP(I760,Helper_Table!A:A,Helper_Table!B:B)</f>
        <v>1.1000000000000001</v>
      </c>
      <c r="P760" s="1">
        <f t="shared" si="69"/>
        <v>35183.5</v>
      </c>
      <c r="Q760" s="4">
        <f t="shared" si="70"/>
        <v>0.90909090909090906</v>
      </c>
      <c r="R760" t="str">
        <f t="shared" si="71"/>
        <v>Below Target</v>
      </c>
    </row>
    <row r="761" spans="1:18">
      <c r="A761" t="s">
        <v>24</v>
      </c>
      <c r="B761" t="s">
        <v>36</v>
      </c>
      <c r="C761" t="s">
        <v>20</v>
      </c>
      <c r="D761" t="s">
        <v>26</v>
      </c>
      <c r="E761">
        <v>60</v>
      </c>
      <c r="F761">
        <v>1760</v>
      </c>
      <c r="G761" s="1">
        <v>24924</v>
      </c>
      <c r="H761" s="2">
        <v>45257</v>
      </c>
      <c r="I761" t="s">
        <v>39</v>
      </c>
      <c r="J761" t="s">
        <v>798</v>
      </c>
      <c r="K761" t="s">
        <v>44</v>
      </c>
      <c r="L761" t="str">
        <f t="shared" si="66"/>
        <v>Nov</v>
      </c>
      <c r="M761" t="str">
        <f t="shared" si="67"/>
        <v>Q4</v>
      </c>
      <c r="N761" t="str">
        <f t="shared" si="68"/>
        <v>Medium</v>
      </c>
      <c r="O761">
        <f>_xlfn.XLOOKUP(I761,Helper_Table!A:A,Helper_Table!B:B)</f>
        <v>1.1000000000000001</v>
      </c>
      <c r="P761" s="1">
        <f t="shared" si="69"/>
        <v>27416.400000000001</v>
      </c>
      <c r="Q761" s="4">
        <f t="shared" si="70"/>
        <v>0.90909090909090906</v>
      </c>
      <c r="R761" t="str">
        <f t="shared" si="71"/>
        <v>Below Target</v>
      </c>
    </row>
    <row r="762" spans="1:18">
      <c r="A762" t="s">
        <v>45</v>
      </c>
      <c r="B762" t="s">
        <v>19</v>
      </c>
      <c r="C762" t="s">
        <v>20</v>
      </c>
      <c r="D762" t="s">
        <v>31</v>
      </c>
      <c r="E762">
        <v>60</v>
      </c>
      <c r="F762">
        <v>835</v>
      </c>
      <c r="G762" s="1">
        <v>35184</v>
      </c>
      <c r="H762" s="2">
        <v>45489</v>
      </c>
      <c r="I762" t="s">
        <v>41</v>
      </c>
      <c r="J762" t="s">
        <v>799</v>
      </c>
      <c r="K762" t="s">
        <v>47</v>
      </c>
      <c r="L762" t="str">
        <f t="shared" si="66"/>
        <v>Jul</v>
      </c>
      <c r="M762" t="str">
        <f t="shared" si="67"/>
        <v>Q3</v>
      </c>
      <c r="N762" t="str">
        <f t="shared" si="68"/>
        <v>Medium</v>
      </c>
      <c r="O762">
        <f>_xlfn.XLOOKUP(I762,Helper_Table!A:A,Helper_Table!B:B)</f>
        <v>1.2</v>
      </c>
      <c r="P762" s="1">
        <f t="shared" si="69"/>
        <v>42220.799999999996</v>
      </c>
      <c r="Q762" s="4">
        <f t="shared" si="70"/>
        <v>0.83333333333333337</v>
      </c>
      <c r="R762" t="str">
        <f t="shared" si="71"/>
        <v>Below Target</v>
      </c>
    </row>
    <row r="763" spans="1:18">
      <c r="A763" t="s">
        <v>11</v>
      </c>
      <c r="B763" t="s">
        <v>49</v>
      </c>
      <c r="C763" t="s">
        <v>30</v>
      </c>
      <c r="D763" t="s">
        <v>26</v>
      </c>
      <c r="E763" t="s">
        <v>38</v>
      </c>
      <c r="F763">
        <v>122</v>
      </c>
      <c r="G763" s="1">
        <v>7349</v>
      </c>
      <c r="H763" s="2">
        <v>45310</v>
      </c>
      <c r="I763" t="s">
        <v>39</v>
      </c>
      <c r="J763" t="s">
        <v>800</v>
      </c>
      <c r="K763" t="s">
        <v>34</v>
      </c>
      <c r="L763" t="str">
        <f t="shared" si="66"/>
        <v>Jan</v>
      </c>
      <c r="M763" t="str">
        <f t="shared" si="67"/>
        <v>Q1</v>
      </c>
      <c r="N763" t="str">
        <f t="shared" si="68"/>
        <v>Low</v>
      </c>
      <c r="O763">
        <f>_xlfn.XLOOKUP(I763,Helper_Table!A:A,Helper_Table!B:B)</f>
        <v>1.1000000000000001</v>
      </c>
      <c r="P763" s="1">
        <f t="shared" si="69"/>
        <v>8083.9000000000005</v>
      </c>
      <c r="Q763" s="4">
        <f t="shared" si="70"/>
        <v>0.90909090909090906</v>
      </c>
      <c r="R763" t="str">
        <f t="shared" si="71"/>
        <v>Below Target</v>
      </c>
    </row>
    <row r="764" spans="1:18">
      <c r="A764" t="s">
        <v>35</v>
      </c>
      <c r="B764" t="s">
        <v>49</v>
      </c>
      <c r="C764" t="s">
        <v>59</v>
      </c>
      <c r="D764" t="s">
        <v>66</v>
      </c>
      <c r="E764">
        <v>30</v>
      </c>
      <c r="F764">
        <v>1415</v>
      </c>
      <c r="G764" s="1">
        <v>41330</v>
      </c>
      <c r="H764" s="2">
        <v>45417</v>
      </c>
      <c r="I764" t="s">
        <v>39</v>
      </c>
      <c r="J764" t="s">
        <v>801</v>
      </c>
      <c r="K764" t="s">
        <v>34</v>
      </c>
      <c r="L764" t="str">
        <f t="shared" si="66"/>
        <v>May</v>
      </c>
      <c r="M764" t="str">
        <f t="shared" si="67"/>
        <v>Q2</v>
      </c>
      <c r="N764" t="str">
        <f t="shared" si="68"/>
        <v>High</v>
      </c>
      <c r="O764">
        <f>_xlfn.XLOOKUP(I764,Helper_Table!A:A,Helper_Table!B:B)</f>
        <v>1.1000000000000001</v>
      </c>
      <c r="P764" s="1">
        <f t="shared" si="69"/>
        <v>45463.000000000007</v>
      </c>
      <c r="Q764" s="4">
        <f t="shared" si="70"/>
        <v>0.90909090909090895</v>
      </c>
      <c r="R764" t="str">
        <f t="shared" si="71"/>
        <v>Below Target</v>
      </c>
    </row>
    <row r="765" spans="1:18">
      <c r="A765" t="s">
        <v>24</v>
      </c>
      <c r="B765" t="s">
        <v>12</v>
      </c>
      <c r="C765" t="s">
        <v>13</v>
      </c>
      <c r="D765" t="s">
        <v>14</v>
      </c>
      <c r="E765" t="s">
        <v>15</v>
      </c>
      <c r="F765">
        <v>1993</v>
      </c>
      <c r="G765" s="1">
        <v>5212</v>
      </c>
      <c r="H765" s="2">
        <v>45355</v>
      </c>
      <c r="I765" t="s">
        <v>27</v>
      </c>
      <c r="J765" t="s">
        <v>802</v>
      </c>
      <c r="K765" t="s">
        <v>18</v>
      </c>
      <c r="L765" t="str">
        <f t="shared" si="66"/>
        <v>Mar</v>
      </c>
      <c r="M765" t="str">
        <f t="shared" si="67"/>
        <v>Q1</v>
      </c>
      <c r="N765" t="str">
        <f t="shared" si="68"/>
        <v>Low</v>
      </c>
      <c r="O765">
        <f>_xlfn.XLOOKUP(I765,Helper_Table!A:A,Helper_Table!B:B)</f>
        <v>0.9</v>
      </c>
      <c r="P765" s="1">
        <f t="shared" si="69"/>
        <v>4690.8</v>
      </c>
      <c r="Q765" s="4">
        <f t="shared" si="70"/>
        <v>1.1111111111111112</v>
      </c>
      <c r="R765" t="str">
        <f t="shared" si="71"/>
        <v>Achieved</v>
      </c>
    </row>
    <row r="766" spans="1:18">
      <c r="A766" t="s">
        <v>24</v>
      </c>
      <c r="B766" t="s">
        <v>19</v>
      </c>
      <c r="C766" t="s">
        <v>13</v>
      </c>
      <c r="D766" t="s">
        <v>21</v>
      </c>
      <c r="E766" t="s">
        <v>15</v>
      </c>
      <c r="F766">
        <v>958</v>
      </c>
      <c r="G766" s="1">
        <v>15537</v>
      </c>
      <c r="H766" s="2">
        <v>45415</v>
      </c>
      <c r="I766" t="s">
        <v>41</v>
      </c>
      <c r="J766" t="s">
        <v>803</v>
      </c>
      <c r="K766" t="s">
        <v>18</v>
      </c>
      <c r="L766" t="str">
        <f t="shared" si="66"/>
        <v>May</v>
      </c>
      <c r="M766" t="str">
        <f t="shared" si="67"/>
        <v>Q2</v>
      </c>
      <c r="N766" t="str">
        <f t="shared" si="68"/>
        <v>Low</v>
      </c>
      <c r="O766">
        <f>_xlfn.XLOOKUP(I766,Helper_Table!A:A,Helper_Table!B:B)</f>
        <v>1.2</v>
      </c>
      <c r="P766" s="1">
        <f t="shared" si="69"/>
        <v>18644.399999999998</v>
      </c>
      <c r="Q766" s="4">
        <f t="shared" si="70"/>
        <v>0.83333333333333348</v>
      </c>
      <c r="R766" t="str">
        <f t="shared" si="71"/>
        <v>Below Target</v>
      </c>
    </row>
    <row r="767" spans="1:18">
      <c r="A767" t="s">
        <v>45</v>
      </c>
      <c r="B767" t="s">
        <v>12</v>
      </c>
      <c r="C767" t="s">
        <v>30</v>
      </c>
      <c r="D767" t="s">
        <v>26</v>
      </c>
      <c r="E767" t="s">
        <v>38</v>
      </c>
      <c r="F767">
        <v>1616</v>
      </c>
      <c r="G767" s="1">
        <v>15777</v>
      </c>
      <c r="H767" s="2">
        <v>45148</v>
      </c>
      <c r="I767" t="s">
        <v>41</v>
      </c>
      <c r="J767" t="s">
        <v>804</v>
      </c>
      <c r="K767" t="s">
        <v>18</v>
      </c>
      <c r="L767" t="str">
        <f t="shared" si="66"/>
        <v>Aug</v>
      </c>
      <c r="M767" t="str">
        <f t="shared" si="67"/>
        <v>Q3</v>
      </c>
      <c r="N767" t="str">
        <f t="shared" si="68"/>
        <v>Low</v>
      </c>
      <c r="O767">
        <f>_xlfn.XLOOKUP(I767,Helper_Table!A:A,Helper_Table!B:B)</f>
        <v>1.2</v>
      </c>
      <c r="P767" s="1">
        <f t="shared" si="69"/>
        <v>18932.399999999998</v>
      </c>
      <c r="Q767" s="4">
        <f t="shared" si="70"/>
        <v>0.83333333333333348</v>
      </c>
      <c r="R767" t="str">
        <f t="shared" si="71"/>
        <v>Below Target</v>
      </c>
    </row>
    <row r="768" spans="1:18">
      <c r="A768" t="s">
        <v>24</v>
      </c>
      <c r="B768" t="s">
        <v>12</v>
      </c>
      <c r="C768" t="s">
        <v>59</v>
      </c>
      <c r="D768" t="s">
        <v>14</v>
      </c>
      <c r="E768" t="s">
        <v>15</v>
      </c>
      <c r="F768">
        <v>922</v>
      </c>
      <c r="G768" s="1">
        <v>32819</v>
      </c>
      <c r="H768" s="2">
        <v>45315</v>
      </c>
      <c r="I768" t="s">
        <v>39</v>
      </c>
      <c r="J768" t="s">
        <v>805</v>
      </c>
      <c r="K768" t="s">
        <v>34</v>
      </c>
      <c r="L768" t="str">
        <f t="shared" si="66"/>
        <v>Jan</v>
      </c>
      <c r="M768" t="str">
        <f t="shared" si="67"/>
        <v>Q1</v>
      </c>
      <c r="N768" t="str">
        <f t="shared" si="68"/>
        <v>Medium</v>
      </c>
      <c r="O768">
        <f>_xlfn.XLOOKUP(I768,Helper_Table!A:A,Helper_Table!B:B)</f>
        <v>1.1000000000000001</v>
      </c>
      <c r="P768" s="1">
        <f t="shared" si="69"/>
        <v>36100.9</v>
      </c>
      <c r="Q768" s="4">
        <f t="shared" si="70"/>
        <v>0.90909090909090906</v>
      </c>
      <c r="R768" t="str">
        <f t="shared" si="71"/>
        <v>Below Target</v>
      </c>
    </row>
    <row r="769" spans="1:18">
      <c r="A769" t="s">
        <v>11</v>
      </c>
      <c r="B769" t="s">
        <v>12</v>
      </c>
      <c r="C769" t="s">
        <v>20</v>
      </c>
      <c r="D769" t="s">
        <v>31</v>
      </c>
      <c r="E769">
        <v>30</v>
      </c>
      <c r="F769">
        <v>580</v>
      </c>
      <c r="G769" s="1">
        <v>41566</v>
      </c>
      <c r="H769" s="2">
        <v>45466</v>
      </c>
      <c r="I769" t="s">
        <v>27</v>
      </c>
      <c r="J769" t="s">
        <v>806</v>
      </c>
      <c r="K769" t="s">
        <v>29</v>
      </c>
      <c r="L769" t="str">
        <f t="shared" si="66"/>
        <v>Jun</v>
      </c>
      <c r="M769" t="str">
        <f t="shared" si="67"/>
        <v>Q2</v>
      </c>
      <c r="N769" t="str">
        <f t="shared" si="68"/>
        <v>High</v>
      </c>
      <c r="O769">
        <f>_xlfn.XLOOKUP(I769,Helper_Table!A:A,Helper_Table!B:B)</f>
        <v>0.9</v>
      </c>
      <c r="P769" s="1">
        <f t="shared" si="69"/>
        <v>37409.4</v>
      </c>
      <c r="Q769" s="4">
        <f t="shared" si="70"/>
        <v>1.1111111111111112</v>
      </c>
      <c r="R769" t="str">
        <f t="shared" si="71"/>
        <v>Achieved</v>
      </c>
    </row>
    <row r="770" spans="1:18">
      <c r="A770" t="s">
        <v>11</v>
      </c>
      <c r="B770" t="s">
        <v>19</v>
      </c>
      <c r="C770" t="s">
        <v>13</v>
      </c>
      <c r="D770" t="s">
        <v>66</v>
      </c>
      <c r="E770" t="s">
        <v>22</v>
      </c>
      <c r="F770">
        <v>561</v>
      </c>
      <c r="G770" s="1">
        <v>42268</v>
      </c>
      <c r="H770" s="2">
        <v>45424</v>
      </c>
      <c r="I770" t="s">
        <v>32</v>
      </c>
      <c r="J770" t="s">
        <v>807</v>
      </c>
      <c r="K770" t="s">
        <v>47</v>
      </c>
      <c r="L770" t="str">
        <f t="shared" ref="L770:L833" si="72">TEXT(H770,"MMM")</f>
        <v>May</v>
      </c>
      <c r="M770" t="str">
        <f t="shared" ref="M770:M833" si="73">"Q"&amp;ROUNDUP(MONTH(H770)/3,0)</f>
        <v>Q2</v>
      </c>
      <c r="N770" t="str">
        <f t="shared" ref="N770:N833" si="74">IF(G770&gt;40000,"High",
IF(G770&gt;20000,"Medium","Low"))</f>
        <v>High</v>
      </c>
      <c r="O770">
        <f>_xlfn.XLOOKUP(I770,Helper_Table!A:A,Helper_Table!B:B)</f>
        <v>0.95</v>
      </c>
      <c r="P770" s="1">
        <f t="shared" ref="P770:P833" si="75">G770*O770</f>
        <v>40154.6</v>
      </c>
      <c r="Q770" s="4">
        <f t="shared" ref="Q770:Q833" si="76">G770/P770</f>
        <v>1.0526315789473684</v>
      </c>
      <c r="R770" t="str">
        <f t="shared" ref="R770:R833" si="77">IF(Q770&gt;=1,"Achieved","Below Target")</f>
        <v>Achieved</v>
      </c>
    </row>
    <row r="771" spans="1:18">
      <c r="A771" t="s">
        <v>35</v>
      </c>
      <c r="B771" t="s">
        <v>12</v>
      </c>
      <c r="C771" t="s">
        <v>25</v>
      </c>
      <c r="D771" t="s">
        <v>26</v>
      </c>
      <c r="E771">
        <v>30</v>
      </c>
      <c r="F771">
        <v>1709</v>
      </c>
      <c r="G771" s="1">
        <v>28361</v>
      </c>
      <c r="H771" s="2">
        <v>45416</v>
      </c>
      <c r="I771" t="s">
        <v>16</v>
      </c>
      <c r="J771" t="s">
        <v>808</v>
      </c>
      <c r="K771" t="s">
        <v>34</v>
      </c>
      <c r="L771" t="str">
        <f t="shared" si="72"/>
        <v>May</v>
      </c>
      <c r="M771" t="str">
        <f t="shared" si="73"/>
        <v>Q2</v>
      </c>
      <c r="N771" t="str">
        <f t="shared" si="74"/>
        <v>Medium</v>
      </c>
      <c r="O771">
        <f>_xlfn.XLOOKUP(I771,Helper_Table!A:A,Helper_Table!B:B)</f>
        <v>1.1000000000000001</v>
      </c>
      <c r="P771" s="1">
        <f t="shared" si="75"/>
        <v>31197.100000000002</v>
      </c>
      <c r="Q771" s="4">
        <f t="shared" si="76"/>
        <v>0.90909090909090906</v>
      </c>
      <c r="R771" t="str">
        <f t="shared" si="77"/>
        <v>Below Target</v>
      </c>
    </row>
    <row r="772" spans="1:18">
      <c r="A772" t="s">
        <v>35</v>
      </c>
      <c r="B772" t="s">
        <v>49</v>
      </c>
      <c r="C772" t="s">
        <v>13</v>
      </c>
      <c r="D772" t="s">
        <v>21</v>
      </c>
      <c r="E772" t="s">
        <v>15</v>
      </c>
      <c r="F772">
        <v>1662</v>
      </c>
      <c r="G772" s="1">
        <v>43524</v>
      </c>
      <c r="H772" s="2">
        <v>45404</v>
      </c>
      <c r="I772" t="s">
        <v>39</v>
      </c>
      <c r="J772" t="s">
        <v>809</v>
      </c>
      <c r="K772" t="s">
        <v>34</v>
      </c>
      <c r="L772" t="str">
        <f t="shared" si="72"/>
        <v>Apr</v>
      </c>
      <c r="M772" t="str">
        <f t="shared" si="73"/>
        <v>Q2</v>
      </c>
      <c r="N772" t="str">
        <f t="shared" si="74"/>
        <v>High</v>
      </c>
      <c r="O772">
        <f>_xlfn.XLOOKUP(I772,Helper_Table!A:A,Helper_Table!B:B)</f>
        <v>1.1000000000000001</v>
      </c>
      <c r="P772" s="1">
        <f t="shared" si="75"/>
        <v>47876.4</v>
      </c>
      <c r="Q772" s="4">
        <f t="shared" si="76"/>
        <v>0.90909090909090906</v>
      </c>
      <c r="R772" t="str">
        <f t="shared" si="77"/>
        <v>Below Target</v>
      </c>
    </row>
    <row r="773" spans="1:18">
      <c r="A773" t="s">
        <v>64</v>
      </c>
      <c r="B773" t="s">
        <v>19</v>
      </c>
      <c r="C773" t="s">
        <v>59</v>
      </c>
      <c r="D773" t="s">
        <v>21</v>
      </c>
      <c r="E773">
        <v>30</v>
      </c>
      <c r="F773">
        <v>643</v>
      </c>
      <c r="G773" s="1">
        <v>42567</v>
      </c>
      <c r="H773" s="2">
        <v>45237</v>
      </c>
      <c r="I773" t="s">
        <v>16</v>
      </c>
      <c r="J773" t="s">
        <v>810</v>
      </c>
      <c r="K773" t="s">
        <v>29</v>
      </c>
      <c r="L773" t="str">
        <f t="shared" si="72"/>
        <v>Nov</v>
      </c>
      <c r="M773" t="str">
        <f t="shared" si="73"/>
        <v>Q4</v>
      </c>
      <c r="N773" t="str">
        <f t="shared" si="74"/>
        <v>High</v>
      </c>
      <c r="O773">
        <f>_xlfn.XLOOKUP(I773,Helper_Table!A:A,Helper_Table!B:B)</f>
        <v>1.1000000000000001</v>
      </c>
      <c r="P773" s="1">
        <f t="shared" si="75"/>
        <v>46823.700000000004</v>
      </c>
      <c r="Q773" s="4">
        <f t="shared" si="76"/>
        <v>0.90909090909090906</v>
      </c>
      <c r="R773" t="str">
        <f t="shared" si="77"/>
        <v>Below Target</v>
      </c>
    </row>
    <row r="774" spans="1:18">
      <c r="A774" t="s">
        <v>45</v>
      </c>
      <c r="B774" t="s">
        <v>19</v>
      </c>
      <c r="C774" t="s">
        <v>25</v>
      </c>
      <c r="D774" t="s">
        <v>14</v>
      </c>
      <c r="E774" t="s">
        <v>38</v>
      </c>
      <c r="F774">
        <v>1618</v>
      </c>
      <c r="G774" s="1">
        <v>11577</v>
      </c>
      <c r="H774" s="2">
        <v>45478</v>
      </c>
      <c r="I774" t="s">
        <v>41</v>
      </c>
      <c r="J774" t="s">
        <v>811</v>
      </c>
      <c r="K774" t="s">
        <v>44</v>
      </c>
      <c r="L774" t="str">
        <f t="shared" si="72"/>
        <v>Jul</v>
      </c>
      <c r="M774" t="str">
        <f t="shared" si="73"/>
        <v>Q3</v>
      </c>
      <c r="N774" t="str">
        <f t="shared" si="74"/>
        <v>Low</v>
      </c>
      <c r="O774">
        <f>_xlfn.XLOOKUP(I774,Helper_Table!A:A,Helper_Table!B:B)</f>
        <v>1.2</v>
      </c>
      <c r="P774" s="1">
        <f t="shared" si="75"/>
        <v>13892.4</v>
      </c>
      <c r="Q774" s="4">
        <f t="shared" si="76"/>
        <v>0.83333333333333337</v>
      </c>
      <c r="R774" t="str">
        <f t="shared" si="77"/>
        <v>Below Target</v>
      </c>
    </row>
    <row r="775" spans="1:18">
      <c r="A775" t="s">
        <v>11</v>
      </c>
      <c r="B775" t="s">
        <v>12</v>
      </c>
      <c r="C775" t="s">
        <v>20</v>
      </c>
      <c r="D775" t="s">
        <v>21</v>
      </c>
      <c r="E775">
        <v>60</v>
      </c>
      <c r="F775">
        <v>1616</v>
      </c>
      <c r="G775" s="1">
        <v>21763</v>
      </c>
      <c r="H775" s="2">
        <v>45488</v>
      </c>
      <c r="I775" t="s">
        <v>39</v>
      </c>
      <c r="J775" t="s">
        <v>812</v>
      </c>
      <c r="K775" t="s">
        <v>18</v>
      </c>
      <c r="L775" t="str">
        <f t="shared" si="72"/>
        <v>Jul</v>
      </c>
      <c r="M775" t="str">
        <f t="shared" si="73"/>
        <v>Q3</v>
      </c>
      <c r="N775" t="str">
        <f t="shared" si="74"/>
        <v>Medium</v>
      </c>
      <c r="O775">
        <f>_xlfn.XLOOKUP(I775,Helper_Table!A:A,Helper_Table!B:B)</f>
        <v>1.1000000000000001</v>
      </c>
      <c r="P775" s="1">
        <f t="shared" si="75"/>
        <v>23939.300000000003</v>
      </c>
      <c r="Q775" s="4">
        <f t="shared" si="76"/>
        <v>0.90909090909090895</v>
      </c>
      <c r="R775" t="str">
        <f t="shared" si="77"/>
        <v>Below Target</v>
      </c>
    </row>
    <row r="776" spans="1:18">
      <c r="A776" t="s">
        <v>11</v>
      </c>
      <c r="B776" t="s">
        <v>19</v>
      </c>
      <c r="C776" t="s">
        <v>30</v>
      </c>
      <c r="D776" t="s">
        <v>26</v>
      </c>
      <c r="E776">
        <v>60</v>
      </c>
      <c r="F776">
        <v>1817</v>
      </c>
      <c r="G776" s="1">
        <v>36872</v>
      </c>
      <c r="H776" s="2">
        <v>45454</v>
      </c>
      <c r="I776" t="s">
        <v>41</v>
      </c>
      <c r="J776" t="s">
        <v>813</v>
      </c>
      <c r="K776" t="s">
        <v>29</v>
      </c>
      <c r="L776" t="str">
        <f t="shared" si="72"/>
        <v>Jun</v>
      </c>
      <c r="M776" t="str">
        <f t="shared" si="73"/>
        <v>Q2</v>
      </c>
      <c r="N776" t="str">
        <f t="shared" si="74"/>
        <v>Medium</v>
      </c>
      <c r="O776">
        <f>_xlfn.XLOOKUP(I776,Helper_Table!A:A,Helper_Table!B:B)</f>
        <v>1.2</v>
      </c>
      <c r="P776" s="1">
        <f t="shared" si="75"/>
        <v>44246.400000000001</v>
      </c>
      <c r="Q776" s="4">
        <f t="shared" si="76"/>
        <v>0.83333333333333326</v>
      </c>
      <c r="R776" t="str">
        <f t="shared" si="77"/>
        <v>Below Target</v>
      </c>
    </row>
    <row r="777" spans="1:18">
      <c r="A777" t="s">
        <v>64</v>
      </c>
      <c r="B777" t="s">
        <v>51</v>
      </c>
      <c r="C777" t="s">
        <v>59</v>
      </c>
      <c r="D777" t="s">
        <v>31</v>
      </c>
      <c r="E777" t="s">
        <v>22</v>
      </c>
      <c r="F777">
        <v>280</v>
      </c>
      <c r="G777" s="1">
        <v>29505</v>
      </c>
      <c r="H777" s="2">
        <v>45136</v>
      </c>
      <c r="I777" t="s">
        <v>41</v>
      </c>
      <c r="J777" t="s">
        <v>814</v>
      </c>
      <c r="K777" t="s">
        <v>47</v>
      </c>
      <c r="L777" t="str">
        <f t="shared" si="72"/>
        <v>Jul</v>
      </c>
      <c r="M777" t="str">
        <f t="shared" si="73"/>
        <v>Q3</v>
      </c>
      <c r="N777" t="str">
        <f t="shared" si="74"/>
        <v>Medium</v>
      </c>
      <c r="O777">
        <f>_xlfn.XLOOKUP(I777,Helper_Table!A:A,Helper_Table!B:B)</f>
        <v>1.2</v>
      </c>
      <c r="P777" s="1">
        <f t="shared" si="75"/>
        <v>35406</v>
      </c>
      <c r="Q777" s="4">
        <f t="shared" si="76"/>
        <v>0.83333333333333337</v>
      </c>
      <c r="R777" t="str">
        <f t="shared" si="77"/>
        <v>Below Target</v>
      </c>
    </row>
    <row r="778" spans="1:18">
      <c r="A778" t="s">
        <v>35</v>
      </c>
      <c r="B778" t="s">
        <v>12</v>
      </c>
      <c r="C778" t="s">
        <v>20</v>
      </c>
      <c r="D778" t="s">
        <v>14</v>
      </c>
      <c r="E778" t="s">
        <v>38</v>
      </c>
      <c r="F778">
        <v>519</v>
      </c>
      <c r="G778" s="1">
        <v>3961</v>
      </c>
      <c r="H778" s="2">
        <v>45200</v>
      </c>
      <c r="I778" t="s">
        <v>41</v>
      </c>
      <c r="J778" t="s">
        <v>815</v>
      </c>
      <c r="K778" t="s">
        <v>44</v>
      </c>
      <c r="L778" t="str">
        <f t="shared" si="72"/>
        <v>Oct</v>
      </c>
      <c r="M778" t="str">
        <f t="shared" si="73"/>
        <v>Q4</v>
      </c>
      <c r="N778" t="str">
        <f t="shared" si="74"/>
        <v>Low</v>
      </c>
      <c r="O778">
        <f>_xlfn.XLOOKUP(I778,Helper_Table!A:A,Helper_Table!B:B)</f>
        <v>1.2</v>
      </c>
      <c r="P778" s="1">
        <f t="shared" si="75"/>
        <v>4753.2</v>
      </c>
      <c r="Q778" s="4">
        <f t="shared" si="76"/>
        <v>0.83333333333333337</v>
      </c>
      <c r="R778" t="str">
        <f t="shared" si="77"/>
        <v>Below Target</v>
      </c>
    </row>
    <row r="779" spans="1:18">
      <c r="A779" t="s">
        <v>35</v>
      </c>
      <c r="B779" t="s">
        <v>12</v>
      </c>
      <c r="C779" t="s">
        <v>25</v>
      </c>
      <c r="D779" t="s">
        <v>66</v>
      </c>
      <c r="E779" t="s">
        <v>38</v>
      </c>
      <c r="F779">
        <v>1355</v>
      </c>
      <c r="G779" s="1">
        <v>9822</v>
      </c>
      <c r="H779" s="2">
        <v>45204</v>
      </c>
      <c r="I779" t="s">
        <v>27</v>
      </c>
      <c r="J779" t="s">
        <v>816</v>
      </c>
      <c r="K779" t="s">
        <v>18</v>
      </c>
      <c r="L779" t="str">
        <f t="shared" si="72"/>
        <v>Oct</v>
      </c>
      <c r="M779" t="str">
        <f t="shared" si="73"/>
        <v>Q4</v>
      </c>
      <c r="N779" t="str">
        <f t="shared" si="74"/>
        <v>Low</v>
      </c>
      <c r="O779">
        <f>_xlfn.XLOOKUP(I779,Helper_Table!A:A,Helper_Table!B:B)</f>
        <v>0.9</v>
      </c>
      <c r="P779" s="1">
        <f t="shared" si="75"/>
        <v>8839.8000000000011</v>
      </c>
      <c r="Q779" s="4">
        <f t="shared" si="76"/>
        <v>1.1111111111111109</v>
      </c>
      <c r="R779" t="str">
        <f t="shared" si="77"/>
        <v>Achieved</v>
      </c>
    </row>
    <row r="780" spans="1:18">
      <c r="A780" t="s">
        <v>64</v>
      </c>
      <c r="B780" t="s">
        <v>36</v>
      </c>
      <c r="C780" t="s">
        <v>20</v>
      </c>
      <c r="D780" t="s">
        <v>21</v>
      </c>
      <c r="E780" t="s">
        <v>22</v>
      </c>
      <c r="F780">
        <v>1289</v>
      </c>
      <c r="G780" s="1">
        <v>40553</v>
      </c>
      <c r="H780" s="2">
        <v>45501</v>
      </c>
      <c r="I780" t="s">
        <v>39</v>
      </c>
      <c r="J780" t="s">
        <v>817</v>
      </c>
      <c r="K780" t="s">
        <v>29</v>
      </c>
      <c r="L780" t="str">
        <f t="shared" si="72"/>
        <v>Jul</v>
      </c>
      <c r="M780" t="str">
        <f t="shared" si="73"/>
        <v>Q3</v>
      </c>
      <c r="N780" t="str">
        <f t="shared" si="74"/>
        <v>High</v>
      </c>
      <c r="O780">
        <f>_xlfn.XLOOKUP(I780,Helper_Table!A:A,Helper_Table!B:B)</f>
        <v>1.1000000000000001</v>
      </c>
      <c r="P780" s="1">
        <f t="shared" si="75"/>
        <v>44608.3</v>
      </c>
      <c r="Q780" s="4">
        <f t="shared" si="76"/>
        <v>0.90909090909090906</v>
      </c>
      <c r="R780" t="str">
        <f t="shared" si="77"/>
        <v>Below Target</v>
      </c>
    </row>
    <row r="781" spans="1:18">
      <c r="A781" t="s">
        <v>64</v>
      </c>
      <c r="B781" t="s">
        <v>49</v>
      </c>
      <c r="C781" t="s">
        <v>30</v>
      </c>
      <c r="D781" t="s">
        <v>31</v>
      </c>
      <c r="E781">
        <v>60</v>
      </c>
      <c r="F781">
        <v>1578</v>
      </c>
      <c r="G781" s="1">
        <v>18160</v>
      </c>
      <c r="H781" s="2">
        <v>45263</v>
      </c>
      <c r="I781" t="s">
        <v>32</v>
      </c>
      <c r="J781" t="s">
        <v>818</v>
      </c>
      <c r="K781" t="s">
        <v>34</v>
      </c>
      <c r="L781" t="str">
        <f t="shared" si="72"/>
        <v>Dec</v>
      </c>
      <c r="M781" t="str">
        <f t="shared" si="73"/>
        <v>Q4</v>
      </c>
      <c r="N781" t="str">
        <f t="shared" si="74"/>
        <v>Low</v>
      </c>
      <c r="O781">
        <f>_xlfn.XLOOKUP(I781,Helper_Table!A:A,Helper_Table!B:B)</f>
        <v>0.95</v>
      </c>
      <c r="P781" s="1">
        <f t="shared" si="75"/>
        <v>17252</v>
      </c>
      <c r="Q781" s="4">
        <f t="shared" si="76"/>
        <v>1.0526315789473684</v>
      </c>
      <c r="R781" t="str">
        <f t="shared" si="77"/>
        <v>Achieved</v>
      </c>
    </row>
    <row r="782" spans="1:18">
      <c r="A782" t="s">
        <v>64</v>
      </c>
      <c r="B782" t="s">
        <v>51</v>
      </c>
      <c r="C782" t="s">
        <v>20</v>
      </c>
      <c r="D782" t="s">
        <v>31</v>
      </c>
      <c r="E782" t="s">
        <v>22</v>
      </c>
      <c r="F782">
        <v>854</v>
      </c>
      <c r="G782" s="1">
        <v>45168</v>
      </c>
      <c r="H782" s="2">
        <v>45428</v>
      </c>
      <c r="I782" t="s">
        <v>41</v>
      </c>
      <c r="J782" t="s">
        <v>819</v>
      </c>
      <c r="K782" t="s">
        <v>34</v>
      </c>
      <c r="L782" t="str">
        <f t="shared" si="72"/>
        <v>May</v>
      </c>
      <c r="M782" t="str">
        <f t="shared" si="73"/>
        <v>Q2</v>
      </c>
      <c r="N782" t="str">
        <f t="shared" si="74"/>
        <v>High</v>
      </c>
      <c r="O782">
        <f>_xlfn.XLOOKUP(I782,Helper_Table!A:A,Helper_Table!B:B)</f>
        <v>1.2</v>
      </c>
      <c r="P782" s="1">
        <f t="shared" si="75"/>
        <v>54201.599999999999</v>
      </c>
      <c r="Q782" s="4">
        <f t="shared" si="76"/>
        <v>0.83333333333333337</v>
      </c>
      <c r="R782" t="str">
        <f t="shared" si="77"/>
        <v>Below Target</v>
      </c>
    </row>
    <row r="783" spans="1:18">
      <c r="A783" t="s">
        <v>35</v>
      </c>
      <c r="B783" t="s">
        <v>19</v>
      </c>
      <c r="C783" t="s">
        <v>30</v>
      </c>
      <c r="D783" t="s">
        <v>66</v>
      </c>
      <c r="E783">
        <v>30</v>
      </c>
      <c r="F783">
        <v>1875</v>
      </c>
      <c r="G783" s="1">
        <v>19837</v>
      </c>
      <c r="H783" s="2">
        <v>45210</v>
      </c>
      <c r="I783" t="s">
        <v>16</v>
      </c>
      <c r="J783" t="s">
        <v>820</v>
      </c>
      <c r="K783" t="s">
        <v>18</v>
      </c>
      <c r="L783" t="str">
        <f t="shared" si="72"/>
        <v>Oct</v>
      </c>
      <c r="M783" t="str">
        <f t="shared" si="73"/>
        <v>Q4</v>
      </c>
      <c r="N783" t="str">
        <f t="shared" si="74"/>
        <v>Low</v>
      </c>
      <c r="O783">
        <f>_xlfn.XLOOKUP(I783,Helper_Table!A:A,Helper_Table!B:B)</f>
        <v>1.1000000000000001</v>
      </c>
      <c r="P783" s="1">
        <f t="shared" si="75"/>
        <v>21820.7</v>
      </c>
      <c r="Q783" s="4">
        <f t="shared" si="76"/>
        <v>0.90909090909090906</v>
      </c>
      <c r="R783" t="str">
        <f t="shared" si="77"/>
        <v>Below Target</v>
      </c>
    </row>
    <row r="784" spans="1:18">
      <c r="A784" t="s">
        <v>35</v>
      </c>
      <c r="B784" t="s">
        <v>51</v>
      </c>
      <c r="C784" t="s">
        <v>20</v>
      </c>
      <c r="D784" t="s">
        <v>66</v>
      </c>
      <c r="E784" t="s">
        <v>15</v>
      </c>
      <c r="F784">
        <v>1105</v>
      </c>
      <c r="G784" s="1">
        <v>16306</v>
      </c>
      <c r="H784" s="2">
        <v>45385</v>
      </c>
      <c r="I784" t="s">
        <v>16</v>
      </c>
      <c r="J784" t="s">
        <v>821</v>
      </c>
      <c r="K784" t="s">
        <v>34</v>
      </c>
      <c r="L784" t="str">
        <f t="shared" si="72"/>
        <v>Apr</v>
      </c>
      <c r="M784" t="str">
        <f t="shared" si="73"/>
        <v>Q2</v>
      </c>
      <c r="N784" t="str">
        <f t="shared" si="74"/>
        <v>Low</v>
      </c>
      <c r="O784">
        <f>_xlfn.XLOOKUP(I784,Helper_Table!A:A,Helper_Table!B:B)</f>
        <v>1.1000000000000001</v>
      </c>
      <c r="P784" s="1">
        <f t="shared" si="75"/>
        <v>17936.600000000002</v>
      </c>
      <c r="Q784" s="4">
        <f t="shared" si="76"/>
        <v>0.90909090909090895</v>
      </c>
      <c r="R784" t="str">
        <f t="shared" si="77"/>
        <v>Below Target</v>
      </c>
    </row>
    <row r="785" spans="1:18">
      <c r="A785" t="s">
        <v>11</v>
      </c>
      <c r="B785" t="s">
        <v>51</v>
      </c>
      <c r="C785" t="s">
        <v>20</v>
      </c>
      <c r="D785" t="s">
        <v>26</v>
      </c>
      <c r="E785" t="s">
        <v>22</v>
      </c>
      <c r="F785">
        <v>503</v>
      </c>
      <c r="G785" s="1">
        <v>28974</v>
      </c>
      <c r="H785" s="2">
        <v>45383</v>
      </c>
      <c r="I785" t="s">
        <v>16</v>
      </c>
      <c r="J785" t="s">
        <v>822</v>
      </c>
      <c r="K785" t="s">
        <v>34</v>
      </c>
      <c r="L785" t="str">
        <f t="shared" si="72"/>
        <v>Apr</v>
      </c>
      <c r="M785" t="str">
        <f t="shared" si="73"/>
        <v>Q2</v>
      </c>
      <c r="N785" t="str">
        <f t="shared" si="74"/>
        <v>Medium</v>
      </c>
      <c r="O785">
        <f>_xlfn.XLOOKUP(I785,Helper_Table!A:A,Helper_Table!B:B)</f>
        <v>1.1000000000000001</v>
      </c>
      <c r="P785" s="1">
        <f t="shared" si="75"/>
        <v>31871.4</v>
      </c>
      <c r="Q785" s="4">
        <f t="shared" si="76"/>
        <v>0.90909090909090906</v>
      </c>
      <c r="R785" t="str">
        <f t="shared" si="77"/>
        <v>Below Target</v>
      </c>
    </row>
    <row r="786" spans="1:18">
      <c r="A786" t="s">
        <v>24</v>
      </c>
      <c r="B786" t="s">
        <v>36</v>
      </c>
      <c r="C786" t="s">
        <v>59</v>
      </c>
      <c r="D786" t="s">
        <v>26</v>
      </c>
      <c r="E786">
        <v>60</v>
      </c>
      <c r="F786">
        <v>1354</v>
      </c>
      <c r="G786" s="1">
        <v>28539</v>
      </c>
      <c r="H786" s="2">
        <v>45464</v>
      </c>
      <c r="I786" t="s">
        <v>41</v>
      </c>
      <c r="J786" t="s">
        <v>823</v>
      </c>
      <c r="K786" t="s">
        <v>18</v>
      </c>
      <c r="L786" t="str">
        <f t="shared" si="72"/>
        <v>Jun</v>
      </c>
      <c r="M786" t="str">
        <f t="shared" si="73"/>
        <v>Q2</v>
      </c>
      <c r="N786" t="str">
        <f t="shared" si="74"/>
        <v>Medium</v>
      </c>
      <c r="O786">
        <f>_xlfn.XLOOKUP(I786,Helper_Table!A:A,Helper_Table!B:B)</f>
        <v>1.2</v>
      </c>
      <c r="P786" s="1">
        <f t="shared" si="75"/>
        <v>34246.799999999996</v>
      </c>
      <c r="Q786" s="4">
        <f t="shared" si="76"/>
        <v>0.83333333333333348</v>
      </c>
      <c r="R786" t="str">
        <f t="shared" si="77"/>
        <v>Below Target</v>
      </c>
    </row>
    <row r="787" spans="1:18">
      <c r="A787" t="s">
        <v>35</v>
      </c>
      <c r="B787" t="s">
        <v>36</v>
      </c>
      <c r="C787" t="s">
        <v>13</v>
      </c>
      <c r="D787" t="s">
        <v>31</v>
      </c>
      <c r="E787" t="s">
        <v>22</v>
      </c>
      <c r="F787">
        <v>1716</v>
      </c>
      <c r="G787" s="1">
        <v>40609</v>
      </c>
      <c r="H787" s="2">
        <v>45383</v>
      </c>
      <c r="I787" t="s">
        <v>32</v>
      </c>
      <c r="J787" t="s">
        <v>824</v>
      </c>
      <c r="K787" t="s">
        <v>47</v>
      </c>
      <c r="L787" t="str">
        <f t="shared" si="72"/>
        <v>Apr</v>
      </c>
      <c r="M787" t="str">
        <f t="shared" si="73"/>
        <v>Q2</v>
      </c>
      <c r="N787" t="str">
        <f t="shared" si="74"/>
        <v>High</v>
      </c>
      <c r="O787">
        <f>_xlfn.XLOOKUP(I787,Helper_Table!A:A,Helper_Table!B:B)</f>
        <v>0.95</v>
      </c>
      <c r="P787" s="1">
        <f t="shared" si="75"/>
        <v>38578.549999999996</v>
      </c>
      <c r="Q787" s="4">
        <f t="shared" si="76"/>
        <v>1.0526315789473686</v>
      </c>
      <c r="R787" t="str">
        <f t="shared" si="77"/>
        <v>Achieved</v>
      </c>
    </row>
    <row r="788" spans="1:18">
      <c r="A788" t="s">
        <v>11</v>
      </c>
      <c r="B788" t="s">
        <v>36</v>
      </c>
      <c r="C788" t="s">
        <v>13</v>
      </c>
      <c r="D788" t="s">
        <v>66</v>
      </c>
      <c r="E788" t="s">
        <v>15</v>
      </c>
      <c r="F788">
        <v>1268</v>
      </c>
      <c r="G788" s="1">
        <v>38392</v>
      </c>
      <c r="H788" s="2">
        <v>45472</v>
      </c>
      <c r="I788" t="s">
        <v>41</v>
      </c>
      <c r="J788" t="s">
        <v>825</v>
      </c>
      <c r="K788" t="s">
        <v>34</v>
      </c>
      <c r="L788" t="str">
        <f t="shared" si="72"/>
        <v>Jun</v>
      </c>
      <c r="M788" t="str">
        <f t="shared" si="73"/>
        <v>Q2</v>
      </c>
      <c r="N788" t="str">
        <f t="shared" si="74"/>
        <v>Medium</v>
      </c>
      <c r="O788">
        <f>_xlfn.XLOOKUP(I788,Helper_Table!A:A,Helper_Table!B:B)</f>
        <v>1.2</v>
      </c>
      <c r="P788" s="1">
        <f t="shared" si="75"/>
        <v>46070.400000000001</v>
      </c>
      <c r="Q788" s="4">
        <f t="shared" si="76"/>
        <v>0.83333333333333326</v>
      </c>
      <c r="R788" t="str">
        <f t="shared" si="77"/>
        <v>Below Target</v>
      </c>
    </row>
    <row r="789" spans="1:18">
      <c r="A789" t="s">
        <v>11</v>
      </c>
      <c r="B789" t="s">
        <v>51</v>
      </c>
      <c r="C789" t="s">
        <v>13</v>
      </c>
      <c r="D789" t="s">
        <v>21</v>
      </c>
      <c r="E789">
        <v>60</v>
      </c>
      <c r="F789">
        <v>716</v>
      </c>
      <c r="G789" s="1">
        <v>38994</v>
      </c>
      <c r="H789" s="2">
        <v>45326</v>
      </c>
      <c r="I789" t="s">
        <v>16</v>
      </c>
      <c r="J789" t="s">
        <v>826</v>
      </c>
      <c r="K789" t="s">
        <v>34</v>
      </c>
      <c r="L789" t="str">
        <f t="shared" si="72"/>
        <v>Feb</v>
      </c>
      <c r="M789" t="str">
        <f t="shared" si="73"/>
        <v>Q1</v>
      </c>
      <c r="N789" t="str">
        <f t="shared" si="74"/>
        <v>Medium</v>
      </c>
      <c r="O789">
        <f>_xlfn.XLOOKUP(I789,Helper_Table!A:A,Helper_Table!B:B)</f>
        <v>1.1000000000000001</v>
      </c>
      <c r="P789" s="1">
        <f t="shared" si="75"/>
        <v>42893.4</v>
      </c>
      <c r="Q789" s="4">
        <f t="shared" si="76"/>
        <v>0.90909090909090906</v>
      </c>
      <c r="R789" t="str">
        <f t="shared" si="77"/>
        <v>Below Target</v>
      </c>
    </row>
    <row r="790" spans="1:18">
      <c r="A790" t="s">
        <v>24</v>
      </c>
      <c r="B790" t="s">
        <v>12</v>
      </c>
      <c r="C790" t="s">
        <v>13</v>
      </c>
      <c r="D790" t="s">
        <v>66</v>
      </c>
      <c r="E790" t="s">
        <v>15</v>
      </c>
      <c r="F790">
        <v>1467</v>
      </c>
      <c r="G790" s="1">
        <v>18147</v>
      </c>
      <c r="H790" s="2">
        <v>45468</v>
      </c>
      <c r="I790" t="s">
        <v>32</v>
      </c>
      <c r="J790" t="s">
        <v>827</v>
      </c>
      <c r="K790" t="s">
        <v>44</v>
      </c>
      <c r="L790" t="str">
        <f t="shared" si="72"/>
        <v>Jun</v>
      </c>
      <c r="M790" t="str">
        <f t="shared" si="73"/>
        <v>Q2</v>
      </c>
      <c r="N790" t="str">
        <f t="shared" si="74"/>
        <v>Low</v>
      </c>
      <c r="O790">
        <f>_xlfn.XLOOKUP(I790,Helper_Table!A:A,Helper_Table!B:B)</f>
        <v>0.95</v>
      </c>
      <c r="P790" s="1">
        <f t="shared" si="75"/>
        <v>17239.649999999998</v>
      </c>
      <c r="Q790" s="4">
        <f t="shared" si="76"/>
        <v>1.0526315789473686</v>
      </c>
      <c r="R790" t="str">
        <f t="shared" si="77"/>
        <v>Achieved</v>
      </c>
    </row>
    <row r="791" spans="1:18">
      <c r="A791" t="s">
        <v>11</v>
      </c>
      <c r="B791" t="s">
        <v>19</v>
      </c>
      <c r="C791" t="s">
        <v>20</v>
      </c>
      <c r="D791" t="s">
        <v>66</v>
      </c>
      <c r="E791">
        <v>30</v>
      </c>
      <c r="F791">
        <v>501</v>
      </c>
      <c r="G791" s="1">
        <v>8312</v>
      </c>
      <c r="H791" s="2">
        <v>45231</v>
      </c>
      <c r="I791" t="s">
        <v>32</v>
      </c>
      <c r="J791" t="s">
        <v>828</v>
      </c>
      <c r="K791" t="s">
        <v>47</v>
      </c>
      <c r="L791" t="str">
        <f t="shared" si="72"/>
        <v>Nov</v>
      </c>
      <c r="M791" t="str">
        <f t="shared" si="73"/>
        <v>Q4</v>
      </c>
      <c r="N791" t="str">
        <f t="shared" si="74"/>
        <v>Low</v>
      </c>
      <c r="O791">
        <f>_xlfn.XLOOKUP(I791,Helper_Table!A:A,Helper_Table!B:B)</f>
        <v>0.95</v>
      </c>
      <c r="P791" s="1">
        <f t="shared" si="75"/>
        <v>7896.4</v>
      </c>
      <c r="Q791" s="4">
        <f t="shared" si="76"/>
        <v>1.0526315789473684</v>
      </c>
      <c r="R791" t="str">
        <f t="shared" si="77"/>
        <v>Achieved</v>
      </c>
    </row>
    <row r="792" spans="1:18">
      <c r="A792" t="s">
        <v>11</v>
      </c>
      <c r="B792" t="s">
        <v>36</v>
      </c>
      <c r="C792" t="s">
        <v>20</v>
      </c>
      <c r="D792" t="s">
        <v>66</v>
      </c>
      <c r="E792">
        <v>30</v>
      </c>
      <c r="F792">
        <v>1127</v>
      </c>
      <c r="G792" s="1">
        <v>29324</v>
      </c>
      <c r="H792" s="2">
        <v>45475</v>
      </c>
      <c r="I792" t="s">
        <v>41</v>
      </c>
      <c r="J792" t="s">
        <v>829</v>
      </c>
      <c r="K792" t="s">
        <v>29</v>
      </c>
      <c r="L792" t="str">
        <f t="shared" si="72"/>
        <v>Jul</v>
      </c>
      <c r="M792" t="str">
        <f t="shared" si="73"/>
        <v>Q3</v>
      </c>
      <c r="N792" t="str">
        <f t="shared" si="74"/>
        <v>Medium</v>
      </c>
      <c r="O792">
        <f>_xlfn.XLOOKUP(I792,Helper_Table!A:A,Helper_Table!B:B)</f>
        <v>1.2</v>
      </c>
      <c r="P792" s="1">
        <f t="shared" si="75"/>
        <v>35188.799999999996</v>
      </c>
      <c r="Q792" s="4">
        <f t="shared" si="76"/>
        <v>0.83333333333333348</v>
      </c>
      <c r="R792" t="str">
        <f t="shared" si="77"/>
        <v>Below Target</v>
      </c>
    </row>
    <row r="793" spans="1:18">
      <c r="A793" t="s">
        <v>24</v>
      </c>
      <c r="B793" t="s">
        <v>49</v>
      </c>
      <c r="C793" t="s">
        <v>59</v>
      </c>
      <c r="D793" t="s">
        <v>31</v>
      </c>
      <c r="E793" t="s">
        <v>38</v>
      </c>
      <c r="F793">
        <v>814</v>
      </c>
      <c r="G793" s="1">
        <v>22816</v>
      </c>
      <c r="H793" s="2">
        <v>45276</v>
      </c>
      <c r="I793" t="s">
        <v>32</v>
      </c>
      <c r="J793" t="s">
        <v>830</v>
      </c>
      <c r="K793" t="s">
        <v>18</v>
      </c>
      <c r="L793" t="str">
        <f t="shared" si="72"/>
        <v>Dec</v>
      </c>
      <c r="M793" t="str">
        <f t="shared" si="73"/>
        <v>Q4</v>
      </c>
      <c r="N793" t="str">
        <f t="shared" si="74"/>
        <v>Medium</v>
      </c>
      <c r="O793">
        <f>_xlfn.XLOOKUP(I793,Helper_Table!A:A,Helper_Table!B:B)</f>
        <v>0.95</v>
      </c>
      <c r="P793" s="1">
        <f t="shared" si="75"/>
        <v>21675.200000000001</v>
      </c>
      <c r="Q793" s="4">
        <f t="shared" si="76"/>
        <v>1.0526315789473684</v>
      </c>
      <c r="R793" t="str">
        <f t="shared" si="77"/>
        <v>Achieved</v>
      </c>
    </row>
    <row r="794" spans="1:18">
      <c r="A794" t="s">
        <v>64</v>
      </c>
      <c r="B794" t="s">
        <v>12</v>
      </c>
      <c r="C794" t="s">
        <v>20</v>
      </c>
      <c r="D794" t="s">
        <v>31</v>
      </c>
      <c r="E794" t="s">
        <v>38</v>
      </c>
      <c r="F794">
        <v>1056</v>
      </c>
      <c r="G794" s="1">
        <v>4782</v>
      </c>
      <c r="H794" s="2">
        <v>45206</v>
      </c>
      <c r="I794" t="s">
        <v>27</v>
      </c>
      <c r="J794" t="s">
        <v>831</v>
      </c>
      <c r="K794" t="s">
        <v>29</v>
      </c>
      <c r="L794" t="str">
        <f t="shared" si="72"/>
        <v>Oct</v>
      </c>
      <c r="M794" t="str">
        <f t="shared" si="73"/>
        <v>Q4</v>
      </c>
      <c r="N794" t="str">
        <f t="shared" si="74"/>
        <v>Low</v>
      </c>
      <c r="O794">
        <f>_xlfn.XLOOKUP(I794,Helper_Table!A:A,Helper_Table!B:B)</f>
        <v>0.9</v>
      </c>
      <c r="P794" s="1">
        <f t="shared" si="75"/>
        <v>4303.8</v>
      </c>
      <c r="Q794" s="4">
        <f t="shared" si="76"/>
        <v>1.1111111111111112</v>
      </c>
      <c r="R794" t="str">
        <f t="shared" si="77"/>
        <v>Achieved</v>
      </c>
    </row>
    <row r="795" spans="1:18">
      <c r="A795" t="s">
        <v>64</v>
      </c>
      <c r="B795" t="s">
        <v>19</v>
      </c>
      <c r="C795" t="s">
        <v>30</v>
      </c>
      <c r="D795" t="s">
        <v>31</v>
      </c>
      <c r="E795" t="s">
        <v>15</v>
      </c>
      <c r="F795">
        <v>130</v>
      </c>
      <c r="G795" s="1">
        <v>3639</v>
      </c>
      <c r="H795" s="2">
        <v>45287</v>
      </c>
      <c r="I795" t="s">
        <v>27</v>
      </c>
      <c r="J795" t="s">
        <v>832</v>
      </c>
      <c r="K795" t="s">
        <v>29</v>
      </c>
      <c r="L795" t="str">
        <f t="shared" si="72"/>
        <v>Dec</v>
      </c>
      <c r="M795" t="str">
        <f t="shared" si="73"/>
        <v>Q4</v>
      </c>
      <c r="N795" t="str">
        <f t="shared" si="74"/>
        <v>Low</v>
      </c>
      <c r="O795">
        <f>_xlfn.XLOOKUP(I795,Helper_Table!A:A,Helper_Table!B:B)</f>
        <v>0.9</v>
      </c>
      <c r="P795" s="1">
        <f t="shared" si="75"/>
        <v>3275.1</v>
      </c>
      <c r="Q795" s="4">
        <f t="shared" si="76"/>
        <v>1.1111111111111112</v>
      </c>
      <c r="R795" t="str">
        <f t="shared" si="77"/>
        <v>Achieved</v>
      </c>
    </row>
    <row r="796" spans="1:18">
      <c r="A796" t="s">
        <v>64</v>
      </c>
      <c r="B796" t="s">
        <v>12</v>
      </c>
      <c r="C796" t="s">
        <v>13</v>
      </c>
      <c r="D796" t="s">
        <v>21</v>
      </c>
      <c r="E796" t="s">
        <v>15</v>
      </c>
      <c r="F796">
        <v>760</v>
      </c>
      <c r="G796" s="1">
        <v>16495</v>
      </c>
      <c r="H796" s="2">
        <v>45381</v>
      </c>
      <c r="I796" t="s">
        <v>32</v>
      </c>
      <c r="J796" t="s">
        <v>833</v>
      </c>
      <c r="K796" t="s">
        <v>47</v>
      </c>
      <c r="L796" t="str">
        <f t="shared" si="72"/>
        <v>Mar</v>
      </c>
      <c r="M796" t="str">
        <f t="shared" si="73"/>
        <v>Q1</v>
      </c>
      <c r="N796" t="str">
        <f t="shared" si="74"/>
        <v>Low</v>
      </c>
      <c r="O796">
        <f>_xlfn.XLOOKUP(I796,Helper_Table!A:A,Helper_Table!B:B)</f>
        <v>0.95</v>
      </c>
      <c r="P796" s="1">
        <f t="shared" si="75"/>
        <v>15670.25</v>
      </c>
      <c r="Q796" s="4">
        <f t="shared" si="76"/>
        <v>1.0526315789473684</v>
      </c>
      <c r="R796" t="str">
        <f t="shared" si="77"/>
        <v>Achieved</v>
      </c>
    </row>
    <row r="797" spans="1:18">
      <c r="A797" t="s">
        <v>24</v>
      </c>
      <c r="B797" t="s">
        <v>19</v>
      </c>
      <c r="C797" t="s">
        <v>13</v>
      </c>
      <c r="D797" t="s">
        <v>66</v>
      </c>
      <c r="E797" t="s">
        <v>38</v>
      </c>
      <c r="F797">
        <v>961</v>
      </c>
      <c r="G797" s="1">
        <v>47213</v>
      </c>
      <c r="H797" s="2">
        <v>45450</v>
      </c>
      <c r="I797" t="s">
        <v>27</v>
      </c>
      <c r="J797" t="s">
        <v>834</v>
      </c>
      <c r="K797" t="s">
        <v>44</v>
      </c>
      <c r="L797" t="str">
        <f t="shared" si="72"/>
        <v>Jun</v>
      </c>
      <c r="M797" t="str">
        <f t="shared" si="73"/>
        <v>Q2</v>
      </c>
      <c r="N797" t="str">
        <f t="shared" si="74"/>
        <v>High</v>
      </c>
      <c r="O797">
        <f>_xlfn.XLOOKUP(I797,Helper_Table!A:A,Helper_Table!B:B)</f>
        <v>0.9</v>
      </c>
      <c r="P797" s="1">
        <f t="shared" si="75"/>
        <v>42491.700000000004</v>
      </c>
      <c r="Q797" s="4">
        <f t="shared" si="76"/>
        <v>1.1111111111111109</v>
      </c>
      <c r="R797" t="str">
        <f t="shared" si="77"/>
        <v>Achieved</v>
      </c>
    </row>
    <row r="798" spans="1:18">
      <c r="A798" t="s">
        <v>64</v>
      </c>
      <c r="B798" t="s">
        <v>19</v>
      </c>
      <c r="C798" t="s">
        <v>20</v>
      </c>
      <c r="D798" t="s">
        <v>14</v>
      </c>
      <c r="E798" t="s">
        <v>38</v>
      </c>
      <c r="F798">
        <v>1410</v>
      </c>
      <c r="G798" s="1">
        <v>27514</v>
      </c>
      <c r="H798" s="2">
        <v>45230</v>
      </c>
      <c r="I798" t="s">
        <v>16</v>
      </c>
      <c r="J798" t="s">
        <v>835</v>
      </c>
      <c r="K798" t="s">
        <v>34</v>
      </c>
      <c r="L798" t="str">
        <f t="shared" si="72"/>
        <v>Oct</v>
      </c>
      <c r="M798" t="str">
        <f t="shared" si="73"/>
        <v>Q4</v>
      </c>
      <c r="N798" t="str">
        <f t="shared" si="74"/>
        <v>Medium</v>
      </c>
      <c r="O798">
        <f>_xlfn.XLOOKUP(I798,Helper_Table!A:A,Helper_Table!B:B)</f>
        <v>1.1000000000000001</v>
      </c>
      <c r="P798" s="1">
        <f t="shared" si="75"/>
        <v>30265.4</v>
      </c>
      <c r="Q798" s="4">
        <f t="shared" si="76"/>
        <v>0.90909090909090906</v>
      </c>
      <c r="R798" t="str">
        <f t="shared" si="77"/>
        <v>Below Target</v>
      </c>
    </row>
    <row r="799" spans="1:18">
      <c r="A799" t="s">
        <v>35</v>
      </c>
      <c r="B799" t="s">
        <v>19</v>
      </c>
      <c r="C799" t="s">
        <v>13</v>
      </c>
      <c r="D799" t="s">
        <v>26</v>
      </c>
      <c r="E799">
        <v>60</v>
      </c>
      <c r="F799">
        <v>1446</v>
      </c>
      <c r="G799" s="1">
        <v>22233</v>
      </c>
      <c r="H799" s="2">
        <v>45260</v>
      </c>
      <c r="I799" t="s">
        <v>39</v>
      </c>
      <c r="J799" t="s">
        <v>836</v>
      </c>
      <c r="K799" t="s">
        <v>47</v>
      </c>
      <c r="L799" t="str">
        <f t="shared" si="72"/>
        <v>Nov</v>
      </c>
      <c r="M799" t="str">
        <f t="shared" si="73"/>
        <v>Q4</v>
      </c>
      <c r="N799" t="str">
        <f t="shared" si="74"/>
        <v>Medium</v>
      </c>
      <c r="O799">
        <f>_xlfn.XLOOKUP(I799,Helper_Table!A:A,Helper_Table!B:B)</f>
        <v>1.1000000000000001</v>
      </c>
      <c r="P799" s="1">
        <f t="shared" si="75"/>
        <v>24456.300000000003</v>
      </c>
      <c r="Q799" s="4">
        <f t="shared" si="76"/>
        <v>0.90909090909090895</v>
      </c>
      <c r="R799" t="str">
        <f t="shared" si="77"/>
        <v>Below Target</v>
      </c>
    </row>
    <row r="800" spans="1:18">
      <c r="A800" t="s">
        <v>11</v>
      </c>
      <c r="B800" t="s">
        <v>12</v>
      </c>
      <c r="C800" t="s">
        <v>59</v>
      </c>
      <c r="D800" t="s">
        <v>21</v>
      </c>
      <c r="E800">
        <v>30</v>
      </c>
      <c r="F800">
        <v>1694</v>
      </c>
      <c r="G800" s="1">
        <v>17518</v>
      </c>
      <c r="H800" s="2">
        <v>45303</v>
      </c>
      <c r="I800" t="s">
        <v>27</v>
      </c>
      <c r="J800" t="s">
        <v>837</v>
      </c>
      <c r="K800" t="s">
        <v>29</v>
      </c>
      <c r="L800" t="str">
        <f t="shared" si="72"/>
        <v>Jan</v>
      </c>
      <c r="M800" t="str">
        <f t="shared" si="73"/>
        <v>Q1</v>
      </c>
      <c r="N800" t="str">
        <f t="shared" si="74"/>
        <v>Low</v>
      </c>
      <c r="O800">
        <f>_xlfn.XLOOKUP(I800,Helper_Table!A:A,Helper_Table!B:B)</f>
        <v>0.9</v>
      </c>
      <c r="P800" s="1">
        <f t="shared" si="75"/>
        <v>15766.2</v>
      </c>
      <c r="Q800" s="4">
        <f t="shared" si="76"/>
        <v>1.1111111111111112</v>
      </c>
      <c r="R800" t="str">
        <f t="shared" si="77"/>
        <v>Achieved</v>
      </c>
    </row>
    <row r="801" spans="1:18">
      <c r="A801" t="s">
        <v>35</v>
      </c>
      <c r="B801" t="s">
        <v>49</v>
      </c>
      <c r="C801" t="s">
        <v>25</v>
      </c>
      <c r="D801" t="s">
        <v>31</v>
      </c>
      <c r="E801" t="s">
        <v>38</v>
      </c>
      <c r="F801">
        <v>1834</v>
      </c>
      <c r="G801" s="1">
        <v>5964</v>
      </c>
      <c r="H801" s="2">
        <v>45353</v>
      </c>
      <c r="I801" t="s">
        <v>16</v>
      </c>
      <c r="J801" t="s">
        <v>838</v>
      </c>
      <c r="K801" t="s">
        <v>34</v>
      </c>
      <c r="L801" t="str">
        <f t="shared" si="72"/>
        <v>Mar</v>
      </c>
      <c r="M801" t="str">
        <f t="shared" si="73"/>
        <v>Q1</v>
      </c>
      <c r="N801" t="str">
        <f t="shared" si="74"/>
        <v>Low</v>
      </c>
      <c r="O801">
        <f>_xlfn.XLOOKUP(I801,Helper_Table!A:A,Helper_Table!B:B)</f>
        <v>1.1000000000000001</v>
      </c>
      <c r="P801" s="1">
        <f t="shared" si="75"/>
        <v>6560.4000000000005</v>
      </c>
      <c r="Q801" s="4">
        <f t="shared" si="76"/>
        <v>0.90909090909090906</v>
      </c>
      <c r="R801" t="str">
        <f t="shared" si="77"/>
        <v>Below Target</v>
      </c>
    </row>
    <row r="802" spans="1:18">
      <c r="A802" t="s">
        <v>24</v>
      </c>
      <c r="B802" t="s">
        <v>36</v>
      </c>
      <c r="C802" t="s">
        <v>25</v>
      </c>
      <c r="D802" t="s">
        <v>66</v>
      </c>
      <c r="E802" t="s">
        <v>22</v>
      </c>
      <c r="F802">
        <v>737</v>
      </c>
      <c r="G802" s="1">
        <v>33901</v>
      </c>
      <c r="H802" s="2">
        <v>45477</v>
      </c>
      <c r="I802" t="s">
        <v>41</v>
      </c>
      <c r="J802" t="s">
        <v>839</v>
      </c>
      <c r="K802" t="s">
        <v>29</v>
      </c>
      <c r="L802" t="str">
        <f t="shared" si="72"/>
        <v>Jul</v>
      </c>
      <c r="M802" t="str">
        <f t="shared" si="73"/>
        <v>Q3</v>
      </c>
      <c r="N802" t="str">
        <f t="shared" si="74"/>
        <v>Medium</v>
      </c>
      <c r="O802">
        <f>_xlfn.XLOOKUP(I802,Helper_Table!A:A,Helper_Table!B:B)</f>
        <v>1.2</v>
      </c>
      <c r="P802" s="1">
        <f t="shared" si="75"/>
        <v>40681.199999999997</v>
      </c>
      <c r="Q802" s="4">
        <f t="shared" si="76"/>
        <v>0.83333333333333337</v>
      </c>
      <c r="R802" t="str">
        <f t="shared" si="77"/>
        <v>Below Target</v>
      </c>
    </row>
    <row r="803" spans="1:18">
      <c r="A803" t="s">
        <v>45</v>
      </c>
      <c r="B803" t="s">
        <v>36</v>
      </c>
      <c r="C803" t="s">
        <v>13</v>
      </c>
      <c r="D803" t="s">
        <v>21</v>
      </c>
      <c r="E803" t="s">
        <v>22</v>
      </c>
      <c r="F803">
        <v>1027</v>
      </c>
      <c r="G803" s="1">
        <v>9819</v>
      </c>
      <c r="H803" s="2">
        <v>45434</v>
      </c>
      <c r="I803" t="s">
        <v>39</v>
      </c>
      <c r="J803" t="s">
        <v>840</v>
      </c>
      <c r="K803" t="s">
        <v>29</v>
      </c>
      <c r="L803" t="str">
        <f t="shared" si="72"/>
        <v>May</v>
      </c>
      <c r="M803" t="str">
        <f t="shared" si="73"/>
        <v>Q2</v>
      </c>
      <c r="N803" t="str">
        <f t="shared" si="74"/>
        <v>Low</v>
      </c>
      <c r="O803">
        <f>_xlfn.XLOOKUP(I803,Helper_Table!A:A,Helper_Table!B:B)</f>
        <v>1.1000000000000001</v>
      </c>
      <c r="P803" s="1">
        <f t="shared" si="75"/>
        <v>10800.900000000001</v>
      </c>
      <c r="Q803" s="4">
        <f t="shared" si="76"/>
        <v>0.90909090909090895</v>
      </c>
      <c r="R803" t="str">
        <f t="shared" si="77"/>
        <v>Below Target</v>
      </c>
    </row>
    <row r="804" spans="1:18">
      <c r="A804" t="s">
        <v>35</v>
      </c>
      <c r="B804" t="s">
        <v>12</v>
      </c>
      <c r="C804" t="s">
        <v>13</v>
      </c>
      <c r="D804" t="s">
        <v>21</v>
      </c>
      <c r="E804" t="s">
        <v>15</v>
      </c>
      <c r="F804">
        <v>1000</v>
      </c>
      <c r="G804" s="1">
        <v>34947</v>
      </c>
      <c r="H804" s="2">
        <v>45217</v>
      </c>
      <c r="I804" t="s">
        <v>16</v>
      </c>
      <c r="J804" t="s">
        <v>841</v>
      </c>
      <c r="K804" t="s">
        <v>44</v>
      </c>
      <c r="L804" t="str">
        <f t="shared" si="72"/>
        <v>Oct</v>
      </c>
      <c r="M804" t="str">
        <f t="shared" si="73"/>
        <v>Q4</v>
      </c>
      <c r="N804" t="str">
        <f t="shared" si="74"/>
        <v>Medium</v>
      </c>
      <c r="O804">
        <f>_xlfn.XLOOKUP(I804,Helper_Table!A:A,Helper_Table!B:B)</f>
        <v>1.1000000000000001</v>
      </c>
      <c r="P804" s="1">
        <f t="shared" si="75"/>
        <v>38441.700000000004</v>
      </c>
      <c r="Q804" s="4">
        <f t="shared" si="76"/>
        <v>0.90909090909090895</v>
      </c>
      <c r="R804" t="str">
        <f t="shared" si="77"/>
        <v>Below Target</v>
      </c>
    </row>
    <row r="805" spans="1:18">
      <c r="A805" t="s">
        <v>11</v>
      </c>
      <c r="B805" t="s">
        <v>36</v>
      </c>
      <c r="C805" t="s">
        <v>25</v>
      </c>
      <c r="D805" t="s">
        <v>66</v>
      </c>
      <c r="E805">
        <v>60</v>
      </c>
      <c r="F805">
        <v>1732</v>
      </c>
      <c r="G805" s="1">
        <v>43643</v>
      </c>
      <c r="H805" s="2">
        <v>45458</v>
      </c>
      <c r="I805" t="s">
        <v>27</v>
      </c>
      <c r="J805" t="s">
        <v>842</v>
      </c>
      <c r="K805" t="s">
        <v>18</v>
      </c>
      <c r="L805" t="str">
        <f t="shared" si="72"/>
        <v>Jun</v>
      </c>
      <c r="M805" t="str">
        <f t="shared" si="73"/>
        <v>Q2</v>
      </c>
      <c r="N805" t="str">
        <f t="shared" si="74"/>
        <v>High</v>
      </c>
      <c r="O805">
        <f>_xlfn.XLOOKUP(I805,Helper_Table!A:A,Helper_Table!B:B)</f>
        <v>0.9</v>
      </c>
      <c r="P805" s="1">
        <f t="shared" si="75"/>
        <v>39278.700000000004</v>
      </c>
      <c r="Q805" s="4">
        <f t="shared" si="76"/>
        <v>1.1111111111111109</v>
      </c>
      <c r="R805" t="str">
        <f t="shared" si="77"/>
        <v>Achieved</v>
      </c>
    </row>
    <row r="806" spans="1:18">
      <c r="A806" t="s">
        <v>24</v>
      </c>
      <c r="B806" t="s">
        <v>51</v>
      </c>
      <c r="C806" t="s">
        <v>20</v>
      </c>
      <c r="D806" t="s">
        <v>66</v>
      </c>
      <c r="E806">
        <v>30</v>
      </c>
      <c r="F806">
        <v>1686</v>
      </c>
      <c r="G806" s="1">
        <v>38320</v>
      </c>
      <c r="H806" s="2">
        <v>45302</v>
      </c>
      <c r="I806" t="s">
        <v>39</v>
      </c>
      <c r="J806" t="s">
        <v>843</v>
      </c>
      <c r="K806" t="s">
        <v>18</v>
      </c>
      <c r="L806" t="str">
        <f t="shared" si="72"/>
        <v>Jan</v>
      </c>
      <c r="M806" t="str">
        <f t="shared" si="73"/>
        <v>Q1</v>
      </c>
      <c r="N806" t="str">
        <f t="shared" si="74"/>
        <v>Medium</v>
      </c>
      <c r="O806">
        <f>_xlfn.XLOOKUP(I806,Helper_Table!A:A,Helper_Table!B:B)</f>
        <v>1.1000000000000001</v>
      </c>
      <c r="P806" s="1">
        <f t="shared" si="75"/>
        <v>42152</v>
      </c>
      <c r="Q806" s="4">
        <f t="shared" si="76"/>
        <v>0.90909090909090906</v>
      </c>
      <c r="R806" t="str">
        <f t="shared" si="77"/>
        <v>Below Target</v>
      </c>
    </row>
    <row r="807" spans="1:18">
      <c r="A807" t="s">
        <v>35</v>
      </c>
      <c r="B807" t="s">
        <v>51</v>
      </c>
      <c r="C807" t="s">
        <v>13</v>
      </c>
      <c r="D807" t="s">
        <v>26</v>
      </c>
      <c r="E807" t="s">
        <v>38</v>
      </c>
      <c r="F807">
        <v>1880</v>
      </c>
      <c r="G807" s="1">
        <v>13397</v>
      </c>
      <c r="H807" s="2">
        <v>45299</v>
      </c>
      <c r="I807" t="s">
        <v>16</v>
      </c>
      <c r="J807" t="s">
        <v>844</v>
      </c>
      <c r="K807" t="s">
        <v>47</v>
      </c>
      <c r="L807" t="str">
        <f t="shared" si="72"/>
        <v>Jan</v>
      </c>
      <c r="M807" t="str">
        <f t="shared" si="73"/>
        <v>Q1</v>
      </c>
      <c r="N807" t="str">
        <f t="shared" si="74"/>
        <v>Low</v>
      </c>
      <c r="O807">
        <f>_xlfn.XLOOKUP(I807,Helper_Table!A:A,Helper_Table!B:B)</f>
        <v>1.1000000000000001</v>
      </c>
      <c r="P807" s="1">
        <f t="shared" si="75"/>
        <v>14736.7</v>
      </c>
      <c r="Q807" s="4">
        <f t="shared" si="76"/>
        <v>0.90909090909090906</v>
      </c>
      <c r="R807" t="str">
        <f t="shared" si="77"/>
        <v>Below Target</v>
      </c>
    </row>
    <row r="808" spans="1:18">
      <c r="A808" t="s">
        <v>35</v>
      </c>
      <c r="B808" t="s">
        <v>36</v>
      </c>
      <c r="C808" t="s">
        <v>20</v>
      </c>
      <c r="D808" t="s">
        <v>31</v>
      </c>
      <c r="E808" t="s">
        <v>22</v>
      </c>
      <c r="F808">
        <v>363</v>
      </c>
      <c r="G808" s="1">
        <v>3071</v>
      </c>
      <c r="H808" s="2">
        <v>45366</v>
      </c>
      <c r="I808" t="s">
        <v>32</v>
      </c>
      <c r="J808" t="s">
        <v>845</v>
      </c>
      <c r="K808" t="s">
        <v>44</v>
      </c>
      <c r="L808" t="str">
        <f t="shared" si="72"/>
        <v>Mar</v>
      </c>
      <c r="M808" t="str">
        <f t="shared" si="73"/>
        <v>Q1</v>
      </c>
      <c r="N808" t="str">
        <f t="shared" si="74"/>
        <v>Low</v>
      </c>
      <c r="O808">
        <f>_xlfn.XLOOKUP(I808,Helper_Table!A:A,Helper_Table!B:B)</f>
        <v>0.95</v>
      </c>
      <c r="P808" s="1">
        <f t="shared" si="75"/>
        <v>2917.45</v>
      </c>
      <c r="Q808" s="4">
        <f t="shared" si="76"/>
        <v>1.0526315789473686</v>
      </c>
      <c r="R808" t="str">
        <f t="shared" si="77"/>
        <v>Achieved</v>
      </c>
    </row>
    <row r="809" spans="1:18">
      <c r="A809" t="s">
        <v>24</v>
      </c>
      <c r="B809" t="s">
        <v>12</v>
      </c>
      <c r="C809" t="s">
        <v>25</v>
      </c>
      <c r="D809" t="s">
        <v>31</v>
      </c>
      <c r="E809" t="s">
        <v>38</v>
      </c>
      <c r="F809">
        <v>152</v>
      </c>
      <c r="G809" s="1">
        <v>27219</v>
      </c>
      <c r="H809" s="2">
        <v>45350</v>
      </c>
      <c r="I809" t="s">
        <v>41</v>
      </c>
      <c r="J809" t="s">
        <v>846</v>
      </c>
      <c r="K809" t="s">
        <v>29</v>
      </c>
      <c r="L809" t="str">
        <f t="shared" si="72"/>
        <v>Feb</v>
      </c>
      <c r="M809" t="str">
        <f t="shared" si="73"/>
        <v>Q1</v>
      </c>
      <c r="N809" t="str">
        <f t="shared" si="74"/>
        <v>Medium</v>
      </c>
      <c r="O809">
        <f>_xlfn.XLOOKUP(I809,Helper_Table!A:A,Helper_Table!B:B)</f>
        <v>1.2</v>
      </c>
      <c r="P809" s="1">
        <f t="shared" si="75"/>
        <v>32662.799999999999</v>
      </c>
      <c r="Q809" s="4">
        <f t="shared" si="76"/>
        <v>0.83333333333333337</v>
      </c>
      <c r="R809" t="str">
        <f t="shared" si="77"/>
        <v>Below Target</v>
      </c>
    </row>
    <row r="810" spans="1:18">
      <c r="A810" t="s">
        <v>64</v>
      </c>
      <c r="B810" t="s">
        <v>19</v>
      </c>
      <c r="C810" t="s">
        <v>25</v>
      </c>
      <c r="D810" t="s">
        <v>26</v>
      </c>
      <c r="E810" t="s">
        <v>15</v>
      </c>
      <c r="F810">
        <v>1989</v>
      </c>
      <c r="G810" s="1">
        <v>39898</v>
      </c>
      <c r="H810" s="2">
        <v>45143</v>
      </c>
      <c r="I810" t="s">
        <v>39</v>
      </c>
      <c r="J810" t="s">
        <v>847</v>
      </c>
      <c r="K810" t="s">
        <v>44</v>
      </c>
      <c r="L810" t="str">
        <f t="shared" si="72"/>
        <v>Aug</v>
      </c>
      <c r="M810" t="str">
        <f t="shared" si="73"/>
        <v>Q3</v>
      </c>
      <c r="N810" t="str">
        <f t="shared" si="74"/>
        <v>Medium</v>
      </c>
      <c r="O810">
        <f>_xlfn.XLOOKUP(I810,Helper_Table!A:A,Helper_Table!B:B)</f>
        <v>1.1000000000000001</v>
      </c>
      <c r="P810" s="1">
        <f t="shared" si="75"/>
        <v>43887.8</v>
      </c>
      <c r="Q810" s="4">
        <f t="shared" si="76"/>
        <v>0.90909090909090906</v>
      </c>
      <c r="R810" t="str">
        <f t="shared" si="77"/>
        <v>Below Target</v>
      </c>
    </row>
    <row r="811" spans="1:18">
      <c r="A811" t="s">
        <v>35</v>
      </c>
      <c r="B811" t="s">
        <v>51</v>
      </c>
      <c r="C811" t="s">
        <v>20</v>
      </c>
      <c r="D811" t="s">
        <v>14</v>
      </c>
      <c r="E811">
        <v>30</v>
      </c>
      <c r="F811">
        <v>729</v>
      </c>
      <c r="G811" s="1">
        <v>17817</v>
      </c>
      <c r="H811" s="2">
        <v>45367</v>
      </c>
      <c r="I811" t="s">
        <v>41</v>
      </c>
      <c r="J811" t="s">
        <v>848</v>
      </c>
      <c r="K811" t="s">
        <v>34</v>
      </c>
      <c r="L811" t="str">
        <f t="shared" si="72"/>
        <v>Mar</v>
      </c>
      <c r="M811" t="str">
        <f t="shared" si="73"/>
        <v>Q1</v>
      </c>
      <c r="N811" t="str">
        <f t="shared" si="74"/>
        <v>Low</v>
      </c>
      <c r="O811">
        <f>_xlfn.XLOOKUP(I811,Helper_Table!A:A,Helper_Table!B:B)</f>
        <v>1.2</v>
      </c>
      <c r="P811" s="1">
        <f t="shared" si="75"/>
        <v>21380.399999999998</v>
      </c>
      <c r="Q811" s="4">
        <f t="shared" si="76"/>
        <v>0.83333333333333337</v>
      </c>
      <c r="R811" t="str">
        <f t="shared" si="77"/>
        <v>Below Target</v>
      </c>
    </row>
    <row r="812" spans="1:18">
      <c r="A812" t="s">
        <v>24</v>
      </c>
      <c r="B812" t="s">
        <v>19</v>
      </c>
      <c r="C812" t="s">
        <v>30</v>
      </c>
      <c r="D812" t="s">
        <v>14</v>
      </c>
      <c r="E812" t="s">
        <v>15</v>
      </c>
      <c r="F812">
        <v>828</v>
      </c>
      <c r="G812" s="1">
        <v>3572</v>
      </c>
      <c r="H812" s="2">
        <v>45299</v>
      </c>
      <c r="I812" t="s">
        <v>41</v>
      </c>
      <c r="J812" t="s">
        <v>849</v>
      </c>
      <c r="K812" t="s">
        <v>47</v>
      </c>
      <c r="L812" t="str">
        <f t="shared" si="72"/>
        <v>Jan</v>
      </c>
      <c r="M812" t="str">
        <f t="shared" si="73"/>
        <v>Q1</v>
      </c>
      <c r="N812" t="str">
        <f t="shared" si="74"/>
        <v>Low</v>
      </c>
      <c r="O812">
        <f>_xlfn.XLOOKUP(I812,Helper_Table!A:A,Helper_Table!B:B)</f>
        <v>1.2</v>
      </c>
      <c r="P812" s="1">
        <f t="shared" si="75"/>
        <v>4286.3999999999996</v>
      </c>
      <c r="Q812" s="4">
        <f t="shared" si="76"/>
        <v>0.83333333333333337</v>
      </c>
      <c r="R812" t="str">
        <f t="shared" si="77"/>
        <v>Below Target</v>
      </c>
    </row>
    <row r="813" spans="1:18">
      <c r="A813" t="s">
        <v>24</v>
      </c>
      <c r="B813" t="s">
        <v>51</v>
      </c>
      <c r="C813" t="s">
        <v>20</v>
      </c>
      <c r="D813" t="s">
        <v>31</v>
      </c>
      <c r="E813">
        <v>60</v>
      </c>
      <c r="F813">
        <v>984</v>
      </c>
      <c r="G813" s="1">
        <v>43213</v>
      </c>
      <c r="H813" s="2">
        <v>45138</v>
      </c>
      <c r="I813" t="s">
        <v>41</v>
      </c>
      <c r="J813" t="s">
        <v>850</v>
      </c>
      <c r="K813" t="s">
        <v>44</v>
      </c>
      <c r="L813" t="str">
        <f t="shared" si="72"/>
        <v>Jul</v>
      </c>
      <c r="M813" t="str">
        <f t="shared" si="73"/>
        <v>Q3</v>
      </c>
      <c r="N813" t="str">
        <f t="shared" si="74"/>
        <v>High</v>
      </c>
      <c r="O813">
        <f>_xlfn.XLOOKUP(I813,Helper_Table!A:A,Helper_Table!B:B)</f>
        <v>1.2</v>
      </c>
      <c r="P813" s="1">
        <f t="shared" si="75"/>
        <v>51855.6</v>
      </c>
      <c r="Q813" s="4">
        <f t="shared" si="76"/>
        <v>0.83333333333333337</v>
      </c>
      <c r="R813" t="str">
        <f t="shared" si="77"/>
        <v>Below Target</v>
      </c>
    </row>
    <row r="814" spans="1:18">
      <c r="A814" t="s">
        <v>24</v>
      </c>
      <c r="B814" t="s">
        <v>51</v>
      </c>
      <c r="C814" t="s">
        <v>59</v>
      </c>
      <c r="D814" t="s">
        <v>31</v>
      </c>
      <c r="E814" t="s">
        <v>38</v>
      </c>
      <c r="F814">
        <v>1911</v>
      </c>
      <c r="G814" s="1">
        <v>40843</v>
      </c>
      <c r="H814" s="2">
        <v>45310</v>
      </c>
      <c r="I814" t="s">
        <v>32</v>
      </c>
      <c r="J814" t="s">
        <v>851</v>
      </c>
      <c r="K814" t="s">
        <v>47</v>
      </c>
      <c r="L814" t="str">
        <f t="shared" si="72"/>
        <v>Jan</v>
      </c>
      <c r="M814" t="str">
        <f t="shared" si="73"/>
        <v>Q1</v>
      </c>
      <c r="N814" t="str">
        <f t="shared" si="74"/>
        <v>High</v>
      </c>
      <c r="O814">
        <f>_xlfn.XLOOKUP(I814,Helper_Table!A:A,Helper_Table!B:B)</f>
        <v>0.95</v>
      </c>
      <c r="P814" s="1">
        <f t="shared" si="75"/>
        <v>38800.85</v>
      </c>
      <c r="Q814" s="4">
        <f t="shared" si="76"/>
        <v>1.0526315789473684</v>
      </c>
      <c r="R814" t="str">
        <f t="shared" si="77"/>
        <v>Achieved</v>
      </c>
    </row>
    <row r="815" spans="1:18">
      <c r="A815" t="s">
        <v>24</v>
      </c>
      <c r="B815" t="s">
        <v>12</v>
      </c>
      <c r="C815" t="s">
        <v>20</v>
      </c>
      <c r="D815" t="s">
        <v>31</v>
      </c>
      <c r="E815">
        <v>30</v>
      </c>
      <c r="F815">
        <v>846</v>
      </c>
      <c r="G815" s="1">
        <v>18094</v>
      </c>
      <c r="H815" s="2">
        <v>45414</v>
      </c>
      <c r="I815" t="s">
        <v>32</v>
      </c>
      <c r="J815" t="s">
        <v>852</v>
      </c>
      <c r="K815" t="s">
        <v>44</v>
      </c>
      <c r="L815" t="str">
        <f t="shared" si="72"/>
        <v>May</v>
      </c>
      <c r="M815" t="str">
        <f t="shared" si="73"/>
        <v>Q2</v>
      </c>
      <c r="N815" t="str">
        <f t="shared" si="74"/>
        <v>Low</v>
      </c>
      <c r="O815">
        <f>_xlfn.XLOOKUP(I815,Helper_Table!A:A,Helper_Table!B:B)</f>
        <v>0.95</v>
      </c>
      <c r="P815" s="1">
        <f t="shared" si="75"/>
        <v>17189.3</v>
      </c>
      <c r="Q815" s="4">
        <f t="shared" si="76"/>
        <v>1.0526315789473684</v>
      </c>
      <c r="R815" t="str">
        <f t="shared" si="77"/>
        <v>Achieved</v>
      </c>
    </row>
    <row r="816" spans="1:18">
      <c r="A816" t="s">
        <v>64</v>
      </c>
      <c r="B816" t="s">
        <v>19</v>
      </c>
      <c r="C816" t="s">
        <v>30</v>
      </c>
      <c r="D816" t="s">
        <v>31</v>
      </c>
      <c r="E816" t="s">
        <v>22</v>
      </c>
      <c r="F816">
        <v>415</v>
      </c>
      <c r="G816" s="1">
        <v>30785</v>
      </c>
      <c r="H816" s="2">
        <v>45436</v>
      </c>
      <c r="I816" t="s">
        <v>27</v>
      </c>
      <c r="J816" t="s">
        <v>853</v>
      </c>
      <c r="K816" t="s">
        <v>29</v>
      </c>
      <c r="L816" t="str">
        <f t="shared" si="72"/>
        <v>May</v>
      </c>
      <c r="M816" t="str">
        <f t="shared" si="73"/>
        <v>Q2</v>
      </c>
      <c r="N816" t="str">
        <f t="shared" si="74"/>
        <v>Medium</v>
      </c>
      <c r="O816">
        <f>_xlfn.XLOOKUP(I816,Helper_Table!A:A,Helper_Table!B:B)</f>
        <v>0.9</v>
      </c>
      <c r="P816" s="1">
        <f t="shared" si="75"/>
        <v>27706.5</v>
      </c>
      <c r="Q816" s="4">
        <f t="shared" si="76"/>
        <v>1.1111111111111112</v>
      </c>
      <c r="R816" t="str">
        <f t="shared" si="77"/>
        <v>Achieved</v>
      </c>
    </row>
    <row r="817" spans="1:18">
      <c r="A817" t="s">
        <v>64</v>
      </c>
      <c r="B817" t="s">
        <v>36</v>
      </c>
      <c r="C817" t="s">
        <v>20</v>
      </c>
      <c r="D817" t="s">
        <v>31</v>
      </c>
      <c r="E817" t="s">
        <v>22</v>
      </c>
      <c r="F817">
        <v>1507</v>
      </c>
      <c r="G817" s="1">
        <v>32408</v>
      </c>
      <c r="H817" s="2">
        <v>45324</v>
      </c>
      <c r="I817" t="s">
        <v>32</v>
      </c>
      <c r="J817" t="s">
        <v>854</v>
      </c>
      <c r="K817" t="s">
        <v>18</v>
      </c>
      <c r="L817" t="str">
        <f t="shared" si="72"/>
        <v>Feb</v>
      </c>
      <c r="M817" t="str">
        <f t="shared" si="73"/>
        <v>Q1</v>
      </c>
      <c r="N817" t="str">
        <f t="shared" si="74"/>
        <v>Medium</v>
      </c>
      <c r="O817">
        <f>_xlfn.XLOOKUP(I817,Helper_Table!A:A,Helper_Table!B:B)</f>
        <v>0.95</v>
      </c>
      <c r="P817" s="1">
        <f t="shared" si="75"/>
        <v>30787.599999999999</v>
      </c>
      <c r="Q817" s="4">
        <f t="shared" si="76"/>
        <v>1.0526315789473684</v>
      </c>
      <c r="R817" t="str">
        <f t="shared" si="77"/>
        <v>Achieved</v>
      </c>
    </row>
    <row r="818" spans="1:18">
      <c r="A818" t="s">
        <v>11</v>
      </c>
      <c r="B818" t="s">
        <v>36</v>
      </c>
      <c r="C818" t="s">
        <v>30</v>
      </c>
      <c r="D818" t="s">
        <v>21</v>
      </c>
      <c r="E818" t="s">
        <v>15</v>
      </c>
      <c r="F818">
        <v>889</v>
      </c>
      <c r="G818" s="1">
        <v>4285</v>
      </c>
      <c r="H818" s="2">
        <v>45418</v>
      </c>
      <c r="I818" t="s">
        <v>16</v>
      </c>
      <c r="J818" t="s">
        <v>855</v>
      </c>
      <c r="K818" t="s">
        <v>18</v>
      </c>
      <c r="L818" t="str">
        <f t="shared" si="72"/>
        <v>May</v>
      </c>
      <c r="M818" t="str">
        <f t="shared" si="73"/>
        <v>Q2</v>
      </c>
      <c r="N818" t="str">
        <f t="shared" si="74"/>
        <v>Low</v>
      </c>
      <c r="O818">
        <f>_xlfn.XLOOKUP(I818,Helper_Table!A:A,Helper_Table!B:B)</f>
        <v>1.1000000000000001</v>
      </c>
      <c r="P818" s="1">
        <f t="shared" si="75"/>
        <v>4713.5</v>
      </c>
      <c r="Q818" s="4">
        <f t="shared" si="76"/>
        <v>0.90909090909090906</v>
      </c>
      <c r="R818" t="str">
        <f t="shared" si="77"/>
        <v>Below Target</v>
      </c>
    </row>
    <row r="819" spans="1:18">
      <c r="A819" t="s">
        <v>45</v>
      </c>
      <c r="B819" t="s">
        <v>36</v>
      </c>
      <c r="C819" t="s">
        <v>13</v>
      </c>
      <c r="D819" t="s">
        <v>26</v>
      </c>
      <c r="E819">
        <v>30</v>
      </c>
      <c r="F819">
        <v>983</v>
      </c>
      <c r="G819" s="1">
        <v>39307</v>
      </c>
      <c r="H819" s="2">
        <v>45317</v>
      </c>
      <c r="I819" t="s">
        <v>16</v>
      </c>
      <c r="J819" t="s">
        <v>856</v>
      </c>
      <c r="K819" t="s">
        <v>44</v>
      </c>
      <c r="L819" t="str">
        <f t="shared" si="72"/>
        <v>Jan</v>
      </c>
      <c r="M819" t="str">
        <f t="shared" si="73"/>
        <v>Q1</v>
      </c>
      <c r="N819" t="str">
        <f t="shared" si="74"/>
        <v>Medium</v>
      </c>
      <c r="O819">
        <f>_xlfn.XLOOKUP(I819,Helper_Table!A:A,Helper_Table!B:B)</f>
        <v>1.1000000000000001</v>
      </c>
      <c r="P819" s="1">
        <f t="shared" si="75"/>
        <v>43237.700000000004</v>
      </c>
      <c r="Q819" s="4">
        <f t="shared" si="76"/>
        <v>0.90909090909090895</v>
      </c>
      <c r="R819" t="str">
        <f t="shared" si="77"/>
        <v>Below Target</v>
      </c>
    </row>
    <row r="820" spans="1:18">
      <c r="A820" t="s">
        <v>24</v>
      </c>
      <c r="B820" t="s">
        <v>49</v>
      </c>
      <c r="C820" t="s">
        <v>59</v>
      </c>
      <c r="D820" t="s">
        <v>14</v>
      </c>
      <c r="E820">
        <v>60</v>
      </c>
      <c r="F820">
        <v>743</v>
      </c>
      <c r="G820" s="1">
        <v>38388</v>
      </c>
      <c r="H820" s="2">
        <v>45477</v>
      </c>
      <c r="I820" t="s">
        <v>41</v>
      </c>
      <c r="J820" t="s">
        <v>857</v>
      </c>
      <c r="K820" t="s">
        <v>29</v>
      </c>
      <c r="L820" t="str">
        <f t="shared" si="72"/>
        <v>Jul</v>
      </c>
      <c r="M820" t="str">
        <f t="shared" si="73"/>
        <v>Q3</v>
      </c>
      <c r="N820" t="str">
        <f t="shared" si="74"/>
        <v>Medium</v>
      </c>
      <c r="O820">
        <f>_xlfn.XLOOKUP(I820,Helper_Table!A:A,Helper_Table!B:B)</f>
        <v>1.2</v>
      </c>
      <c r="P820" s="1">
        <f t="shared" si="75"/>
        <v>46065.599999999999</v>
      </c>
      <c r="Q820" s="4">
        <f t="shared" si="76"/>
        <v>0.83333333333333337</v>
      </c>
      <c r="R820" t="str">
        <f t="shared" si="77"/>
        <v>Below Target</v>
      </c>
    </row>
    <row r="821" spans="1:18">
      <c r="A821" t="s">
        <v>64</v>
      </c>
      <c r="B821" t="s">
        <v>36</v>
      </c>
      <c r="C821" t="s">
        <v>25</v>
      </c>
      <c r="D821" t="s">
        <v>66</v>
      </c>
      <c r="E821">
        <v>30</v>
      </c>
      <c r="F821">
        <v>255</v>
      </c>
      <c r="G821" s="1">
        <v>27581</v>
      </c>
      <c r="H821" s="2">
        <v>45448</v>
      </c>
      <c r="I821" t="s">
        <v>16</v>
      </c>
      <c r="J821" t="s">
        <v>553</v>
      </c>
      <c r="K821" t="s">
        <v>44</v>
      </c>
      <c r="L821" t="str">
        <f t="shared" si="72"/>
        <v>Jun</v>
      </c>
      <c r="M821" t="str">
        <f t="shared" si="73"/>
        <v>Q2</v>
      </c>
      <c r="N821" t="str">
        <f t="shared" si="74"/>
        <v>Medium</v>
      </c>
      <c r="O821">
        <f>_xlfn.XLOOKUP(I821,Helper_Table!A:A,Helper_Table!B:B)</f>
        <v>1.1000000000000001</v>
      </c>
      <c r="P821" s="1">
        <f t="shared" si="75"/>
        <v>30339.100000000002</v>
      </c>
      <c r="Q821" s="4">
        <f t="shared" si="76"/>
        <v>0.90909090909090906</v>
      </c>
      <c r="R821" t="str">
        <f t="shared" si="77"/>
        <v>Below Target</v>
      </c>
    </row>
    <row r="822" spans="1:18">
      <c r="A822" t="s">
        <v>64</v>
      </c>
      <c r="B822" t="s">
        <v>49</v>
      </c>
      <c r="C822" t="s">
        <v>59</v>
      </c>
      <c r="D822" t="s">
        <v>26</v>
      </c>
      <c r="E822">
        <v>30</v>
      </c>
      <c r="F822">
        <v>965</v>
      </c>
      <c r="G822" s="1">
        <v>12117</v>
      </c>
      <c r="H822" s="2">
        <v>45168</v>
      </c>
      <c r="I822" t="s">
        <v>32</v>
      </c>
      <c r="J822" t="s">
        <v>858</v>
      </c>
      <c r="K822" t="s">
        <v>34</v>
      </c>
      <c r="L822" t="str">
        <f t="shared" si="72"/>
        <v>Aug</v>
      </c>
      <c r="M822" t="str">
        <f t="shared" si="73"/>
        <v>Q3</v>
      </c>
      <c r="N822" t="str">
        <f t="shared" si="74"/>
        <v>Low</v>
      </c>
      <c r="O822">
        <f>_xlfn.XLOOKUP(I822,Helper_Table!A:A,Helper_Table!B:B)</f>
        <v>0.95</v>
      </c>
      <c r="P822" s="1">
        <f t="shared" si="75"/>
        <v>11511.15</v>
      </c>
      <c r="Q822" s="4">
        <f t="shared" si="76"/>
        <v>1.0526315789473684</v>
      </c>
      <c r="R822" t="str">
        <f t="shared" si="77"/>
        <v>Achieved</v>
      </c>
    </row>
    <row r="823" spans="1:18">
      <c r="A823" t="s">
        <v>24</v>
      </c>
      <c r="B823" t="s">
        <v>19</v>
      </c>
      <c r="C823" t="s">
        <v>25</v>
      </c>
      <c r="D823" t="s">
        <v>26</v>
      </c>
      <c r="E823" t="s">
        <v>38</v>
      </c>
      <c r="F823">
        <v>254</v>
      </c>
      <c r="G823" s="1">
        <v>2928</v>
      </c>
      <c r="H823" s="2">
        <v>45157</v>
      </c>
      <c r="I823" t="s">
        <v>41</v>
      </c>
      <c r="J823" t="s">
        <v>859</v>
      </c>
      <c r="K823" t="s">
        <v>34</v>
      </c>
      <c r="L823" t="str">
        <f t="shared" si="72"/>
        <v>Aug</v>
      </c>
      <c r="M823" t="str">
        <f t="shared" si="73"/>
        <v>Q3</v>
      </c>
      <c r="N823" t="str">
        <f t="shared" si="74"/>
        <v>Low</v>
      </c>
      <c r="O823">
        <f>_xlfn.XLOOKUP(I823,Helper_Table!A:A,Helper_Table!B:B)</f>
        <v>1.2</v>
      </c>
      <c r="P823" s="1">
        <f t="shared" si="75"/>
        <v>3513.6</v>
      </c>
      <c r="Q823" s="4">
        <f t="shared" si="76"/>
        <v>0.83333333333333337</v>
      </c>
      <c r="R823" t="str">
        <f t="shared" si="77"/>
        <v>Below Target</v>
      </c>
    </row>
    <row r="824" spans="1:18">
      <c r="A824" t="s">
        <v>24</v>
      </c>
      <c r="B824" t="s">
        <v>36</v>
      </c>
      <c r="C824" t="s">
        <v>30</v>
      </c>
      <c r="D824" t="s">
        <v>14</v>
      </c>
      <c r="E824">
        <v>60</v>
      </c>
      <c r="F824">
        <v>1006</v>
      </c>
      <c r="G824" s="1">
        <v>35619</v>
      </c>
      <c r="H824" s="2">
        <v>45266</v>
      </c>
      <c r="I824" t="s">
        <v>16</v>
      </c>
      <c r="J824" t="s">
        <v>860</v>
      </c>
      <c r="K824" t="s">
        <v>34</v>
      </c>
      <c r="L824" t="str">
        <f t="shared" si="72"/>
        <v>Dec</v>
      </c>
      <c r="M824" t="str">
        <f t="shared" si="73"/>
        <v>Q4</v>
      </c>
      <c r="N824" t="str">
        <f t="shared" si="74"/>
        <v>Medium</v>
      </c>
      <c r="O824">
        <f>_xlfn.XLOOKUP(I824,Helper_Table!A:A,Helper_Table!B:B)</f>
        <v>1.1000000000000001</v>
      </c>
      <c r="P824" s="1">
        <f t="shared" si="75"/>
        <v>39180.9</v>
      </c>
      <c r="Q824" s="4">
        <f t="shared" si="76"/>
        <v>0.90909090909090906</v>
      </c>
      <c r="R824" t="str">
        <f t="shared" si="77"/>
        <v>Below Target</v>
      </c>
    </row>
    <row r="825" spans="1:18">
      <c r="A825" t="s">
        <v>24</v>
      </c>
      <c r="B825" t="s">
        <v>19</v>
      </c>
      <c r="C825" t="s">
        <v>13</v>
      </c>
      <c r="D825" t="s">
        <v>66</v>
      </c>
      <c r="E825" t="s">
        <v>38</v>
      </c>
      <c r="F825">
        <v>578</v>
      </c>
      <c r="G825" s="1">
        <v>21030</v>
      </c>
      <c r="H825" s="2">
        <v>45335</v>
      </c>
      <c r="I825" t="s">
        <v>41</v>
      </c>
      <c r="J825" t="s">
        <v>861</v>
      </c>
      <c r="K825" t="s">
        <v>18</v>
      </c>
      <c r="L825" t="str">
        <f t="shared" si="72"/>
        <v>Feb</v>
      </c>
      <c r="M825" t="str">
        <f t="shared" si="73"/>
        <v>Q1</v>
      </c>
      <c r="N825" t="str">
        <f t="shared" si="74"/>
        <v>Medium</v>
      </c>
      <c r="O825">
        <f>_xlfn.XLOOKUP(I825,Helper_Table!A:A,Helper_Table!B:B)</f>
        <v>1.2</v>
      </c>
      <c r="P825" s="1">
        <f t="shared" si="75"/>
        <v>25236</v>
      </c>
      <c r="Q825" s="4">
        <f t="shared" si="76"/>
        <v>0.83333333333333337</v>
      </c>
      <c r="R825" t="str">
        <f t="shared" si="77"/>
        <v>Below Target</v>
      </c>
    </row>
    <row r="826" spans="1:18">
      <c r="A826" t="s">
        <v>24</v>
      </c>
      <c r="B826" t="s">
        <v>12</v>
      </c>
      <c r="C826" t="s">
        <v>25</v>
      </c>
      <c r="D826" t="s">
        <v>14</v>
      </c>
      <c r="E826" t="s">
        <v>22</v>
      </c>
      <c r="F826">
        <v>1284</v>
      </c>
      <c r="G826" s="1">
        <v>40997</v>
      </c>
      <c r="H826" s="2">
        <v>45136</v>
      </c>
      <c r="I826" t="s">
        <v>41</v>
      </c>
      <c r="J826" t="s">
        <v>862</v>
      </c>
      <c r="K826" t="s">
        <v>44</v>
      </c>
      <c r="L826" t="str">
        <f t="shared" si="72"/>
        <v>Jul</v>
      </c>
      <c r="M826" t="str">
        <f t="shared" si="73"/>
        <v>Q3</v>
      </c>
      <c r="N826" t="str">
        <f t="shared" si="74"/>
        <v>High</v>
      </c>
      <c r="O826">
        <f>_xlfn.XLOOKUP(I826,Helper_Table!A:A,Helper_Table!B:B)</f>
        <v>1.2</v>
      </c>
      <c r="P826" s="1">
        <f t="shared" si="75"/>
        <v>49196.4</v>
      </c>
      <c r="Q826" s="4">
        <f t="shared" si="76"/>
        <v>0.83333333333333326</v>
      </c>
      <c r="R826" t="str">
        <f t="shared" si="77"/>
        <v>Below Target</v>
      </c>
    </row>
    <row r="827" spans="1:18">
      <c r="A827" t="s">
        <v>35</v>
      </c>
      <c r="B827" t="s">
        <v>36</v>
      </c>
      <c r="C827" t="s">
        <v>25</v>
      </c>
      <c r="D827" t="s">
        <v>31</v>
      </c>
      <c r="E827" t="s">
        <v>22</v>
      </c>
      <c r="F827">
        <v>1832</v>
      </c>
      <c r="G827" s="1">
        <v>22662</v>
      </c>
      <c r="H827" s="2">
        <v>45484</v>
      </c>
      <c r="I827" t="s">
        <v>27</v>
      </c>
      <c r="J827" t="s">
        <v>863</v>
      </c>
      <c r="K827" t="s">
        <v>47</v>
      </c>
      <c r="L827" t="str">
        <f t="shared" si="72"/>
        <v>Jul</v>
      </c>
      <c r="M827" t="str">
        <f t="shared" si="73"/>
        <v>Q3</v>
      </c>
      <c r="N827" t="str">
        <f t="shared" si="74"/>
        <v>Medium</v>
      </c>
      <c r="O827">
        <f>_xlfn.XLOOKUP(I827,Helper_Table!A:A,Helper_Table!B:B)</f>
        <v>0.9</v>
      </c>
      <c r="P827" s="1">
        <f t="shared" si="75"/>
        <v>20395.8</v>
      </c>
      <c r="Q827" s="4">
        <f t="shared" si="76"/>
        <v>1.1111111111111112</v>
      </c>
      <c r="R827" t="str">
        <f t="shared" si="77"/>
        <v>Achieved</v>
      </c>
    </row>
    <row r="828" spans="1:18">
      <c r="A828" t="s">
        <v>35</v>
      </c>
      <c r="B828" t="s">
        <v>51</v>
      </c>
      <c r="C828" t="s">
        <v>25</v>
      </c>
      <c r="D828" t="s">
        <v>66</v>
      </c>
      <c r="E828">
        <v>60</v>
      </c>
      <c r="F828">
        <v>698</v>
      </c>
      <c r="G828" s="1">
        <v>42700</v>
      </c>
      <c r="H828" s="2">
        <v>45168</v>
      </c>
      <c r="I828" t="s">
        <v>39</v>
      </c>
      <c r="J828" t="s">
        <v>864</v>
      </c>
      <c r="K828" t="s">
        <v>34</v>
      </c>
      <c r="L828" t="str">
        <f t="shared" si="72"/>
        <v>Aug</v>
      </c>
      <c r="M828" t="str">
        <f t="shared" si="73"/>
        <v>Q3</v>
      </c>
      <c r="N828" t="str">
        <f t="shared" si="74"/>
        <v>High</v>
      </c>
      <c r="O828">
        <f>_xlfn.XLOOKUP(I828,Helper_Table!A:A,Helper_Table!B:B)</f>
        <v>1.1000000000000001</v>
      </c>
      <c r="P828" s="1">
        <f t="shared" si="75"/>
        <v>46970.000000000007</v>
      </c>
      <c r="Q828" s="4">
        <f t="shared" si="76"/>
        <v>0.90909090909090895</v>
      </c>
      <c r="R828" t="str">
        <f t="shared" si="77"/>
        <v>Below Target</v>
      </c>
    </row>
    <row r="829" spans="1:18">
      <c r="A829" t="s">
        <v>64</v>
      </c>
      <c r="B829" t="s">
        <v>12</v>
      </c>
      <c r="C829" t="s">
        <v>30</v>
      </c>
      <c r="D829" t="s">
        <v>26</v>
      </c>
      <c r="E829" t="s">
        <v>22</v>
      </c>
      <c r="F829">
        <v>174</v>
      </c>
      <c r="G829" s="1">
        <v>28115</v>
      </c>
      <c r="H829" s="2">
        <v>45177</v>
      </c>
      <c r="I829" t="s">
        <v>27</v>
      </c>
      <c r="J829" t="s">
        <v>865</v>
      </c>
      <c r="K829" t="s">
        <v>29</v>
      </c>
      <c r="L829" t="str">
        <f t="shared" si="72"/>
        <v>Sep</v>
      </c>
      <c r="M829" t="str">
        <f t="shared" si="73"/>
        <v>Q3</v>
      </c>
      <c r="N829" t="str">
        <f t="shared" si="74"/>
        <v>Medium</v>
      </c>
      <c r="O829">
        <f>_xlfn.XLOOKUP(I829,Helper_Table!A:A,Helper_Table!B:B)</f>
        <v>0.9</v>
      </c>
      <c r="P829" s="1">
        <f t="shared" si="75"/>
        <v>25303.5</v>
      </c>
      <c r="Q829" s="4">
        <f t="shared" si="76"/>
        <v>1.1111111111111112</v>
      </c>
      <c r="R829" t="str">
        <f t="shared" si="77"/>
        <v>Achieved</v>
      </c>
    </row>
    <row r="830" spans="1:18">
      <c r="A830" t="s">
        <v>64</v>
      </c>
      <c r="B830" t="s">
        <v>51</v>
      </c>
      <c r="C830" t="s">
        <v>20</v>
      </c>
      <c r="D830" t="s">
        <v>66</v>
      </c>
      <c r="E830" t="s">
        <v>22</v>
      </c>
      <c r="F830">
        <v>247</v>
      </c>
      <c r="G830" s="1">
        <v>2564</v>
      </c>
      <c r="H830" s="2">
        <v>45412</v>
      </c>
      <c r="I830" t="s">
        <v>41</v>
      </c>
      <c r="J830" t="s">
        <v>866</v>
      </c>
      <c r="K830" t="s">
        <v>34</v>
      </c>
      <c r="L830" t="str">
        <f t="shared" si="72"/>
        <v>Apr</v>
      </c>
      <c r="M830" t="str">
        <f t="shared" si="73"/>
        <v>Q2</v>
      </c>
      <c r="N830" t="str">
        <f t="shared" si="74"/>
        <v>Low</v>
      </c>
      <c r="O830">
        <f>_xlfn.XLOOKUP(I830,Helper_Table!A:A,Helper_Table!B:B)</f>
        <v>1.2</v>
      </c>
      <c r="P830" s="1">
        <f t="shared" si="75"/>
        <v>3076.7999999999997</v>
      </c>
      <c r="Q830" s="4">
        <f t="shared" si="76"/>
        <v>0.83333333333333337</v>
      </c>
      <c r="R830" t="str">
        <f t="shared" si="77"/>
        <v>Below Target</v>
      </c>
    </row>
    <row r="831" spans="1:18">
      <c r="A831" t="s">
        <v>11</v>
      </c>
      <c r="B831" t="s">
        <v>36</v>
      </c>
      <c r="C831" t="s">
        <v>25</v>
      </c>
      <c r="D831" t="s">
        <v>21</v>
      </c>
      <c r="E831" t="s">
        <v>38</v>
      </c>
      <c r="F831">
        <v>1585</v>
      </c>
      <c r="G831" s="1">
        <v>22796</v>
      </c>
      <c r="H831" s="2">
        <v>45404</v>
      </c>
      <c r="I831" t="s">
        <v>39</v>
      </c>
      <c r="J831" t="s">
        <v>867</v>
      </c>
      <c r="K831" t="s">
        <v>34</v>
      </c>
      <c r="L831" t="str">
        <f t="shared" si="72"/>
        <v>Apr</v>
      </c>
      <c r="M831" t="str">
        <f t="shared" si="73"/>
        <v>Q2</v>
      </c>
      <c r="N831" t="str">
        <f t="shared" si="74"/>
        <v>Medium</v>
      </c>
      <c r="O831">
        <f>_xlfn.XLOOKUP(I831,Helper_Table!A:A,Helper_Table!B:B)</f>
        <v>1.1000000000000001</v>
      </c>
      <c r="P831" s="1">
        <f t="shared" si="75"/>
        <v>25075.600000000002</v>
      </c>
      <c r="Q831" s="4">
        <f t="shared" si="76"/>
        <v>0.90909090909090906</v>
      </c>
      <c r="R831" t="str">
        <f t="shared" si="77"/>
        <v>Below Target</v>
      </c>
    </row>
    <row r="832" spans="1:18">
      <c r="A832" t="s">
        <v>24</v>
      </c>
      <c r="B832" t="s">
        <v>49</v>
      </c>
      <c r="C832" t="s">
        <v>13</v>
      </c>
      <c r="D832" t="s">
        <v>26</v>
      </c>
      <c r="E832" t="s">
        <v>15</v>
      </c>
      <c r="F832">
        <v>1212</v>
      </c>
      <c r="G832" s="1">
        <v>30821</v>
      </c>
      <c r="H832" s="2">
        <v>45327</v>
      </c>
      <c r="I832" t="s">
        <v>16</v>
      </c>
      <c r="J832" t="s">
        <v>868</v>
      </c>
      <c r="K832" t="s">
        <v>47</v>
      </c>
      <c r="L832" t="str">
        <f t="shared" si="72"/>
        <v>Feb</v>
      </c>
      <c r="M832" t="str">
        <f t="shared" si="73"/>
        <v>Q1</v>
      </c>
      <c r="N832" t="str">
        <f t="shared" si="74"/>
        <v>Medium</v>
      </c>
      <c r="O832">
        <f>_xlfn.XLOOKUP(I832,Helper_Table!A:A,Helper_Table!B:B)</f>
        <v>1.1000000000000001</v>
      </c>
      <c r="P832" s="1">
        <f t="shared" si="75"/>
        <v>33903.100000000006</v>
      </c>
      <c r="Q832" s="4">
        <f t="shared" si="76"/>
        <v>0.90909090909090895</v>
      </c>
      <c r="R832" t="str">
        <f t="shared" si="77"/>
        <v>Below Target</v>
      </c>
    </row>
    <row r="833" spans="1:18">
      <c r="A833" t="s">
        <v>24</v>
      </c>
      <c r="B833" t="s">
        <v>49</v>
      </c>
      <c r="C833" t="s">
        <v>59</v>
      </c>
      <c r="D833" t="s">
        <v>14</v>
      </c>
      <c r="E833" t="s">
        <v>22</v>
      </c>
      <c r="F833">
        <v>1322</v>
      </c>
      <c r="G833" s="1">
        <v>41761</v>
      </c>
      <c r="H833" s="2">
        <v>45427</v>
      </c>
      <c r="I833" t="s">
        <v>16</v>
      </c>
      <c r="J833" t="s">
        <v>869</v>
      </c>
      <c r="K833" t="s">
        <v>34</v>
      </c>
      <c r="L833" t="str">
        <f t="shared" si="72"/>
        <v>May</v>
      </c>
      <c r="M833" t="str">
        <f t="shared" si="73"/>
        <v>Q2</v>
      </c>
      <c r="N833" t="str">
        <f t="shared" si="74"/>
        <v>High</v>
      </c>
      <c r="O833">
        <f>_xlfn.XLOOKUP(I833,Helper_Table!A:A,Helper_Table!B:B)</f>
        <v>1.1000000000000001</v>
      </c>
      <c r="P833" s="1">
        <f t="shared" si="75"/>
        <v>45937.100000000006</v>
      </c>
      <c r="Q833" s="4">
        <f t="shared" si="76"/>
        <v>0.90909090909090895</v>
      </c>
      <c r="R833" t="str">
        <f t="shared" si="77"/>
        <v>Below Target</v>
      </c>
    </row>
    <row r="834" spans="1:18">
      <c r="A834" t="s">
        <v>64</v>
      </c>
      <c r="B834" t="s">
        <v>19</v>
      </c>
      <c r="C834" t="s">
        <v>20</v>
      </c>
      <c r="D834" t="s">
        <v>26</v>
      </c>
      <c r="E834">
        <v>60</v>
      </c>
      <c r="F834">
        <v>1258</v>
      </c>
      <c r="G834" s="1">
        <v>22547</v>
      </c>
      <c r="H834" s="2">
        <v>45168</v>
      </c>
      <c r="I834" t="s">
        <v>39</v>
      </c>
      <c r="J834" t="s">
        <v>870</v>
      </c>
      <c r="K834" t="s">
        <v>29</v>
      </c>
      <c r="L834" t="str">
        <f t="shared" ref="L834:L897" si="78">TEXT(H834,"MMM")</f>
        <v>Aug</v>
      </c>
      <c r="M834" t="str">
        <f t="shared" ref="M834:M897" si="79">"Q"&amp;ROUNDUP(MONTH(H834)/3,0)</f>
        <v>Q3</v>
      </c>
      <c r="N834" t="str">
        <f t="shared" ref="N834:N897" si="80">IF(G834&gt;40000,"High",
IF(G834&gt;20000,"Medium","Low"))</f>
        <v>Medium</v>
      </c>
      <c r="O834">
        <f>_xlfn.XLOOKUP(I834,Helper_Table!A:A,Helper_Table!B:B)</f>
        <v>1.1000000000000001</v>
      </c>
      <c r="P834" s="1">
        <f t="shared" ref="P834:P897" si="81">G834*O834</f>
        <v>24801.7</v>
      </c>
      <c r="Q834" s="4">
        <f t="shared" ref="Q834:Q897" si="82">G834/P834</f>
        <v>0.90909090909090906</v>
      </c>
      <c r="R834" t="str">
        <f t="shared" ref="R834:R897" si="83">IF(Q834&gt;=1,"Achieved","Below Target")</f>
        <v>Below Target</v>
      </c>
    </row>
    <row r="835" spans="1:18">
      <c r="A835" t="s">
        <v>24</v>
      </c>
      <c r="B835" t="s">
        <v>36</v>
      </c>
      <c r="C835" t="s">
        <v>20</v>
      </c>
      <c r="D835" t="s">
        <v>26</v>
      </c>
      <c r="E835" t="s">
        <v>38</v>
      </c>
      <c r="F835">
        <v>1589</v>
      </c>
      <c r="G835" s="1">
        <v>28938</v>
      </c>
      <c r="H835" s="2">
        <v>45254</v>
      </c>
      <c r="I835" t="s">
        <v>16</v>
      </c>
      <c r="J835" t="s">
        <v>871</v>
      </c>
      <c r="K835" t="s">
        <v>29</v>
      </c>
      <c r="L835" t="str">
        <f t="shared" si="78"/>
        <v>Nov</v>
      </c>
      <c r="M835" t="str">
        <f t="shared" si="79"/>
        <v>Q4</v>
      </c>
      <c r="N835" t="str">
        <f t="shared" si="80"/>
        <v>Medium</v>
      </c>
      <c r="O835">
        <f>_xlfn.XLOOKUP(I835,Helper_Table!A:A,Helper_Table!B:B)</f>
        <v>1.1000000000000001</v>
      </c>
      <c r="P835" s="1">
        <f t="shared" si="81"/>
        <v>31831.800000000003</v>
      </c>
      <c r="Q835" s="4">
        <f t="shared" si="82"/>
        <v>0.90909090909090906</v>
      </c>
      <c r="R835" t="str">
        <f t="shared" si="83"/>
        <v>Below Target</v>
      </c>
    </row>
    <row r="836" spans="1:18">
      <c r="A836" t="s">
        <v>11</v>
      </c>
      <c r="B836" t="s">
        <v>36</v>
      </c>
      <c r="C836" t="s">
        <v>13</v>
      </c>
      <c r="D836" t="s">
        <v>21</v>
      </c>
      <c r="E836" t="s">
        <v>38</v>
      </c>
      <c r="F836">
        <v>908</v>
      </c>
      <c r="G836" s="1">
        <v>44347</v>
      </c>
      <c r="H836" s="2">
        <v>45254</v>
      </c>
      <c r="I836" t="s">
        <v>32</v>
      </c>
      <c r="J836" t="s">
        <v>872</v>
      </c>
      <c r="K836" t="s">
        <v>29</v>
      </c>
      <c r="L836" t="str">
        <f t="shared" si="78"/>
        <v>Nov</v>
      </c>
      <c r="M836" t="str">
        <f t="shared" si="79"/>
        <v>Q4</v>
      </c>
      <c r="N836" t="str">
        <f t="shared" si="80"/>
        <v>High</v>
      </c>
      <c r="O836">
        <f>_xlfn.XLOOKUP(I836,Helper_Table!A:A,Helper_Table!B:B)</f>
        <v>0.95</v>
      </c>
      <c r="P836" s="1">
        <f t="shared" si="81"/>
        <v>42129.65</v>
      </c>
      <c r="Q836" s="4">
        <f t="shared" si="82"/>
        <v>1.0526315789473684</v>
      </c>
      <c r="R836" t="str">
        <f t="shared" si="83"/>
        <v>Achieved</v>
      </c>
    </row>
    <row r="837" spans="1:18">
      <c r="A837" t="s">
        <v>24</v>
      </c>
      <c r="B837" t="s">
        <v>49</v>
      </c>
      <c r="C837" t="s">
        <v>30</v>
      </c>
      <c r="D837" t="s">
        <v>14</v>
      </c>
      <c r="E837">
        <v>60</v>
      </c>
      <c r="F837">
        <v>888</v>
      </c>
      <c r="G837" s="1">
        <v>22714</v>
      </c>
      <c r="H837" s="2">
        <v>45295</v>
      </c>
      <c r="I837" t="s">
        <v>32</v>
      </c>
      <c r="J837" t="s">
        <v>873</v>
      </c>
      <c r="K837" t="s">
        <v>34</v>
      </c>
      <c r="L837" t="str">
        <f t="shared" si="78"/>
        <v>Jan</v>
      </c>
      <c r="M837" t="str">
        <f t="shared" si="79"/>
        <v>Q1</v>
      </c>
      <c r="N837" t="str">
        <f t="shared" si="80"/>
        <v>Medium</v>
      </c>
      <c r="O837">
        <f>_xlfn.XLOOKUP(I837,Helper_Table!A:A,Helper_Table!B:B)</f>
        <v>0.95</v>
      </c>
      <c r="P837" s="1">
        <f t="shared" si="81"/>
        <v>21578.3</v>
      </c>
      <c r="Q837" s="4">
        <f t="shared" si="82"/>
        <v>1.0526315789473684</v>
      </c>
      <c r="R837" t="str">
        <f t="shared" si="83"/>
        <v>Achieved</v>
      </c>
    </row>
    <row r="838" spans="1:18">
      <c r="A838" t="s">
        <v>11</v>
      </c>
      <c r="B838" t="s">
        <v>49</v>
      </c>
      <c r="C838" t="s">
        <v>20</v>
      </c>
      <c r="D838" t="s">
        <v>66</v>
      </c>
      <c r="E838">
        <v>60</v>
      </c>
      <c r="F838">
        <v>1591</v>
      </c>
      <c r="G838" s="1">
        <v>6484</v>
      </c>
      <c r="H838" s="2">
        <v>45180</v>
      </c>
      <c r="I838" t="s">
        <v>32</v>
      </c>
      <c r="J838" t="s">
        <v>874</v>
      </c>
      <c r="K838" t="s">
        <v>18</v>
      </c>
      <c r="L838" t="str">
        <f t="shared" si="78"/>
        <v>Sep</v>
      </c>
      <c r="M838" t="str">
        <f t="shared" si="79"/>
        <v>Q3</v>
      </c>
      <c r="N838" t="str">
        <f t="shared" si="80"/>
        <v>Low</v>
      </c>
      <c r="O838">
        <f>_xlfn.XLOOKUP(I838,Helper_Table!A:A,Helper_Table!B:B)</f>
        <v>0.95</v>
      </c>
      <c r="P838" s="1">
        <f t="shared" si="81"/>
        <v>6159.7999999999993</v>
      </c>
      <c r="Q838" s="4">
        <f t="shared" si="82"/>
        <v>1.0526315789473686</v>
      </c>
      <c r="R838" t="str">
        <f t="shared" si="83"/>
        <v>Achieved</v>
      </c>
    </row>
    <row r="839" spans="1:18">
      <c r="A839" t="s">
        <v>11</v>
      </c>
      <c r="B839" t="s">
        <v>49</v>
      </c>
      <c r="C839" t="s">
        <v>59</v>
      </c>
      <c r="D839" t="s">
        <v>26</v>
      </c>
      <c r="E839" t="s">
        <v>15</v>
      </c>
      <c r="F839">
        <v>1266</v>
      </c>
      <c r="G839" s="1">
        <v>27371</v>
      </c>
      <c r="H839" s="2">
        <v>45265</v>
      </c>
      <c r="I839" t="s">
        <v>41</v>
      </c>
      <c r="J839" t="s">
        <v>875</v>
      </c>
      <c r="K839" t="s">
        <v>18</v>
      </c>
      <c r="L839" t="str">
        <f t="shared" si="78"/>
        <v>Dec</v>
      </c>
      <c r="M839" t="str">
        <f t="shared" si="79"/>
        <v>Q4</v>
      </c>
      <c r="N839" t="str">
        <f t="shared" si="80"/>
        <v>Medium</v>
      </c>
      <c r="O839">
        <f>_xlfn.XLOOKUP(I839,Helper_Table!A:A,Helper_Table!B:B)</f>
        <v>1.2</v>
      </c>
      <c r="P839" s="1">
        <f t="shared" si="81"/>
        <v>32845.199999999997</v>
      </c>
      <c r="Q839" s="4">
        <f t="shared" si="82"/>
        <v>0.83333333333333337</v>
      </c>
      <c r="R839" t="str">
        <f t="shared" si="83"/>
        <v>Below Target</v>
      </c>
    </row>
    <row r="840" spans="1:18">
      <c r="A840" t="s">
        <v>35</v>
      </c>
      <c r="B840" t="s">
        <v>36</v>
      </c>
      <c r="C840" t="s">
        <v>25</v>
      </c>
      <c r="D840" t="s">
        <v>31</v>
      </c>
      <c r="E840">
        <v>30</v>
      </c>
      <c r="F840">
        <v>1335</v>
      </c>
      <c r="G840" s="1">
        <v>1534</v>
      </c>
      <c r="H840" s="2">
        <v>45480</v>
      </c>
      <c r="I840" t="s">
        <v>39</v>
      </c>
      <c r="J840" t="s">
        <v>876</v>
      </c>
      <c r="K840" t="s">
        <v>34</v>
      </c>
      <c r="L840" t="str">
        <f t="shared" si="78"/>
        <v>Jul</v>
      </c>
      <c r="M840" t="str">
        <f t="shared" si="79"/>
        <v>Q3</v>
      </c>
      <c r="N840" t="str">
        <f t="shared" si="80"/>
        <v>Low</v>
      </c>
      <c r="O840">
        <f>_xlfn.XLOOKUP(I840,Helper_Table!A:A,Helper_Table!B:B)</f>
        <v>1.1000000000000001</v>
      </c>
      <c r="P840" s="1">
        <f t="shared" si="81"/>
        <v>1687.4</v>
      </c>
      <c r="Q840" s="4">
        <f t="shared" si="82"/>
        <v>0.90909090909090906</v>
      </c>
      <c r="R840" t="str">
        <f t="shared" si="83"/>
        <v>Below Target</v>
      </c>
    </row>
    <row r="841" spans="1:18">
      <c r="A841" t="s">
        <v>64</v>
      </c>
      <c r="B841" t="s">
        <v>49</v>
      </c>
      <c r="C841" t="s">
        <v>13</v>
      </c>
      <c r="D841" t="s">
        <v>31</v>
      </c>
      <c r="E841">
        <v>30</v>
      </c>
      <c r="F841">
        <v>790</v>
      </c>
      <c r="G841" s="1">
        <v>9353</v>
      </c>
      <c r="H841" s="2">
        <v>45314</v>
      </c>
      <c r="I841" t="s">
        <v>39</v>
      </c>
      <c r="J841" t="s">
        <v>877</v>
      </c>
      <c r="K841" t="s">
        <v>18</v>
      </c>
      <c r="L841" t="str">
        <f t="shared" si="78"/>
        <v>Jan</v>
      </c>
      <c r="M841" t="str">
        <f t="shared" si="79"/>
        <v>Q1</v>
      </c>
      <c r="N841" t="str">
        <f t="shared" si="80"/>
        <v>Low</v>
      </c>
      <c r="O841">
        <f>_xlfn.XLOOKUP(I841,Helper_Table!A:A,Helper_Table!B:B)</f>
        <v>1.1000000000000001</v>
      </c>
      <c r="P841" s="1">
        <f t="shared" si="81"/>
        <v>10288.300000000001</v>
      </c>
      <c r="Q841" s="4">
        <f t="shared" si="82"/>
        <v>0.90909090909090895</v>
      </c>
      <c r="R841" t="str">
        <f t="shared" si="83"/>
        <v>Below Target</v>
      </c>
    </row>
    <row r="842" spans="1:18">
      <c r="A842" t="s">
        <v>35</v>
      </c>
      <c r="B842" t="s">
        <v>12</v>
      </c>
      <c r="C842" t="s">
        <v>13</v>
      </c>
      <c r="D842" t="s">
        <v>14</v>
      </c>
      <c r="E842" t="s">
        <v>38</v>
      </c>
      <c r="F842">
        <v>408</v>
      </c>
      <c r="G842" s="1">
        <v>31302</v>
      </c>
      <c r="H842" s="2">
        <v>45346</v>
      </c>
      <c r="I842" t="s">
        <v>16</v>
      </c>
      <c r="J842" t="s">
        <v>878</v>
      </c>
      <c r="K842" t="s">
        <v>18</v>
      </c>
      <c r="L842" t="str">
        <f t="shared" si="78"/>
        <v>Feb</v>
      </c>
      <c r="M842" t="str">
        <f t="shared" si="79"/>
        <v>Q1</v>
      </c>
      <c r="N842" t="str">
        <f t="shared" si="80"/>
        <v>Medium</v>
      </c>
      <c r="O842">
        <f>_xlfn.XLOOKUP(I842,Helper_Table!A:A,Helper_Table!B:B)</f>
        <v>1.1000000000000001</v>
      </c>
      <c r="P842" s="1">
        <f t="shared" si="81"/>
        <v>34432.200000000004</v>
      </c>
      <c r="Q842" s="4">
        <f t="shared" si="82"/>
        <v>0.90909090909090895</v>
      </c>
      <c r="R842" t="str">
        <f t="shared" si="83"/>
        <v>Below Target</v>
      </c>
    </row>
    <row r="843" spans="1:18">
      <c r="A843" t="s">
        <v>45</v>
      </c>
      <c r="B843" t="s">
        <v>12</v>
      </c>
      <c r="C843" t="s">
        <v>30</v>
      </c>
      <c r="D843" t="s">
        <v>66</v>
      </c>
      <c r="E843" t="s">
        <v>15</v>
      </c>
      <c r="F843">
        <v>1613</v>
      </c>
      <c r="G843" s="1">
        <v>49778</v>
      </c>
      <c r="H843" s="2">
        <v>45254</v>
      </c>
      <c r="I843" t="s">
        <v>16</v>
      </c>
      <c r="J843" t="s">
        <v>879</v>
      </c>
      <c r="K843" t="s">
        <v>18</v>
      </c>
      <c r="L843" t="str">
        <f t="shared" si="78"/>
        <v>Nov</v>
      </c>
      <c r="M843" t="str">
        <f t="shared" si="79"/>
        <v>Q4</v>
      </c>
      <c r="N843" t="str">
        <f t="shared" si="80"/>
        <v>High</v>
      </c>
      <c r="O843">
        <f>_xlfn.XLOOKUP(I843,Helper_Table!A:A,Helper_Table!B:B)</f>
        <v>1.1000000000000001</v>
      </c>
      <c r="P843" s="1">
        <f t="shared" si="81"/>
        <v>54755.8</v>
      </c>
      <c r="Q843" s="4">
        <f t="shared" si="82"/>
        <v>0.90909090909090906</v>
      </c>
      <c r="R843" t="str">
        <f t="shared" si="83"/>
        <v>Below Target</v>
      </c>
    </row>
    <row r="844" spans="1:18">
      <c r="A844" t="s">
        <v>11</v>
      </c>
      <c r="B844" t="s">
        <v>36</v>
      </c>
      <c r="C844" t="s">
        <v>25</v>
      </c>
      <c r="D844" t="s">
        <v>21</v>
      </c>
      <c r="E844" t="s">
        <v>15</v>
      </c>
      <c r="F844">
        <v>1046</v>
      </c>
      <c r="G844" s="1">
        <v>41599</v>
      </c>
      <c r="H844" s="2">
        <v>45161</v>
      </c>
      <c r="I844" t="s">
        <v>16</v>
      </c>
      <c r="J844" t="s">
        <v>880</v>
      </c>
      <c r="K844" t="s">
        <v>44</v>
      </c>
      <c r="L844" t="str">
        <f t="shared" si="78"/>
        <v>Aug</v>
      </c>
      <c r="M844" t="str">
        <f t="shared" si="79"/>
        <v>Q3</v>
      </c>
      <c r="N844" t="str">
        <f t="shared" si="80"/>
        <v>High</v>
      </c>
      <c r="O844">
        <f>_xlfn.XLOOKUP(I844,Helper_Table!A:A,Helper_Table!B:B)</f>
        <v>1.1000000000000001</v>
      </c>
      <c r="P844" s="1">
        <f t="shared" si="81"/>
        <v>45758.9</v>
      </c>
      <c r="Q844" s="4">
        <f t="shared" si="82"/>
        <v>0.90909090909090906</v>
      </c>
      <c r="R844" t="str">
        <f t="shared" si="83"/>
        <v>Below Target</v>
      </c>
    </row>
    <row r="845" spans="1:18">
      <c r="A845" t="s">
        <v>45</v>
      </c>
      <c r="B845" t="s">
        <v>12</v>
      </c>
      <c r="C845" t="s">
        <v>59</v>
      </c>
      <c r="D845" t="s">
        <v>66</v>
      </c>
      <c r="E845">
        <v>60</v>
      </c>
      <c r="F845">
        <v>769</v>
      </c>
      <c r="G845" s="1">
        <v>38634</v>
      </c>
      <c r="H845" s="2">
        <v>45420</v>
      </c>
      <c r="I845" t="s">
        <v>32</v>
      </c>
      <c r="J845" t="s">
        <v>881</v>
      </c>
      <c r="K845" t="s">
        <v>18</v>
      </c>
      <c r="L845" t="str">
        <f t="shared" si="78"/>
        <v>May</v>
      </c>
      <c r="M845" t="str">
        <f t="shared" si="79"/>
        <v>Q2</v>
      </c>
      <c r="N845" t="str">
        <f t="shared" si="80"/>
        <v>Medium</v>
      </c>
      <c r="O845">
        <f>_xlfn.XLOOKUP(I845,Helper_Table!A:A,Helper_Table!B:B)</f>
        <v>0.95</v>
      </c>
      <c r="P845" s="1">
        <f t="shared" si="81"/>
        <v>36702.299999999996</v>
      </c>
      <c r="Q845" s="4">
        <f t="shared" si="82"/>
        <v>1.0526315789473686</v>
      </c>
      <c r="R845" t="str">
        <f t="shared" si="83"/>
        <v>Achieved</v>
      </c>
    </row>
    <row r="846" spans="1:18">
      <c r="A846" t="s">
        <v>64</v>
      </c>
      <c r="B846" t="s">
        <v>49</v>
      </c>
      <c r="C846" t="s">
        <v>13</v>
      </c>
      <c r="D846" t="s">
        <v>66</v>
      </c>
      <c r="E846">
        <v>30</v>
      </c>
      <c r="F846">
        <v>1661</v>
      </c>
      <c r="G846" s="1">
        <v>40534</v>
      </c>
      <c r="H846" s="2">
        <v>45292</v>
      </c>
      <c r="I846" t="s">
        <v>39</v>
      </c>
      <c r="J846" t="s">
        <v>882</v>
      </c>
      <c r="K846" t="s">
        <v>29</v>
      </c>
      <c r="L846" t="str">
        <f t="shared" si="78"/>
        <v>Jan</v>
      </c>
      <c r="M846" t="str">
        <f t="shared" si="79"/>
        <v>Q1</v>
      </c>
      <c r="N846" t="str">
        <f t="shared" si="80"/>
        <v>High</v>
      </c>
      <c r="O846">
        <f>_xlfn.XLOOKUP(I846,Helper_Table!A:A,Helper_Table!B:B)</f>
        <v>1.1000000000000001</v>
      </c>
      <c r="P846" s="1">
        <f t="shared" si="81"/>
        <v>44587.4</v>
      </c>
      <c r="Q846" s="4">
        <f t="shared" si="82"/>
        <v>0.90909090909090906</v>
      </c>
      <c r="R846" t="str">
        <f t="shared" si="83"/>
        <v>Below Target</v>
      </c>
    </row>
    <row r="847" spans="1:18">
      <c r="A847" t="s">
        <v>64</v>
      </c>
      <c r="B847" t="s">
        <v>51</v>
      </c>
      <c r="C847" t="s">
        <v>30</v>
      </c>
      <c r="D847" t="s">
        <v>26</v>
      </c>
      <c r="E847" t="s">
        <v>22</v>
      </c>
      <c r="F847">
        <v>1541</v>
      </c>
      <c r="G847" s="1">
        <v>36377</v>
      </c>
      <c r="H847" s="2">
        <v>45152</v>
      </c>
      <c r="I847" t="s">
        <v>16</v>
      </c>
      <c r="J847" t="s">
        <v>883</v>
      </c>
      <c r="K847" t="s">
        <v>44</v>
      </c>
      <c r="L847" t="str">
        <f t="shared" si="78"/>
        <v>Aug</v>
      </c>
      <c r="M847" t="str">
        <f t="shared" si="79"/>
        <v>Q3</v>
      </c>
      <c r="N847" t="str">
        <f t="shared" si="80"/>
        <v>Medium</v>
      </c>
      <c r="O847">
        <f>_xlfn.XLOOKUP(I847,Helper_Table!A:A,Helper_Table!B:B)</f>
        <v>1.1000000000000001</v>
      </c>
      <c r="P847" s="1">
        <f t="shared" si="81"/>
        <v>40014.700000000004</v>
      </c>
      <c r="Q847" s="4">
        <f t="shared" si="82"/>
        <v>0.90909090909090895</v>
      </c>
      <c r="R847" t="str">
        <f t="shared" si="83"/>
        <v>Below Target</v>
      </c>
    </row>
    <row r="848" spans="1:18">
      <c r="A848" t="s">
        <v>35</v>
      </c>
      <c r="B848" t="s">
        <v>51</v>
      </c>
      <c r="C848" t="s">
        <v>30</v>
      </c>
      <c r="D848" t="s">
        <v>66</v>
      </c>
      <c r="E848" t="s">
        <v>15</v>
      </c>
      <c r="F848">
        <v>286</v>
      </c>
      <c r="G848" s="1">
        <v>30863</v>
      </c>
      <c r="H848" s="2">
        <v>45178</v>
      </c>
      <c r="I848" t="s">
        <v>39</v>
      </c>
      <c r="J848" t="s">
        <v>884</v>
      </c>
      <c r="K848" t="s">
        <v>44</v>
      </c>
      <c r="L848" t="str">
        <f t="shared" si="78"/>
        <v>Sep</v>
      </c>
      <c r="M848" t="str">
        <f t="shared" si="79"/>
        <v>Q3</v>
      </c>
      <c r="N848" t="str">
        <f t="shared" si="80"/>
        <v>Medium</v>
      </c>
      <c r="O848">
        <f>_xlfn.XLOOKUP(I848,Helper_Table!A:A,Helper_Table!B:B)</f>
        <v>1.1000000000000001</v>
      </c>
      <c r="P848" s="1">
        <f t="shared" si="81"/>
        <v>33949.300000000003</v>
      </c>
      <c r="Q848" s="4">
        <f t="shared" si="82"/>
        <v>0.90909090909090906</v>
      </c>
      <c r="R848" t="str">
        <f t="shared" si="83"/>
        <v>Below Target</v>
      </c>
    </row>
    <row r="849" spans="1:18">
      <c r="A849" t="s">
        <v>35</v>
      </c>
      <c r="B849" t="s">
        <v>19</v>
      </c>
      <c r="C849" t="s">
        <v>20</v>
      </c>
      <c r="D849" t="s">
        <v>14</v>
      </c>
      <c r="E849" t="s">
        <v>22</v>
      </c>
      <c r="F849">
        <v>1432</v>
      </c>
      <c r="G849" s="1">
        <v>43247</v>
      </c>
      <c r="H849" s="2">
        <v>45464</v>
      </c>
      <c r="I849" t="s">
        <v>27</v>
      </c>
      <c r="J849" t="s">
        <v>885</v>
      </c>
      <c r="K849" t="s">
        <v>47</v>
      </c>
      <c r="L849" t="str">
        <f t="shared" si="78"/>
        <v>Jun</v>
      </c>
      <c r="M849" t="str">
        <f t="shared" si="79"/>
        <v>Q2</v>
      </c>
      <c r="N849" t="str">
        <f t="shared" si="80"/>
        <v>High</v>
      </c>
      <c r="O849">
        <f>_xlfn.XLOOKUP(I849,Helper_Table!A:A,Helper_Table!B:B)</f>
        <v>0.9</v>
      </c>
      <c r="P849" s="1">
        <f t="shared" si="81"/>
        <v>38922.300000000003</v>
      </c>
      <c r="Q849" s="4">
        <f t="shared" si="82"/>
        <v>1.1111111111111109</v>
      </c>
      <c r="R849" t="str">
        <f t="shared" si="83"/>
        <v>Achieved</v>
      </c>
    </row>
    <row r="850" spans="1:18">
      <c r="A850" t="s">
        <v>24</v>
      </c>
      <c r="B850" t="s">
        <v>36</v>
      </c>
      <c r="C850" t="s">
        <v>13</v>
      </c>
      <c r="D850" t="s">
        <v>21</v>
      </c>
      <c r="E850" t="s">
        <v>15</v>
      </c>
      <c r="F850">
        <v>249</v>
      </c>
      <c r="G850" s="1">
        <v>21795</v>
      </c>
      <c r="H850" s="2">
        <v>45189</v>
      </c>
      <c r="I850" t="s">
        <v>32</v>
      </c>
      <c r="J850" t="s">
        <v>886</v>
      </c>
      <c r="K850" t="s">
        <v>29</v>
      </c>
      <c r="L850" t="str">
        <f t="shared" si="78"/>
        <v>Sep</v>
      </c>
      <c r="M850" t="str">
        <f t="shared" si="79"/>
        <v>Q3</v>
      </c>
      <c r="N850" t="str">
        <f t="shared" si="80"/>
        <v>Medium</v>
      </c>
      <c r="O850">
        <f>_xlfn.XLOOKUP(I850,Helper_Table!A:A,Helper_Table!B:B)</f>
        <v>0.95</v>
      </c>
      <c r="P850" s="1">
        <f t="shared" si="81"/>
        <v>20705.25</v>
      </c>
      <c r="Q850" s="4">
        <f t="shared" si="82"/>
        <v>1.0526315789473684</v>
      </c>
      <c r="R850" t="str">
        <f t="shared" si="83"/>
        <v>Achieved</v>
      </c>
    </row>
    <row r="851" spans="1:18">
      <c r="A851" t="s">
        <v>11</v>
      </c>
      <c r="B851" t="s">
        <v>12</v>
      </c>
      <c r="C851" t="s">
        <v>20</v>
      </c>
      <c r="D851" t="s">
        <v>31</v>
      </c>
      <c r="E851">
        <v>30</v>
      </c>
      <c r="F851">
        <v>1441</v>
      </c>
      <c r="G851" s="1">
        <v>15841</v>
      </c>
      <c r="H851" s="2">
        <v>45149</v>
      </c>
      <c r="I851" t="s">
        <v>27</v>
      </c>
      <c r="J851" t="s">
        <v>887</v>
      </c>
      <c r="K851" t="s">
        <v>47</v>
      </c>
      <c r="L851" t="str">
        <f t="shared" si="78"/>
        <v>Aug</v>
      </c>
      <c r="M851" t="str">
        <f t="shared" si="79"/>
        <v>Q3</v>
      </c>
      <c r="N851" t="str">
        <f t="shared" si="80"/>
        <v>Low</v>
      </c>
      <c r="O851">
        <f>_xlfn.XLOOKUP(I851,Helper_Table!A:A,Helper_Table!B:B)</f>
        <v>0.9</v>
      </c>
      <c r="P851" s="1">
        <f t="shared" si="81"/>
        <v>14256.9</v>
      </c>
      <c r="Q851" s="4">
        <f t="shared" si="82"/>
        <v>1.1111111111111112</v>
      </c>
      <c r="R851" t="str">
        <f t="shared" si="83"/>
        <v>Achieved</v>
      </c>
    </row>
    <row r="852" spans="1:18">
      <c r="A852" t="s">
        <v>11</v>
      </c>
      <c r="B852" t="s">
        <v>19</v>
      </c>
      <c r="C852" t="s">
        <v>59</v>
      </c>
      <c r="D852" t="s">
        <v>21</v>
      </c>
      <c r="E852">
        <v>30</v>
      </c>
      <c r="F852">
        <v>1951</v>
      </c>
      <c r="G852" s="1">
        <v>18265</v>
      </c>
      <c r="H852" s="2">
        <v>45445</v>
      </c>
      <c r="I852" t="s">
        <v>27</v>
      </c>
      <c r="J852" t="s">
        <v>888</v>
      </c>
      <c r="K852" t="s">
        <v>29</v>
      </c>
      <c r="L852" t="str">
        <f t="shared" si="78"/>
        <v>Jun</v>
      </c>
      <c r="M852" t="str">
        <f t="shared" si="79"/>
        <v>Q2</v>
      </c>
      <c r="N852" t="str">
        <f t="shared" si="80"/>
        <v>Low</v>
      </c>
      <c r="O852">
        <f>_xlfn.XLOOKUP(I852,Helper_Table!A:A,Helper_Table!B:B)</f>
        <v>0.9</v>
      </c>
      <c r="P852" s="1">
        <f t="shared" si="81"/>
        <v>16438.5</v>
      </c>
      <c r="Q852" s="4">
        <f t="shared" si="82"/>
        <v>1.1111111111111112</v>
      </c>
      <c r="R852" t="str">
        <f t="shared" si="83"/>
        <v>Achieved</v>
      </c>
    </row>
    <row r="853" spans="1:18">
      <c r="A853" t="s">
        <v>11</v>
      </c>
      <c r="B853" t="s">
        <v>49</v>
      </c>
      <c r="C853" t="s">
        <v>20</v>
      </c>
      <c r="D853" t="s">
        <v>21</v>
      </c>
      <c r="E853" t="s">
        <v>22</v>
      </c>
      <c r="F853">
        <v>1017</v>
      </c>
      <c r="G853" s="1">
        <v>10342</v>
      </c>
      <c r="H853" s="2">
        <v>45475</v>
      </c>
      <c r="I853" t="s">
        <v>41</v>
      </c>
      <c r="J853" t="s">
        <v>889</v>
      </c>
      <c r="K853" t="s">
        <v>29</v>
      </c>
      <c r="L853" t="str">
        <f t="shared" si="78"/>
        <v>Jul</v>
      </c>
      <c r="M853" t="str">
        <f t="shared" si="79"/>
        <v>Q3</v>
      </c>
      <c r="N853" t="str">
        <f t="shared" si="80"/>
        <v>Low</v>
      </c>
      <c r="O853">
        <f>_xlfn.XLOOKUP(I853,Helper_Table!A:A,Helper_Table!B:B)</f>
        <v>1.2</v>
      </c>
      <c r="P853" s="1">
        <f t="shared" si="81"/>
        <v>12410.4</v>
      </c>
      <c r="Q853" s="4">
        <f t="shared" si="82"/>
        <v>0.83333333333333337</v>
      </c>
      <c r="R853" t="str">
        <f t="shared" si="83"/>
        <v>Below Target</v>
      </c>
    </row>
    <row r="854" spans="1:18">
      <c r="A854" t="s">
        <v>45</v>
      </c>
      <c r="B854" t="s">
        <v>12</v>
      </c>
      <c r="C854" t="s">
        <v>59</v>
      </c>
      <c r="D854" t="s">
        <v>66</v>
      </c>
      <c r="E854">
        <v>60</v>
      </c>
      <c r="F854">
        <v>1287</v>
      </c>
      <c r="G854" s="1">
        <v>45058</v>
      </c>
      <c r="H854" s="2">
        <v>45330</v>
      </c>
      <c r="I854" t="s">
        <v>41</v>
      </c>
      <c r="J854" t="s">
        <v>890</v>
      </c>
      <c r="K854" t="s">
        <v>47</v>
      </c>
      <c r="L854" t="str">
        <f t="shared" si="78"/>
        <v>Feb</v>
      </c>
      <c r="M854" t="str">
        <f t="shared" si="79"/>
        <v>Q1</v>
      </c>
      <c r="N854" t="str">
        <f t="shared" si="80"/>
        <v>High</v>
      </c>
      <c r="O854">
        <f>_xlfn.XLOOKUP(I854,Helper_Table!A:A,Helper_Table!B:B)</f>
        <v>1.2</v>
      </c>
      <c r="P854" s="1">
        <f t="shared" si="81"/>
        <v>54069.599999999999</v>
      </c>
      <c r="Q854" s="4">
        <f t="shared" si="82"/>
        <v>0.83333333333333337</v>
      </c>
      <c r="R854" t="str">
        <f t="shared" si="83"/>
        <v>Below Target</v>
      </c>
    </row>
    <row r="855" spans="1:18">
      <c r="A855" t="s">
        <v>11</v>
      </c>
      <c r="B855" t="s">
        <v>51</v>
      </c>
      <c r="C855" t="s">
        <v>13</v>
      </c>
      <c r="D855" t="s">
        <v>31</v>
      </c>
      <c r="E855" t="s">
        <v>22</v>
      </c>
      <c r="F855">
        <v>1236</v>
      </c>
      <c r="G855" s="1">
        <v>48538</v>
      </c>
      <c r="H855" s="2">
        <v>45475</v>
      </c>
      <c r="I855" t="s">
        <v>16</v>
      </c>
      <c r="J855" t="s">
        <v>891</v>
      </c>
      <c r="K855" t="s">
        <v>47</v>
      </c>
      <c r="L855" t="str">
        <f t="shared" si="78"/>
        <v>Jul</v>
      </c>
      <c r="M855" t="str">
        <f t="shared" si="79"/>
        <v>Q3</v>
      </c>
      <c r="N855" t="str">
        <f t="shared" si="80"/>
        <v>High</v>
      </c>
      <c r="O855">
        <f>_xlfn.XLOOKUP(I855,Helper_Table!A:A,Helper_Table!B:B)</f>
        <v>1.1000000000000001</v>
      </c>
      <c r="P855" s="1">
        <f t="shared" si="81"/>
        <v>53391.8</v>
      </c>
      <c r="Q855" s="4">
        <f t="shared" si="82"/>
        <v>0.90909090909090906</v>
      </c>
      <c r="R855" t="str">
        <f t="shared" si="83"/>
        <v>Below Target</v>
      </c>
    </row>
    <row r="856" spans="1:18">
      <c r="A856" t="s">
        <v>24</v>
      </c>
      <c r="B856" t="s">
        <v>49</v>
      </c>
      <c r="C856" t="s">
        <v>25</v>
      </c>
      <c r="D856" t="s">
        <v>31</v>
      </c>
      <c r="E856" t="s">
        <v>38</v>
      </c>
      <c r="F856">
        <v>1368</v>
      </c>
      <c r="G856" s="1">
        <v>6205</v>
      </c>
      <c r="H856" s="2">
        <v>45369</v>
      </c>
      <c r="I856" t="s">
        <v>41</v>
      </c>
      <c r="J856" t="s">
        <v>892</v>
      </c>
      <c r="K856" t="s">
        <v>44</v>
      </c>
      <c r="L856" t="str">
        <f t="shared" si="78"/>
        <v>Mar</v>
      </c>
      <c r="M856" t="str">
        <f t="shared" si="79"/>
        <v>Q1</v>
      </c>
      <c r="N856" t="str">
        <f t="shared" si="80"/>
        <v>Low</v>
      </c>
      <c r="O856">
        <f>_xlfn.XLOOKUP(I856,Helper_Table!A:A,Helper_Table!B:B)</f>
        <v>1.2</v>
      </c>
      <c r="P856" s="1">
        <f t="shared" si="81"/>
        <v>7446</v>
      </c>
      <c r="Q856" s="4">
        <f t="shared" si="82"/>
        <v>0.83333333333333337</v>
      </c>
      <c r="R856" t="str">
        <f t="shared" si="83"/>
        <v>Below Target</v>
      </c>
    </row>
    <row r="857" spans="1:18">
      <c r="A857" t="s">
        <v>45</v>
      </c>
      <c r="B857" t="s">
        <v>36</v>
      </c>
      <c r="C857" t="s">
        <v>25</v>
      </c>
      <c r="D857" t="s">
        <v>14</v>
      </c>
      <c r="E857" t="s">
        <v>22</v>
      </c>
      <c r="F857">
        <v>936</v>
      </c>
      <c r="G857" s="1">
        <v>10109</v>
      </c>
      <c r="H857" s="2">
        <v>45375</v>
      </c>
      <c r="I857" t="s">
        <v>32</v>
      </c>
      <c r="J857" t="s">
        <v>893</v>
      </c>
      <c r="K857" t="s">
        <v>34</v>
      </c>
      <c r="L857" t="str">
        <f t="shared" si="78"/>
        <v>Mar</v>
      </c>
      <c r="M857" t="str">
        <f t="shared" si="79"/>
        <v>Q1</v>
      </c>
      <c r="N857" t="str">
        <f t="shared" si="80"/>
        <v>Low</v>
      </c>
      <c r="O857">
        <f>_xlfn.XLOOKUP(I857,Helper_Table!A:A,Helper_Table!B:B)</f>
        <v>0.95</v>
      </c>
      <c r="P857" s="1">
        <f t="shared" si="81"/>
        <v>9603.5499999999993</v>
      </c>
      <c r="Q857" s="4">
        <f t="shared" si="82"/>
        <v>1.0526315789473686</v>
      </c>
      <c r="R857" t="str">
        <f t="shared" si="83"/>
        <v>Achieved</v>
      </c>
    </row>
    <row r="858" spans="1:18">
      <c r="A858" t="s">
        <v>35</v>
      </c>
      <c r="B858" t="s">
        <v>36</v>
      </c>
      <c r="C858" t="s">
        <v>30</v>
      </c>
      <c r="D858" t="s">
        <v>21</v>
      </c>
      <c r="E858">
        <v>60</v>
      </c>
      <c r="F858">
        <v>676</v>
      </c>
      <c r="G858" s="1">
        <v>37726</v>
      </c>
      <c r="H858" s="2">
        <v>45284</v>
      </c>
      <c r="I858" t="s">
        <v>32</v>
      </c>
      <c r="J858" t="s">
        <v>894</v>
      </c>
      <c r="K858" t="s">
        <v>18</v>
      </c>
      <c r="L858" t="str">
        <f t="shared" si="78"/>
        <v>Dec</v>
      </c>
      <c r="M858" t="str">
        <f t="shared" si="79"/>
        <v>Q4</v>
      </c>
      <c r="N858" t="str">
        <f t="shared" si="80"/>
        <v>Medium</v>
      </c>
      <c r="O858">
        <f>_xlfn.XLOOKUP(I858,Helper_Table!A:A,Helper_Table!B:B)</f>
        <v>0.95</v>
      </c>
      <c r="P858" s="1">
        <f t="shared" si="81"/>
        <v>35839.699999999997</v>
      </c>
      <c r="Q858" s="4">
        <f t="shared" si="82"/>
        <v>1.0526315789473686</v>
      </c>
      <c r="R858" t="str">
        <f t="shared" si="83"/>
        <v>Achieved</v>
      </c>
    </row>
    <row r="859" spans="1:18">
      <c r="A859" t="s">
        <v>24</v>
      </c>
      <c r="B859" t="s">
        <v>49</v>
      </c>
      <c r="C859" t="s">
        <v>30</v>
      </c>
      <c r="D859" t="s">
        <v>14</v>
      </c>
      <c r="E859">
        <v>30</v>
      </c>
      <c r="F859">
        <v>338</v>
      </c>
      <c r="G859" s="1">
        <v>11276</v>
      </c>
      <c r="H859" s="2">
        <v>45177</v>
      </c>
      <c r="I859" t="s">
        <v>27</v>
      </c>
      <c r="J859" t="s">
        <v>895</v>
      </c>
      <c r="K859" t="s">
        <v>47</v>
      </c>
      <c r="L859" t="str">
        <f t="shared" si="78"/>
        <v>Sep</v>
      </c>
      <c r="M859" t="str">
        <f t="shared" si="79"/>
        <v>Q3</v>
      </c>
      <c r="N859" t="str">
        <f t="shared" si="80"/>
        <v>Low</v>
      </c>
      <c r="O859">
        <f>_xlfn.XLOOKUP(I859,Helper_Table!A:A,Helper_Table!B:B)</f>
        <v>0.9</v>
      </c>
      <c r="P859" s="1">
        <f t="shared" si="81"/>
        <v>10148.4</v>
      </c>
      <c r="Q859" s="4">
        <f t="shared" si="82"/>
        <v>1.1111111111111112</v>
      </c>
      <c r="R859" t="str">
        <f t="shared" si="83"/>
        <v>Achieved</v>
      </c>
    </row>
    <row r="860" spans="1:18">
      <c r="A860" t="s">
        <v>45</v>
      </c>
      <c r="B860" t="s">
        <v>12</v>
      </c>
      <c r="C860" t="s">
        <v>25</v>
      </c>
      <c r="D860" t="s">
        <v>21</v>
      </c>
      <c r="E860" t="s">
        <v>15</v>
      </c>
      <c r="F860">
        <v>1131</v>
      </c>
      <c r="G860" s="1">
        <v>33794</v>
      </c>
      <c r="H860" s="2">
        <v>45321</v>
      </c>
      <c r="I860" t="s">
        <v>32</v>
      </c>
      <c r="J860" t="s">
        <v>896</v>
      </c>
      <c r="K860" t="s">
        <v>47</v>
      </c>
      <c r="L860" t="str">
        <f t="shared" si="78"/>
        <v>Jan</v>
      </c>
      <c r="M860" t="str">
        <f t="shared" si="79"/>
        <v>Q1</v>
      </c>
      <c r="N860" t="str">
        <f t="shared" si="80"/>
        <v>Medium</v>
      </c>
      <c r="O860">
        <f>_xlfn.XLOOKUP(I860,Helper_Table!A:A,Helper_Table!B:B)</f>
        <v>0.95</v>
      </c>
      <c r="P860" s="1">
        <f t="shared" si="81"/>
        <v>32104.3</v>
      </c>
      <c r="Q860" s="4">
        <f t="shared" si="82"/>
        <v>1.0526315789473684</v>
      </c>
      <c r="R860" t="str">
        <f t="shared" si="83"/>
        <v>Achieved</v>
      </c>
    </row>
    <row r="861" spans="1:18">
      <c r="A861" t="s">
        <v>11</v>
      </c>
      <c r="B861" t="s">
        <v>36</v>
      </c>
      <c r="C861" t="s">
        <v>20</v>
      </c>
      <c r="D861" t="s">
        <v>31</v>
      </c>
      <c r="E861" t="s">
        <v>22</v>
      </c>
      <c r="F861">
        <v>1415</v>
      </c>
      <c r="G861" s="1">
        <v>40903</v>
      </c>
      <c r="H861" s="2">
        <v>45136</v>
      </c>
      <c r="I861" t="s">
        <v>16</v>
      </c>
      <c r="J861" t="s">
        <v>897</v>
      </c>
      <c r="K861" t="s">
        <v>34</v>
      </c>
      <c r="L861" t="str">
        <f t="shared" si="78"/>
        <v>Jul</v>
      </c>
      <c r="M861" t="str">
        <f t="shared" si="79"/>
        <v>Q3</v>
      </c>
      <c r="N861" t="str">
        <f t="shared" si="80"/>
        <v>High</v>
      </c>
      <c r="O861">
        <f>_xlfn.XLOOKUP(I861,Helper_Table!A:A,Helper_Table!B:B)</f>
        <v>1.1000000000000001</v>
      </c>
      <c r="P861" s="1">
        <f t="shared" si="81"/>
        <v>44993.3</v>
      </c>
      <c r="Q861" s="4">
        <f t="shared" si="82"/>
        <v>0.90909090909090906</v>
      </c>
      <c r="R861" t="str">
        <f t="shared" si="83"/>
        <v>Below Target</v>
      </c>
    </row>
    <row r="862" spans="1:18">
      <c r="A862" t="s">
        <v>35</v>
      </c>
      <c r="B862" t="s">
        <v>49</v>
      </c>
      <c r="C862" t="s">
        <v>25</v>
      </c>
      <c r="D862" t="s">
        <v>66</v>
      </c>
      <c r="E862" t="s">
        <v>15</v>
      </c>
      <c r="F862">
        <v>1737</v>
      </c>
      <c r="G862" s="1">
        <v>27260</v>
      </c>
      <c r="H862" s="2">
        <v>45310</v>
      </c>
      <c r="I862" t="s">
        <v>41</v>
      </c>
      <c r="J862" t="s">
        <v>898</v>
      </c>
      <c r="K862" t="s">
        <v>29</v>
      </c>
      <c r="L862" t="str">
        <f t="shared" si="78"/>
        <v>Jan</v>
      </c>
      <c r="M862" t="str">
        <f t="shared" si="79"/>
        <v>Q1</v>
      </c>
      <c r="N862" t="str">
        <f t="shared" si="80"/>
        <v>Medium</v>
      </c>
      <c r="O862">
        <f>_xlfn.XLOOKUP(I862,Helper_Table!A:A,Helper_Table!B:B)</f>
        <v>1.2</v>
      </c>
      <c r="P862" s="1">
        <f t="shared" si="81"/>
        <v>32712</v>
      </c>
      <c r="Q862" s="4">
        <f t="shared" si="82"/>
        <v>0.83333333333333337</v>
      </c>
      <c r="R862" t="str">
        <f t="shared" si="83"/>
        <v>Below Target</v>
      </c>
    </row>
    <row r="863" spans="1:18">
      <c r="A863" t="s">
        <v>24</v>
      </c>
      <c r="B863" t="s">
        <v>19</v>
      </c>
      <c r="C863" t="s">
        <v>59</v>
      </c>
      <c r="D863" t="s">
        <v>26</v>
      </c>
      <c r="E863" t="s">
        <v>22</v>
      </c>
      <c r="F863">
        <v>689</v>
      </c>
      <c r="G863" s="1">
        <v>19199</v>
      </c>
      <c r="H863" s="2">
        <v>45328</v>
      </c>
      <c r="I863" t="s">
        <v>27</v>
      </c>
      <c r="J863" t="s">
        <v>899</v>
      </c>
      <c r="K863" t="s">
        <v>47</v>
      </c>
      <c r="L863" t="str">
        <f t="shared" si="78"/>
        <v>Feb</v>
      </c>
      <c r="M863" t="str">
        <f t="shared" si="79"/>
        <v>Q1</v>
      </c>
      <c r="N863" t="str">
        <f t="shared" si="80"/>
        <v>Low</v>
      </c>
      <c r="O863">
        <f>_xlfn.XLOOKUP(I863,Helper_Table!A:A,Helper_Table!B:B)</f>
        <v>0.9</v>
      </c>
      <c r="P863" s="1">
        <f t="shared" si="81"/>
        <v>17279.100000000002</v>
      </c>
      <c r="Q863" s="4">
        <f t="shared" si="82"/>
        <v>1.1111111111111109</v>
      </c>
      <c r="R863" t="str">
        <f t="shared" si="83"/>
        <v>Achieved</v>
      </c>
    </row>
    <row r="864" spans="1:18">
      <c r="A864" t="s">
        <v>64</v>
      </c>
      <c r="B864" t="s">
        <v>12</v>
      </c>
      <c r="C864" t="s">
        <v>13</v>
      </c>
      <c r="D864" t="s">
        <v>66</v>
      </c>
      <c r="E864">
        <v>30</v>
      </c>
      <c r="F864">
        <v>961</v>
      </c>
      <c r="G864" s="1">
        <v>17111</v>
      </c>
      <c r="H864" s="2">
        <v>45293</v>
      </c>
      <c r="I864" t="s">
        <v>39</v>
      </c>
      <c r="J864" t="s">
        <v>900</v>
      </c>
      <c r="K864" t="s">
        <v>18</v>
      </c>
      <c r="L864" t="str">
        <f t="shared" si="78"/>
        <v>Jan</v>
      </c>
      <c r="M864" t="str">
        <f t="shared" si="79"/>
        <v>Q1</v>
      </c>
      <c r="N864" t="str">
        <f t="shared" si="80"/>
        <v>Low</v>
      </c>
      <c r="O864">
        <f>_xlfn.XLOOKUP(I864,Helper_Table!A:A,Helper_Table!B:B)</f>
        <v>1.1000000000000001</v>
      </c>
      <c r="P864" s="1">
        <f t="shared" si="81"/>
        <v>18822.100000000002</v>
      </c>
      <c r="Q864" s="4">
        <f t="shared" si="82"/>
        <v>0.90909090909090895</v>
      </c>
      <c r="R864" t="str">
        <f t="shared" si="83"/>
        <v>Below Target</v>
      </c>
    </row>
    <row r="865" spans="1:18">
      <c r="A865" t="s">
        <v>24</v>
      </c>
      <c r="B865" t="s">
        <v>12</v>
      </c>
      <c r="C865" t="s">
        <v>13</v>
      </c>
      <c r="D865" t="s">
        <v>66</v>
      </c>
      <c r="E865" t="s">
        <v>22</v>
      </c>
      <c r="F865">
        <v>523</v>
      </c>
      <c r="G865" s="1">
        <v>39012</v>
      </c>
      <c r="H865" s="2">
        <v>45351</v>
      </c>
      <c r="I865" t="s">
        <v>27</v>
      </c>
      <c r="J865" t="s">
        <v>901</v>
      </c>
      <c r="K865" t="s">
        <v>44</v>
      </c>
      <c r="L865" t="str">
        <f t="shared" si="78"/>
        <v>Feb</v>
      </c>
      <c r="M865" t="str">
        <f t="shared" si="79"/>
        <v>Q1</v>
      </c>
      <c r="N865" t="str">
        <f t="shared" si="80"/>
        <v>Medium</v>
      </c>
      <c r="O865">
        <f>_xlfn.XLOOKUP(I865,Helper_Table!A:A,Helper_Table!B:B)</f>
        <v>0.9</v>
      </c>
      <c r="P865" s="1">
        <f t="shared" si="81"/>
        <v>35110.800000000003</v>
      </c>
      <c r="Q865" s="4">
        <f t="shared" si="82"/>
        <v>1.1111111111111109</v>
      </c>
      <c r="R865" t="str">
        <f t="shared" si="83"/>
        <v>Achieved</v>
      </c>
    </row>
    <row r="866" spans="1:18">
      <c r="A866" t="s">
        <v>35</v>
      </c>
      <c r="B866" t="s">
        <v>12</v>
      </c>
      <c r="C866" t="s">
        <v>20</v>
      </c>
      <c r="D866" t="s">
        <v>14</v>
      </c>
      <c r="E866" t="s">
        <v>22</v>
      </c>
      <c r="F866">
        <v>124</v>
      </c>
      <c r="G866" s="1">
        <v>17741</v>
      </c>
      <c r="H866" s="2">
        <v>45231</v>
      </c>
      <c r="I866" t="s">
        <v>41</v>
      </c>
      <c r="J866" t="s">
        <v>902</v>
      </c>
      <c r="K866" t="s">
        <v>29</v>
      </c>
      <c r="L866" t="str">
        <f t="shared" si="78"/>
        <v>Nov</v>
      </c>
      <c r="M866" t="str">
        <f t="shared" si="79"/>
        <v>Q4</v>
      </c>
      <c r="N866" t="str">
        <f t="shared" si="80"/>
        <v>Low</v>
      </c>
      <c r="O866">
        <f>_xlfn.XLOOKUP(I866,Helper_Table!A:A,Helper_Table!B:B)</f>
        <v>1.2</v>
      </c>
      <c r="P866" s="1">
        <f t="shared" si="81"/>
        <v>21289.200000000001</v>
      </c>
      <c r="Q866" s="4">
        <f t="shared" si="82"/>
        <v>0.83333333333333326</v>
      </c>
      <c r="R866" t="str">
        <f t="shared" si="83"/>
        <v>Below Target</v>
      </c>
    </row>
    <row r="867" spans="1:18">
      <c r="A867" t="s">
        <v>11</v>
      </c>
      <c r="B867" t="s">
        <v>51</v>
      </c>
      <c r="C867" t="s">
        <v>30</v>
      </c>
      <c r="D867" t="s">
        <v>26</v>
      </c>
      <c r="E867" t="s">
        <v>22</v>
      </c>
      <c r="F867">
        <v>1579</v>
      </c>
      <c r="G867" s="1">
        <v>29112</v>
      </c>
      <c r="H867" s="2">
        <v>45209</v>
      </c>
      <c r="I867" t="s">
        <v>32</v>
      </c>
      <c r="J867" t="s">
        <v>903</v>
      </c>
      <c r="K867" t="s">
        <v>44</v>
      </c>
      <c r="L867" t="str">
        <f t="shared" si="78"/>
        <v>Oct</v>
      </c>
      <c r="M867" t="str">
        <f t="shared" si="79"/>
        <v>Q4</v>
      </c>
      <c r="N867" t="str">
        <f t="shared" si="80"/>
        <v>Medium</v>
      </c>
      <c r="O867">
        <f>_xlfn.XLOOKUP(I867,Helper_Table!A:A,Helper_Table!B:B)</f>
        <v>0.95</v>
      </c>
      <c r="P867" s="1">
        <f t="shared" si="81"/>
        <v>27656.399999999998</v>
      </c>
      <c r="Q867" s="4">
        <f t="shared" si="82"/>
        <v>1.0526315789473686</v>
      </c>
      <c r="R867" t="str">
        <f t="shared" si="83"/>
        <v>Achieved</v>
      </c>
    </row>
    <row r="868" spans="1:18">
      <c r="A868" t="s">
        <v>64</v>
      </c>
      <c r="B868" t="s">
        <v>36</v>
      </c>
      <c r="C868" t="s">
        <v>30</v>
      </c>
      <c r="D868" t="s">
        <v>31</v>
      </c>
      <c r="E868">
        <v>30</v>
      </c>
      <c r="F868">
        <v>465</v>
      </c>
      <c r="G868" s="1">
        <v>47839</v>
      </c>
      <c r="H868" s="2">
        <v>45361</v>
      </c>
      <c r="I868" t="s">
        <v>39</v>
      </c>
      <c r="J868" t="s">
        <v>904</v>
      </c>
      <c r="K868" t="s">
        <v>34</v>
      </c>
      <c r="L868" t="str">
        <f t="shared" si="78"/>
        <v>Mar</v>
      </c>
      <c r="M868" t="str">
        <f t="shared" si="79"/>
        <v>Q1</v>
      </c>
      <c r="N868" t="str">
        <f t="shared" si="80"/>
        <v>High</v>
      </c>
      <c r="O868">
        <f>_xlfn.XLOOKUP(I868,Helper_Table!A:A,Helper_Table!B:B)</f>
        <v>1.1000000000000001</v>
      </c>
      <c r="P868" s="1">
        <f t="shared" si="81"/>
        <v>52622.9</v>
      </c>
      <c r="Q868" s="4">
        <f t="shared" si="82"/>
        <v>0.90909090909090906</v>
      </c>
      <c r="R868" t="str">
        <f t="shared" si="83"/>
        <v>Below Target</v>
      </c>
    </row>
    <row r="869" spans="1:18">
      <c r="A869" t="s">
        <v>11</v>
      </c>
      <c r="B869" t="s">
        <v>36</v>
      </c>
      <c r="C869" t="s">
        <v>13</v>
      </c>
      <c r="D869" t="s">
        <v>21</v>
      </c>
      <c r="E869" t="s">
        <v>15</v>
      </c>
      <c r="F869">
        <v>106</v>
      </c>
      <c r="G869" s="1">
        <v>16139</v>
      </c>
      <c r="H869" s="2">
        <v>45412</v>
      </c>
      <c r="I869" t="s">
        <v>39</v>
      </c>
      <c r="J869" t="s">
        <v>905</v>
      </c>
      <c r="K869" t="s">
        <v>18</v>
      </c>
      <c r="L869" t="str">
        <f t="shared" si="78"/>
        <v>Apr</v>
      </c>
      <c r="M869" t="str">
        <f t="shared" si="79"/>
        <v>Q2</v>
      </c>
      <c r="N869" t="str">
        <f t="shared" si="80"/>
        <v>Low</v>
      </c>
      <c r="O869">
        <f>_xlfn.XLOOKUP(I869,Helper_Table!A:A,Helper_Table!B:B)</f>
        <v>1.1000000000000001</v>
      </c>
      <c r="P869" s="1">
        <f t="shared" si="81"/>
        <v>17752.900000000001</v>
      </c>
      <c r="Q869" s="4">
        <f t="shared" si="82"/>
        <v>0.90909090909090906</v>
      </c>
      <c r="R869" t="str">
        <f t="shared" si="83"/>
        <v>Below Target</v>
      </c>
    </row>
    <row r="870" spans="1:18">
      <c r="A870" t="s">
        <v>64</v>
      </c>
      <c r="B870" t="s">
        <v>12</v>
      </c>
      <c r="C870" t="s">
        <v>20</v>
      </c>
      <c r="D870" t="s">
        <v>31</v>
      </c>
      <c r="E870" t="s">
        <v>22</v>
      </c>
      <c r="F870">
        <v>129</v>
      </c>
      <c r="G870" s="1">
        <v>33103</v>
      </c>
      <c r="H870" s="2">
        <v>45272</v>
      </c>
      <c r="I870" t="s">
        <v>32</v>
      </c>
      <c r="J870" t="s">
        <v>906</v>
      </c>
      <c r="K870" t="s">
        <v>34</v>
      </c>
      <c r="L870" t="str">
        <f t="shared" si="78"/>
        <v>Dec</v>
      </c>
      <c r="M870" t="str">
        <f t="shared" si="79"/>
        <v>Q4</v>
      </c>
      <c r="N870" t="str">
        <f t="shared" si="80"/>
        <v>Medium</v>
      </c>
      <c r="O870">
        <f>_xlfn.XLOOKUP(I870,Helper_Table!A:A,Helper_Table!B:B)</f>
        <v>0.95</v>
      </c>
      <c r="P870" s="1">
        <f t="shared" si="81"/>
        <v>31447.85</v>
      </c>
      <c r="Q870" s="4">
        <f t="shared" si="82"/>
        <v>1.0526315789473684</v>
      </c>
      <c r="R870" t="str">
        <f t="shared" si="83"/>
        <v>Achieved</v>
      </c>
    </row>
    <row r="871" spans="1:18">
      <c r="A871" t="s">
        <v>35</v>
      </c>
      <c r="B871" t="s">
        <v>36</v>
      </c>
      <c r="C871" t="s">
        <v>30</v>
      </c>
      <c r="D871" t="s">
        <v>14</v>
      </c>
      <c r="E871">
        <v>30</v>
      </c>
      <c r="F871">
        <v>179</v>
      </c>
      <c r="G871" s="1">
        <v>44121</v>
      </c>
      <c r="H871" s="2">
        <v>45176</v>
      </c>
      <c r="I871" t="s">
        <v>32</v>
      </c>
      <c r="J871" t="s">
        <v>907</v>
      </c>
      <c r="K871" t="s">
        <v>29</v>
      </c>
      <c r="L871" t="str">
        <f t="shared" si="78"/>
        <v>Sep</v>
      </c>
      <c r="M871" t="str">
        <f t="shared" si="79"/>
        <v>Q3</v>
      </c>
      <c r="N871" t="str">
        <f t="shared" si="80"/>
        <v>High</v>
      </c>
      <c r="O871">
        <f>_xlfn.XLOOKUP(I871,Helper_Table!A:A,Helper_Table!B:B)</f>
        <v>0.95</v>
      </c>
      <c r="P871" s="1">
        <f t="shared" si="81"/>
        <v>41914.949999999997</v>
      </c>
      <c r="Q871" s="4">
        <f t="shared" si="82"/>
        <v>1.0526315789473686</v>
      </c>
      <c r="R871" t="str">
        <f t="shared" si="83"/>
        <v>Achieved</v>
      </c>
    </row>
    <row r="872" spans="1:18">
      <c r="A872" t="s">
        <v>45</v>
      </c>
      <c r="B872" t="s">
        <v>19</v>
      </c>
      <c r="C872" t="s">
        <v>25</v>
      </c>
      <c r="D872" t="s">
        <v>21</v>
      </c>
      <c r="E872">
        <v>30</v>
      </c>
      <c r="F872">
        <v>509</v>
      </c>
      <c r="G872" s="1">
        <v>10346</v>
      </c>
      <c r="H872" s="2">
        <v>45369</v>
      </c>
      <c r="I872" t="s">
        <v>27</v>
      </c>
      <c r="J872" t="s">
        <v>908</v>
      </c>
      <c r="K872" t="s">
        <v>34</v>
      </c>
      <c r="L872" t="str">
        <f t="shared" si="78"/>
        <v>Mar</v>
      </c>
      <c r="M872" t="str">
        <f t="shared" si="79"/>
        <v>Q1</v>
      </c>
      <c r="N872" t="str">
        <f t="shared" si="80"/>
        <v>Low</v>
      </c>
      <c r="O872">
        <f>_xlfn.XLOOKUP(I872,Helper_Table!A:A,Helper_Table!B:B)</f>
        <v>0.9</v>
      </c>
      <c r="P872" s="1">
        <f t="shared" si="81"/>
        <v>9311.4</v>
      </c>
      <c r="Q872" s="4">
        <f t="shared" si="82"/>
        <v>1.1111111111111112</v>
      </c>
      <c r="R872" t="str">
        <f t="shared" si="83"/>
        <v>Achieved</v>
      </c>
    </row>
    <row r="873" spans="1:18">
      <c r="A873" t="s">
        <v>45</v>
      </c>
      <c r="B873" t="s">
        <v>49</v>
      </c>
      <c r="C873" t="s">
        <v>30</v>
      </c>
      <c r="D873" t="s">
        <v>31</v>
      </c>
      <c r="E873">
        <v>60</v>
      </c>
      <c r="F873">
        <v>1543</v>
      </c>
      <c r="G873" s="1">
        <v>28043</v>
      </c>
      <c r="H873" s="2">
        <v>45367</v>
      </c>
      <c r="I873" t="s">
        <v>16</v>
      </c>
      <c r="J873" t="s">
        <v>909</v>
      </c>
      <c r="K873" t="s">
        <v>47</v>
      </c>
      <c r="L873" t="str">
        <f t="shared" si="78"/>
        <v>Mar</v>
      </c>
      <c r="M873" t="str">
        <f t="shared" si="79"/>
        <v>Q1</v>
      </c>
      <c r="N873" t="str">
        <f t="shared" si="80"/>
        <v>Medium</v>
      </c>
      <c r="O873">
        <f>_xlfn.XLOOKUP(I873,Helper_Table!A:A,Helper_Table!B:B)</f>
        <v>1.1000000000000001</v>
      </c>
      <c r="P873" s="1">
        <f t="shared" si="81"/>
        <v>30847.300000000003</v>
      </c>
      <c r="Q873" s="4">
        <f t="shared" si="82"/>
        <v>0.90909090909090895</v>
      </c>
      <c r="R873" t="str">
        <f t="shared" si="83"/>
        <v>Below Target</v>
      </c>
    </row>
    <row r="874" spans="1:18">
      <c r="A874" t="s">
        <v>35</v>
      </c>
      <c r="B874" t="s">
        <v>36</v>
      </c>
      <c r="C874" t="s">
        <v>20</v>
      </c>
      <c r="D874" t="s">
        <v>66</v>
      </c>
      <c r="E874" t="s">
        <v>22</v>
      </c>
      <c r="F874">
        <v>517</v>
      </c>
      <c r="G874" s="1">
        <v>39197</v>
      </c>
      <c r="H874" s="2">
        <v>45294</v>
      </c>
      <c r="I874" t="s">
        <v>16</v>
      </c>
      <c r="J874" t="s">
        <v>910</v>
      </c>
      <c r="K874" t="s">
        <v>29</v>
      </c>
      <c r="L874" t="str">
        <f t="shared" si="78"/>
        <v>Jan</v>
      </c>
      <c r="M874" t="str">
        <f t="shared" si="79"/>
        <v>Q1</v>
      </c>
      <c r="N874" t="str">
        <f t="shared" si="80"/>
        <v>Medium</v>
      </c>
      <c r="O874">
        <f>_xlfn.XLOOKUP(I874,Helper_Table!A:A,Helper_Table!B:B)</f>
        <v>1.1000000000000001</v>
      </c>
      <c r="P874" s="1">
        <f t="shared" si="81"/>
        <v>43116.700000000004</v>
      </c>
      <c r="Q874" s="4">
        <f t="shared" si="82"/>
        <v>0.90909090909090895</v>
      </c>
      <c r="R874" t="str">
        <f t="shared" si="83"/>
        <v>Below Target</v>
      </c>
    </row>
    <row r="875" spans="1:18">
      <c r="A875" t="s">
        <v>24</v>
      </c>
      <c r="B875" t="s">
        <v>19</v>
      </c>
      <c r="C875" t="s">
        <v>59</v>
      </c>
      <c r="D875" t="s">
        <v>26</v>
      </c>
      <c r="E875">
        <v>60</v>
      </c>
      <c r="F875">
        <v>938</v>
      </c>
      <c r="G875" s="1">
        <v>27950</v>
      </c>
      <c r="H875" s="2">
        <v>45304</v>
      </c>
      <c r="I875" t="s">
        <v>32</v>
      </c>
      <c r="J875" t="s">
        <v>911</v>
      </c>
      <c r="K875" t="s">
        <v>18</v>
      </c>
      <c r="L875" t="str">
        <f t="shared" si="78"/>
        <v>Jan</v>
      </c>
      <c r="M875" t="str">
        <f t="shared" si="79"/>
        <v>Q1</v>
      </c>
      <c r="N875" t="str">
        <f t="shared" si="80"/>
        <v>Medium</v>
      </c>
      <c r="O875">
        <f>_xlfn.XLOOKUP(I875,Helper_Table!A:A,Helper_Table!B:B)</f>
        <v>0.95</v>
      </c>
      <c r="P875" s="1">
        <f t="shared" si="81"/>
        <v>26552.5</v>
      </c>
      <c r="Q875" s="4">
        <f t="shared" si="82"/>
        <v>1.0526315789473684</v>
      </c>
      <c r="R875" t="str">
        <f t="shared" si="83"/>
        <v>Achieved</v>
      </c>
    </row>
    <row r="876" spans="1:18">
      <c r="A876" t="s">
        <v>11</v>
      </c>
      <c r="B876" t="s">
        <v>51</v>
      </c>
      <c r="C876" t="s">
        <v>13</v>
      </c>
      <c r="D876" t="s">
        <v>26</v>
      </c>
      <c r="E876">
        <v>60</v>
      </c>
      <c r="F876">
        <v>1468</v>
      </c>
      <c r="G876" s="1">
        <v>33405</v>
      </c>
      <c r="H876" s="2">
        <v>45419</v>
      </c>
      <c r="I876" t="s">
        <v>39</v>
      </c>
      <c r="J876" t="s">
        <v>912</v>
      </c>
      <c r="K876" t="s">
        <v>34</v>
      </c>
      <c r="L876" t="str">
        <f t="shared" si="78"/>
        <v>May</v>
      </c>
      <c r="M876" t="str">
        <f t="shared" si="79"/>
        <v>Q2</v>
      </c>
      <c r="N876" t="str">
        <f t="shared" si="80"/>
        <v>Medium</v>
      </c>
      <c r="O876">
        <f>_xlfn.XLOOKUP(I876,Helper_Table!A:A,Helper_Table!B:B)</f>
        <v>1.1000000000000001</v>
      </c>
      <c r="P876" s="1">
        <f t="shared" si="81"/>
        <v>36745.5</v>
      </c>
      <c r="Q876" s="4">
        <f t="shared" si="82"/>
        <v>0.90909090909090906</v>
      </c>
      <c r="R876" t="str">
        <f t="shared" si="83"/>
        <v>Below Target</v>
      </c>
    </row>
    <row r="877" spans="1:18">
      <c r="A877" t="s">
        <v>24</v>
      </c>
      <c r="B877" t="s">
        <v>51</v>
      </c>
      <c r="C877" t="s">
        <v>13</v>
      </c>
      <c r="D877" t="s">
        <v>14</v>
      </c>
      <c r="E877" t="s">
        <v>22</v>
      </c>
      <c r="F877">
        <v>1397</v>
      </c>
      <c r="G877" s="1">
        <v>14728</v>
      </c>
      <c r="H877" s="2">
        <v>45350</v>
      </c>
      <c r="I877" t="s">
        <v>27</v>
      </c>
      <c r="J877" t="s">
        <v>913</v>
      </c>
      <c r="K877" t="s">
        <v>44</v>
      </c>
      <c r="L877" t="str">
        <f t="shared" si="78"/>
        <v>Feb</v>
      </c>
      <c r="M877" t="str">
        <f t="shared" si="79"/>
        <v>Q1</v>
      </c>
      <c r="N877" t="str">
        <f t="shared" si="80"/>
        <v>Low</v>
      </c>
      <c r="O877">
        <f>_xlfn.XLOOKUP(I877,Helper_Table!A:A,Helper_Table!B:B)</f>
        <v>0.9</v>
      </c>
      <c r="P877" s="1">
        <f t="shared" si="81"/>
        <v>13255.2</v>
      </c>
      <c r="Q877" s="4">
        <f t="shared" si="82"/>
        <v>1.1111111111111112</v>
      </c>
      <c r="R877" t="str">
        <f t="shared" si="83"/>
        <v>Achieved</v>
      </c>
    </row>
    <row r="878" spans="1:18">
      <c r="A878" t="s">
        <v>64</v>
      </c>
      <c r="B878" t="s">
        <v>12</v>
      </c>
      <c r="C878" t="s">
        <v>20</v>
      </c>
      <c r="D878" t="s">
        <v>66</v>
      </c>
      <c r="E878" t="s">
        <v>38</v>
      </c>
      <c r="F878">
        <v>230</v>
      </c>
      <c r="G878" s="1">
        <v>44042</v>
      </c>
      <c r="H878" s="2">
        <v>45293</v>
      </c>
      <c r="I878" t="s">
        <v>41</v>
      </c>
      <c r="J878" t="s">
        <v>914</v>
      </c>
      <c r="K878" t="s">
        <v>44</v>
      </c>
      <c r="L878" t="str">
        <f t="shared" si="78"/>
        <v>Jan</v>
      </c>
      <c r="M878" t="str">
        <f t="shared" si="79"/>
        <v>Q1</v>
      </c>
      <c r="N878" t="str">
        <f t="shared" si="80"/>
        <v>High</v>
      </c>
      <c r="O878">
        <f>_xlfn.XLOOKUP(I878,Helper_Table!A:A,Helper_Table!B:B)</f>
        <v>1.2</v>
      </c>
      <c r="P878" s="1">
        <f t="shared" si="81"/>
        <v>52850.400000000001</v>
      </c>
      <c r="Q878" s="4">
        <f t="shared" si="82"/>
        <v>0.83333333333333326</v>
      </c>
      <c r="R878" t="str">
        <f t="shared" si="83"/>
        <v>Below Target</v>
      </c>
    </row>
    <row r="879" spans="1:18">
      <c r="A879" t="s">
        <v>64</v>
      </c>
      <c r="B879" t="s">
        <v>12</v>
      </c>
      <c r="C879" t="s">
        <v>13</v>
      </c>
      <c r="D879" t="s">
        <v>14</v>
      </c>
      <c r="E879">
        <v>60</v>
      </c>
      <c r="F879">
        <v>498</v>
      </c>
      <c r="G879" s="1">
        <v>26954</v>
      </c>
      <c r="H879" s="2">
        <v>45165</v>
      </c>
      <c r="I879" t="s">
        <v>41</v>
      </c>
      <c r="J879" t="s">
        <v>915</v>
      </c>
      <c r="K879" t="s">
        <v>44</v>
      </c>
      <c r="L879" t="str">
        <f t="shared" si="78"/>
        <v>Aug</v>
      </c>
      <c r="M879" t="str">
        <f t="shared" si="79"/>
        <v>Q3</v>
      </c>
      <c r="N879" t="str">
        <f t="shared" si="80"/>
        <v>Medium</v>
      </c>
      <c r="O879">
        <f>_xlfn.XLOOKUP(I879,Helper_Table!A:A,Helper_Table!B:B)</f>
        <v>1.2</v>
      </c>
      <c r="P879" s="1">
        <f t="shared" si="81"/>
        <v>32344.799999999999</v>
      </c>
      <c r="Q879" s="4">
        <f t="shared" si="82"/>
        <v>0.83333333333333337</v>
      </c>
      <c r="R879" t="str">
        <f t="shared" si="83"/>
        <v>Below Target</v>
      </c>
    </row>
    <row r="880" spans="1:18">
      <c r="A880" t="s">
        <v>35</v>
      </c>
      <c r="B880" t="s">
        <v>51</v>
      </c>
      <c r="C880" t="s">
        <v>20</v>
      </c>
      <c r="D880" t="s">
        <v>26</v>
      </c>
      <c r="E880" t="s">
        <v>22</v>
      </c>
      <c r="F880">
        <v>1501</v>
      </c>
      <c r="G880" s="1">
        <v>49128</v>
      </c>
      <c r="H880" s="2">
        <v>45230</v>
      </c>
      <c r="I880" t="s">
        <v>16</v>
      </c>
      <c r="J880" t="s">
        <v>916</v>
      </c>
      <c r="K880" t="s">
        <v>47</v>
      </c>
      <c r="L880" t="str">
        <f t="shared" si="78"/>
        <v>Oct</v>
      </c>
      <c r="M880" t="str">
        <f t="shared" si="79"/>
        <v>Q4</v>
      </c>
      <c r="N880" t="str">
        <f t="shared" si="80"/>
        <v>High</v>
      </c>
      <c r="O880">
        <f>_xlfn.XLOOKUP(I880,Helper_Table!A:A,Helper_Table!B:B)</f>
        <v>1.1000000000000001</v>
      </c>
      <c r="P880" s="1">
        <f t="shared" si="81"/>
        <v>54040.800000000003</v>
      </c>
      <c r="Q880" s="4">
        <f t="shared" si="82"/>
        <v>0.90909090909090906</v>
      </c>
      <c r="R880" t="str">
        <f t="shared" si="83"/>
        <v>Below Target</v>
      </c>
    </row>
    <row r="881" spans="1:18">
      <c r="A881" t="s">
        <v>11</v>
      </c>
      <c r="B881" t="s">
        <v>19</v>
      </c>
      <c r="C881" t="s">
        <v>59</v>
      </c>
      <c r="D881" t="s">
        <v>26</v>
      </c>
      <c r="E881">
        <v>30</v>
      </c>
      <c r="F881">
        <v>190</v>
      </c>
      <c r="G881" s="1">
        <v>40850</v>
      </c>
      <c r="H881" s="2">
        <v>45300</v>
      </c>
      <c r="I881" t="s">
        <v>32</v>
      </c>
      <c r="J881" t="s">
        <v>917</v>
      </c>
      <c r="K881" t="s">
        <v>47</v>
      </c>
      <c r="L881" t="str">
        <f t="shared" si="78"/>
        <v>Jan</v>
      </c>
      <c r="M881" t="str">
        <f t="shared" si="79"/>
        <v>Q1</v>
      </c>
      <c r="N881" t="str">
        <f t="shared" si="80"/>
        <v>High</v>
      </c>
      <c r="O881">
        <f>_xlfn.XLOOKUP(I881,Helper_Table!A:A,Helper_Table!B:B)</f>
        <v>0.95</v>
      </c>
      <c r="P881" s="1">
        <f t="shared" si="81"/>
        <v>38807.5</v>
      </c>
      <c r="Q881" s="4">
        <f t="shared" si="82"/>
        <v>1.0526315789473684</v>
      </c>
      <c r="R881" t="str">
        <f t="shared" si="83"/>
        <v>Achieved</v>
      </c>
    </row>
    <row r="882" spans="1:18">
      <c r="A882" t="s">
        <v>24</v>
      </c>
      <c r="B882" t="s">
        <v>49</v>
      </c>
      <c r="C882" t="s">
        <v>30</v>
      </c>
      <c r="D882" t="s">
        <v>31</v>
      </c>
      <c r="E882">
        <v>30</v>
      </c>
      <c r="F882">
        <v>1984</v>
      </c>
      <c r="G882" s="1">
        <v>49839</v>
      </c>
      <c r="H882" s="2">
        <v>45263</v>
      </c>
      <c r="I882" t="s">
        <v>39</v>
      </c>
      <c r="J882" t="s">
        <v>918</v>
      </c>
      <c r="K882" t="s">
        <v>18</v>
      </c>
      <c r="L882" t="str">
        <f t="shared" si="78"/>
        <v>Dec</v>
      </c>
      <c r="M882" t="str">
        <f t="shared" si="79"/>
        <v>Q4</v>
      </c>
      <c r="N882" t="str">
        <f t="shared" si="80"/>
        <v>High</v>
      </c>
      <c r="O882">
        <f>_xlfn.XLOOKUP(I882,Helper_Table!A:A,Helper_Table!B:B)</f>
        <v>1.1000000000000001</v>
      </c>
      <c r="P882" s="1">
        <f t="shared" si="81"/>
        <v>54822.9</v>
      </c>
      <c r="Q882" s="4">
        <f t="shared" si="82"/>
        <v>0.90909090909090906</v>
      </c>
      <c r="R882" t="str">
        <f t="shared" si="83"/>
        <v>Below Target</v>
      </c>
    </row>
    <row r="883" spans="1:18">
      <c r="A883" t="s">
        <v>64</v>
      </c>
      <c r="B883" t="s">
        <v>49</v>
      </c>
      <c r="C883" t="s">
        <v>25</v>
      </c>
      <c r="D883" t="s">
        <v>21</v>
      </c>
      <c r="E883" t="s">
        <v>15</v>
      </c>
      <c r="F883">
        <v>1919</v>
      </c>
      <c r="G883" s="1">
        <v>29695</v>
      </c>
      <c r="H883" s="2">
        <v>45305</v>
      </c>
      <c r="I883" t="s">
        <v>16</v>
      </c>
      <c r="J883" t="s">
        <v>919</v>
      </c>
      <c r="K883" t="s">
        <v>44</v>
      </c>
      <c r="L883" t="str">
        <f t="shared" si="78"/>
        <v>Jan</v>
      </c>
      <c r="M883" t="str">
        <f t="shared" si="79"/>
        <v>Q1</v>
      </c>
      <c r="N883" t="str">
        <f t="shared" si="80"/>
        <v>Medium</v>
      </c>
      <c r="O883">
        <f>_xlfn.XLOOKUP(I883,Helper_Table!A:A,Helper_Table!B:B)</f>
        <v>1.1000000000000001</v>
      </c>
      <c r="P883" s="1">
        <f t="shared" si="81"/>
        <v>32664.500000000004</v>
      </c>
      <c r="Q883" s="4">
        <f t="shared" si="82"/>
        <v>0.90909090909090895</v>
      </c>
      <c r="R883" t="str">
        <f t="shared" si="83"/>
        <v>Below Target</v>
      </c>
    </row>
    <row r="884" spans="1:18">
      <c r="A884" t="s">
        <v>11</v>
      </c>
      <c r="B884" t="s">
        <v>51</v>
      </c>
      <c r="C884" t="s">
        <v>25</v>
      </c>
      <c r="D884" t="s">
        <v>21</v>
      </c>
      <c r="E884" t="s">
        <v>38</v>
      </c>
      <c r="F884">
        <v>655</v>
      </c>
      <c r="G884" s="1">
        <v>8141</v>
      </c>
      <c r="H884" s="2">
        <v>45458</v>
      </c>
      <c r="I884" t="s">
        <v>32</v>
      </c>
      <c r="J884" t="s">
        <v>920</v>
      </c>
      <c r="K884" t="s">
        <v>34</v>
      </c>
      <c r="L884" t="str">
        <f t="shared" si="78"/>
        <v>Jun</v>
      </c>
      <c r="M884" t="str">
        <f t="shared" si="79"/>
        <v>Q2</v>
      </c>
      <c r="N884" t="str">
        <f t="shared" si="80"/>
        <v>Low</v>
      </c>
      <c r="O884">
        <f>_xlfn.XLOOKUP(I884,Helper_Table!A:A,Helper_Table!B:B)</f>
        <v>0.95</v>
      </c>
      <c r="P884" s="1">
        <f t="shared" si="81"/>
        <v>7733.95</v>
      </c>
      <c r="Q884" s="4">
        <f t="shared" si="82"/>
        <v>1.0526315789473684</v>
      </c>
      <c r="R884" t="str">
        <f t="shared" si="83"/>
        <v>Achieved</v>
      </c>
    </row>
    <row r="885" spans="1:18">
      <c r="A885" t="s">
        <v>64</v>
      </c>
      <c r="B885" t="s">
        <v>12</v>
      </c>
      <c r="C885" t="s">
        <v>20</v>
      </c>
      <c r="D885" t="s">
        <v>14</v>
      </c>
      <c r="E885">
        <v>30</v>
      </c>
      <c r="F885">
        <v>935</v>
      </c>
      <c r="G885" s="1">
        <v>46285</v>
      </c>
      <c r="H885" s="2">
        <v>45190</v>
      </c>
      <c r="I885" t="s">
        <v>32</v>
      </c>
      <c r="J885" t="s">
        <v>921</v>
      </c>
      <c r="K885" t="s">
        <v>47</v>
      </c>
      <c r="L885" t="str">
        <f t="shared" si="78"/>
        <v>Sep</v>
      </c>
      <c r="M885" t="str">
        <f t="shared" si="79"/>
        <v>Q3</v>
      </c>
      <c r="N885" t="str">
        <f t="shared" si="80"/>
        <v>High</v>
      </c>
      <c r="O885">
        <f>_xlfn.XLOOKUP(I885,Helper_Table!A:A,Helper_Table!B:B)</f>
        <v>0.95</v>
      </c>
      <c r="P885" s="1">
        <f t="shared" si="81"/>
        <v>43970.75</v>
      </c>
      <c r="Q885" s="4">
        <f t="shared" si="82"/>
        <v>1.0526315789473684</v>
      </c>
      <c r="R885" t="str">
        <f t="shared" si="83"/>
        <v>Achieved</v>
      </c>
    </row>
    <row r="886" spans="1:18">
      <c r="A886" t="s">
        <v>24</v>
      </c>
      <c r="B886" t="s">
        <v>12</v>
      </c>
      <c r="C886" t="s">
        <v>20</v>
      </c>
      <c r="D886" t="s">
        <v>26</v>
      </c>
      <c r="E886">
        <v>30</v>
      </c>
      <c r="F886">
        <v>1565</v>
      </c>
      <c r="G886" s="1">
        <v>13345</v>
      </c>
      <c r="H886" s="2">
        <v>45301</v>
      </c>
      <c r="I886" t="s">
        <v>27</v>
      </c>
      <c r="J886" t="s">
        <v>922</v>
      </c>
      <c r="K886" t="s">
        <v>44</v>
      </c>
      <c r="L886" t="str">
        <f t="shared" si="78"/>
        <v>Jan</v>
      </c>
      <c r="M886" t="str">
        <f t="shared" si="79"/>
        <v>Q1</v>
      </c>
      <c r="N886" t="str">
        <f t="shared" si="80"/>
        <v>Low</v>
      </c>
      <c r="O886">
        <f>_xlfn.XLOOKUP(I886,Helper_Table!A:A,Helper_Table!B:B)</f>
        <v>0.9</v>
      </c>
      <c r="P886" s="1">
        <f t="shared" si="81"/>
        <v>12010.5</v>
      </c>
      <c r="Q886" s="4">
        <f t="shared" si="82"/>
        <v>1.1111111111111112</v>
      </c>
      <c r="R886" t="str">
        <f t="shared" si="83"/>
        <v>Achieved</v>
      </c>
    </row>
    <row r="887" spans="1:18">
      <c r="A887" t="s">
        <v>11</v>
      </c>
      <c r="B887" t="s">
        <v>49</v>
      </c>
      <c r="C887" t="s">
        <v>13</v>
      </c>
      <c r="D887" t="s">
        <v>14</v>
      </c>
      <c r="E887" t="s">
        <v>15</v>
      </c>
      <c r="F887">
        <v>769</v>
      </c>
      <c r="G887" s="1">
        <v>24713</v>
      </c>
      <c r="H887" s="2">
        <v>45165</v>
      </c>
      <c r="I887" t="s">
        <v>39</v>
      </c>
      <c r="J887" t="s">
        <v>923</v>
      </c>
      <c r="K887" t="s">
        <v>47</v>
      </c>
      <c r="L887" t="str">
        <f t="shared" si="78"/>
        <v>Aug</v>
      </c>
      <c r="M887" t="str">
        <f t="shared" si="79"/>
        <v>Q3</v>
      </c>
      <c r="N887" t="str">
        <f t="shared" si="80"/>
        <v>Medium</v>
      </c>
      <c r="O887">
        <f>_xlfn.XLOOKUP(I887,Helper_Table!A:A,Helper_Table!B:B)</f>
        <v>1.1000000000000001</v>
      </c>
      <c r="P887" s="1">
        <f t="shared" si="81"/>
        <v>27184.300000000003</v>
      </c>
      <c r="Q887" s="4">
        <f t="shared" si="82"/>
        <v>0.90909090909090895</v>
      </c>
      <c r="R887" t="str">
        <f t="shared" si="83"/>
        <v>Below Target</v>
      </c>
    </row>
    <row r="888" spans="1:18">
      <c r="A888" t="s">
        <v>24</v>
      </c>
      <c r="B888" t="s">
        <v>36</v>
      </c>
      <c r="C888" t="s">
        <v>25</v>
      </c>
      <c r="D888" t="s">
        <v>66</v>
      </c>
      <c r="E888" t="s">
        <v>38</v>
      </c>
      <c r="F888">
        <v>1624</v>
      </c>
      <c r="G888" s="1">
        <v>13764</v>
      </c>
      <c r="H888" s="2">
        <v>45180</v>
      </c>
      <c r="I888" t="s">
        <v>27</v>
      </c>
      <c r="J888" t="s">
        <v>924</v>
      </c>
      <c r="K888" t="s">
        <v>47</v>
      </c>
      <c r="L888" t="str">
        <f t="shared" si="78"/>
        <v>Sep</v>
      </c>
      <c r="M888" t="str">
        <f t="shared" si="79"/>
        <v>Q3</v>
      </c>
      <c r="N888" t="str">
        <f t="shared" si="80"/>
        <v>Low</v>
      </c>
      <c r="O888">
        <f>_xlfn.XLOOKUP(I888,Helper_Table!A:A,Helper_Table!B:B)</f>
        <v>0.9</v>
      </c>
      <c r="P888" s="1">
        <f t="shared" si="81"/>
        <v>12387.6</v>
      </c>
      <c r="Q888" s="4">
        <f t="shared" si="82"/>
        <v>1.1111111111111112</v>
      </c>
      <c r="R888" t="str">
        <f t="shared" si="83"/>
        <v>Achieved</v>
      </c>
    </row>
    <row r="889" spans="1:18">
      <c r="A889" t="s">
        <v>45</v>
      </c>
      <c r="B889" t="s">
        <v>12</v>
      </c>
      <c r="C889" t="s">
        <v>59</v>
      </c>
      <c r="D889" t="s">
        <v>26</v>
      </c>
      <c r="E889">
        <v>60</v>
      </c>
      <c r="F889">
        <v>676</v>
      </c>
      <c r="G889" s="1">
        <v>35872</v>
      </c>
      <c r="H889" s="2">
        <v>45441</v>
      </c>
      <c r="I889" t="s">
        <v>39</v>
      </c>
      <c r="J889" t="s">
        <v>925</v>
      </c>
      <c r="K889" t="s">
        <v>44</v>
      </c>
      <c r="L889" t="str">
        <f t="shared" si="78"/>
        <v>May</v>
      </c>
      <c r="M889" t="str">
        <f t="shared" si="79"/>
        <v>Q2</v>
      </c>
      <c r="N889" t="str">
        <f t="shared" si="80"/>
        <v>Medium</v>
      </c>
      <c r="O889">
        <f>_xlfn.XLOOKUP(I889,Helper_Table!A:A,Helper_Table!B:B)</f>
        <v>1.1000000000000001</v>
      </c>
      <c r="P889" s="1">
        <f t="shared" si="81"/>
        <v>39459.200000000004</v>
      </c>
      <c r="Q889" s="4">
        <f t="shared" si="82"/>
        <v>0.90909090909090895</v>
      </c>
      <c r="R889" t="str">
        <f t="shared" si="83"/>
        <v>Below Target</v>
      </c>
    </row>
    <row r="890" spans="1:18">
      <c r="A890" t="s">
        <v>45</v>
      </c>
      <c r="B890" t="s">
        <v>49</v>
      </c>
      <c r="C890" t="s">
        <v>59</v>
      </c>
      <c r="D890" t="s">
        <v>26</v>
      </c>
      <c r="E890" t="s">
        <v>15</v>
      </c>
      <c r="F890">
        <v>906</v>
      </c>
      <c r="G890" s="1">
        <v>12431</v>
      </c>
      <c r="H890" s="2">
        <v>45352</v>
      </c>
      <c r="I890" t="s">
        <v>41</v>
      </c>
      <c r="J890" t="s">
        <v>926</v>
      </c>
      <c r="K890" t="s">
        <v>18</v>
      </c>
      <c r="L890" t="str">
        <f t="shared" si="78"/>
        <v>Mar</v>
      </c>
      <c r="M890" t="str">
        <f t="shared" si="79"/>
        <v>Q1</v>
      </c>
      <c r="N890" t="str">
        <f t="shared" si="80"/>
        <v>Low</v>
      </c>
      <c r="O890">
        <f>_xlfn.XLOOKUP(I890,Helper_Table!A:A,Helper_Table!B:B)</f>
        <v>1.2</v>
      </c>
      <c r="P890" s="1">
        <f t="shared" si="81"/>
        <v>14917.199999999999</v>
      </c>
      <c r="Q890" s="4">
        <f t="shared" si="82"/>
        <v>0.83333333333333337</v>
      </c>
      <c r="R890" t="str">
        <f t="shared" si="83"/>
        <v>Below Target</v>
      </c>
    </row>
    <row r="891" spans="1:18">
      <c r="A891" t="s">
        <v>45</v>
      </c>
      <c r="B891" t="s">
        <v>49</v>
      </c>
      <c r="C891" t="s">
        <v>20</v>
      </c>
      <c r="D891" t="s">
        <v>26</v>
      </c>
      <c r="E891" t="s">
        <v>38</v>
      </c>
      <c r="F891">
        <v>1870</v>
      </c>
      <c r="G891" s="1">
        <v>4688</v>
      </c>
      <c r="H891" s="2">
        <v>45366</v>
      </c>
      <c r="I891" t="s">
        <v>16</v>
      </c>
      <c r="J891" t="s">
        <v>927</v>
      </c>
      <c r="K891" t="s">
        <v>34</v>
      </c>
      <c r="L891" t="str">
        <f t="shared" si="78"/>
        <v>Mar</v>
      </c>
      <c r="M891" t="str">
        <f t="shared" si="79"/>
        <v>Q1</v>
      </c>
      <c r="N891" t="str">
        <f t="shared" si="80"/>
        <v>Low</v>
      </c>
      <c r="O891">
        <f>_xlfn.XLOOKUP(I891,Helper_Table!A:A,Helper_Table!B:B)</f>
        <v>1.1000000000000001</v>
      </c>
      <c r="P891" s="1">
        <f t="shared" si="81"/>
        <v>5156.8</v>
      </c>
      <c r="Q891" s="4">
        <f t="shared" si="82"/>
        <v>0.90909090909090906</v>
      </c>
      <c r="R891" t="str">
        <f t="shared" si="83"/>
        <v>Below Target</v>
      </c>
    </row>
    <row r="892" spans="1:18">
      <c r="A892" t="s">
        <v>45</v>
      </c>
      <c r="B892" t="s">
        <v>12</v>
      </c>
      <c r="C892" t="s">
        <v>25</v>
      </c>
      <c r="D892" t="s">
        <v>14</v>
      </c>
      <c r="E892" t="s">
        <v>15</v>
      </c>
      <c r="F892">
        <v>1810</v>
      </c>
      <c r="G892" s="1">
        <v>27443</v>
      </c>
      <c r="H892" s="2">
        <v>45151</v>
      </c>
      <c r="I892" t="s">
        <v>39</v>
      </c>
      <c r="J892" t="s">
        <v>928</v>
      </c>
      <c r="K892" t="s">
        <v>34</v>
      </c>
      <c r="L892" t="str">
        <f t="shared" si="78"/>
        <v>Aug</v>
      </c>
      <c r="M892" t="str">
        <f t="shared" si="79"/>
        <v>Q3</v>
      </c>
      <c r="N892" t="str">
        <f t="shared" si="80"/>
        <v>Medium</v>
      </c>
      <c r="O892">
        <f>_xlfn.XLOOKUP(I892,Helper_Table!A:A,Helper_Table!B:B)</f>
        <v>1.1000000000000001</v>
      </c>
      <c r="P892" s="1">
        <f t="shared" si="81"/>
        <v>30187.300000000003</v>
      </c>
      <c r="Q892" s="4">
        <f t="shared" si="82"/>
        <v>0.90909090909090895</v>
      </c>
      <c r="R892" t="str">
        <f t="shared" si="83"/>
        <v>Below Target</v>
      </c>
    </row>
    <row r="893" spans="1:18">
      <c r="A893" t="s">
        <v>11</v>
      </c>
      <c r="B893" t="s">
        <v>19</v>
      </c>
      <c r="C893" t="s">
        <v>25</v>
      </c>
      <c r="D893" t="s">
        <v>31</v>
      </c>
      <c r="E893">
        <v>60</v>
      </c>
      <c r="F893">
        <v>427</v>
      </c>
      <c r="G893" s="1">
        <v>8379</v>
      </c>
      <c r="H893" s="2">
        <v>45396</v>
      </c>
      <c r="I893" t="s">
        <v>41</v>
      </c>
      <c r="J893" t="s">
        <v>929</v>
      </c>
      <c r="K893" t="s">
        <v>18</v>
      </c>
      <c r="L893" t="str">
        <f t="shared" si="78"/>
        <v>Apr</v>
      </c>
      <c r="M893" t="str">
        <f t="shared" si="79"/>
        <v>Q2</v>
      </c>
      <c r="N893" t="str">
        <f t="shared" si="80"/>
        <v>Low</v>
      </c>
      <c r="O893">
        <f>_xlfn.XLOOKUP(I893,Helper_Table!A:A,Helper_Table!B:B)</f>
        <v>1.2</v>
      </c>
      <c r="P893" s="1">
        <f t="shared" si="81"/>
        <v>10054.799999999999</v>
      </c>
      <c r="Q893" s="4">
        <f t="shared" si="82"/>
        <v>0.83333333333333337</v>
      </c>
      <c r="R893" t="str">
        <f t="shared" si="83"/>
        <v>Below Target</v>
      </c>
    </row>
    <row r="894" spans="1:18">
      <c r="A894" t="s">
        <v>64</v>
      </c>
      <c r="B894" t="s">
        <v>19</v>
      </c>
      <c r="C894" t="s">
        <v>30</v>
      </c>
      <c r="D894" t="s">
        <v>26</v>
      </c>
      <c r="E894" t="s">
        <v>22</v>
      </c>
      <c r="F894">
        <v>1340</v>
      </c>
      <c r="G894" s="1">
        <v>32355</v>
      </c>
      <c r="H894" s="2">
        <v>45343</v>
      </c>
      <c r="I894" t="s">
        <v>41</v>
      </c>
      <c r="J894" t="s">
        <v>930</v>
      </c>
      <c r="K894" t="s">
        <v>34</v>
      </c>
      <c r="L894" t="str">
        <f t="shared" si="78"/>
        <v>Feb</v>
      </c>
      <c r="M894" t="str">
        <f t="shared" si="79"/>
        <v>Q1</v>
      </c>
      <c r="N894" t="str">
        <f t="shared" si="80"/>
        <v>Medium</v>
      </c>
      <c r="O894">
        <f>_xlfn.XLOOKUP(I894,Helper_Table!A:A,Helper_Table!B:B)</f>
        <v>1.2</v>
      </c>
      <c r="P894" s="1">
        <f t="shared" si="81"/>
        <v>38826</v>
      </c>
      <c r="Q894" s="4">
        <f t="shared" si="82"/>
        <v>0.83333333333333337</v>
      </c>
      <c r="R894" t="str">
        <f t="shared" si="83"/>
        <v>Below Target</v>
      </c>
    </row>
    <row r="895" spans="1:18">
      <c r="A895" t="s">
        <v>35</v>
      </c>
      <c r="B895" t="s">
        <v>36</v>
      </c>
      <c r="C895" t="s">
        <v>20</v>
      </c>
      <c r="D895" t="s">
        <v>26</v>
      </c>
      <c r="E895">
        <v>60</v>
      </c>
      <c r="F895">
        <v>1084</v>
      </c>
      <c r="G895" s="1">
        <v>40033</v>
      </c>
      <c r="H895" s="2">
        <v>45279</v>
      </c>
      <c r="I895" t="s">
        <v>41</v>
      </c>
      <c r="J895" t="s">
        <v>931</v>
      </c>
      <c r="K895" t="s">
        <v>18</v>
      </c>
      <c r="L895" t="str">
        <f t="shared" si="78"/>
        <v>Dec</v>
      </c>
      <c r="M895" t="str">
        <f t="shared" si="79"/>
        <v>Q4</v>
      </c>
      <c r="N895" t="str">
        <f t="shared" si="80"/>
        <v>High</v>
      </c>
      <c r="O895">
        <f>_xlfn.XLOOKUP(I895,Helper_Table!A:A,Helper_Table!B:B)</f>
        <v>1.2</v>
      </c>
      <c r="P895" s="1">
        <f t="shared" si="81"/>
        <v>48039.6</v>
      </c>
      <c r="Q895" s="4">
        <f t="shared" si="82"/>
        <v>0.83333333333333337</v>
      </c>
      <c r="R895" t="str">
        <f t="shared" si="83"/>
        <v>Below Target</v>
      </c>
    </row>
    <row r="896" spans="1:18">
      <c r="A896" t="s">
        <v>35</v>
      </c>
      <c r="B896" t="s">
        <v>12</v>
      </c>
      <c r="C896" t="s">
        <v>25</v>
      </c>
      <c r="D896" t="s">
        <v>21</v>
      </c>
      <c r="E896">
        <v>60</v>
      </c>
      <c r="F896">
        <v>1441</v>
      </c>
      <c r="G896" s="1">
        <v>5001</v>
      </c>
      <c r="H896" s="2">
        <v>45338</v>
      </c>
      <c r="I896" t="s">
        <v>27</v>
      </c>
      <c r="J896" t="s">
        <v>932</v>
      </c>
      <c r="K896" t="s">
        <v>44</v>
      </c>
      <c r="L896" t="str">
        <f t="shared" si="78"/>
        <v>Feb</v>
      </c>
      <c r="M896" t="str">
        <f t="shared" si="79"/>
        <v>Q1</v>
      </c>
      <c r="N896" t="str">
        <f t="shared" si="80"/>
        <v>Low</v>
      </c>
      <c r="O896">
        <f>_xlfn.XLOOKUP(I896,Helper_Table!A:A,Helper_Table!B:B)</f>
        <v>0.9</v>
      </c>
      <c r="P896" s="1">
        <f t="shared" si="81"/>
        <v>4500.9000000000005</v>
      </c>
      <c r="Q896" s="4">
        <f t="shared" si="82"/>
        <v>1.1111111111111109</v>
      </c>
      <c r="R896" t="str">
        <f t="shared" si="83"/>
        <v>Achieved</v>
      </c>
    </row>
    <row r="897" spans="1:18">
      <c r="A897" t="s">
        <v>24</v>
      </c>
      <c r="B897" t="s">
        <v>19</v>
      </c>
      <c r="C897" t="s">
        <v>20</v>
      </c>
      <c r="D897" t="s">
        <v>21</v>
      </c>
      <c r="E897" t="s">
        <v>22</v>
      </c>
      <c r="F897">
        <v>1440</v>
      </c>
      <c r="G897" s="1">
        <v>35398</v>
      </c>
      <c r="H897" s="2">
        <v>45501</v>
      </c>
      <c r="I897" t="s">
        <v>16</v>
      </c>
      <c r="J897" t="s">
        <v>933</v>
      </c>
      <c r="K897" t="s">
        <v>34</v>
      </c>
      <c r="L897" t="str">
        <f t="shared" si="78"/>
        <v>Jul</v>
      </c>
      <c r="M897" t="str">
        <f t="shared" si="79"/>
        <v>Q3</v>
      </c>
      <c r="N897" t="str">
        <f t="shared" si="80"/>
        <v>Medium</v>
      </c>
      <c r="O897">
        <f>_xlfn.XLOOKUP(I897,Helper_Table!A:A,Helper_Table!B:B)</f>
        <v>1.1000000000000001</v>
      </c>
      <c r="P897" s="1">
        <f t="shared" si="81"/>
        <v>38937.800000000003</v>
      </c>
      <c r="Q897" s="4">
        <f t="shared" si="82"/>
        <v>0.90909090909090906</v>
      </c>
      <c r="R897" t="str">
        <f t="shared" si="83"/>
        <v>Below Target</v>
      </c>
    </row>
    <row r="898" spans="1:18">
      <c r="A898" t="s">
        <v>45</v>
      </c>
      <c r="B898" t="s">
        <v>51</v>
      </c>
      <c r="C898" t="s">
        <v>59</v>
      </c>
      <c r="D898" t="s">
        <v>14</v>
      </c>
      <c r="E898" t="s">
        <v>22</v>
      </c>
      <c r="F898">
        <v>891</v>
      </c>
      <c r="G898" s="1">
        <v>27927</v>
      </c>
      <c r="H898" s="2">
        <v>45211</v>
      </c>
      <c r="I898" t="s">
        <v>41</v>
      </c>
      <c r="J898" t="s">
        <v>934</v>
      </c>
      <c r="K898" t="s">
        <v>18</v>
      </c>
      <c r="L898" t="str">
        <f t="shared" ref="L898:L961" si="84">TEXT(H898,"MMM")</f>
        <v>Oct</v>
      </c>
      <c r="M898" t="str">
        <f t="shared" ref="M898:M961" si="85">"Q"&amp;ROUNDUP(MONTH(H898)/3,0)</f>
        <v>Q4</v>
      </c>
      <c r="N898" t="str">
        <f t="shared" ref="N898:N961" si="86">IF(G898&gt;40000,"High",
IF(G898&gt;20000,"Medium","Low"))</f>
        <v>Medium</v>
      </c>
      <c r="O898">
        <f>_xlfn.XLOOKUP(I898,Helper_Table!A:A,Helper_Table!B:B)</f>
        <v>1.2</v>
      </c>
      <c r="P898" s="1">
        <f t="shared" ref="P898:P961" si="87">G898*O898</f>
        <v>33512.400000000001</v>
      </c>
      <c r="Q898" s="4">
        <f t="shared" ref="Q898:Q961" si="88">G898/P898</f>
        <v>0.83333333333333326</v>
      </c>
      <c r="R898" t="str">
        <f t="shared" ref="R898:R961" si="89">IF(Q898&gt;=1,"Achieved","Below Target")</f>
        <v>Below Target</v>
      </c>
    </row>
    <row r="899" spans="1:18">
      <c r="A899" t="s">
        <v>45</v>
      </c>
      <c r="B899" t="s">
        <v>19</v>
      </c>
      <c r="C899" t="s">
        <v>20</v>
      </c>
      <c r="D899" t="s">
        <v>14</v>
      </c>
      <c r="E899">
        <v>30</v>
      </c>
      <c r="F899">
        <v>1718</v>
      </c>
      <c r="G899" s="1">
        <v>27940</v>
      </c>
      <c r="H899" s="2">
        <v>45175</v>
      </c>
      <c r="I899" t="s">
        <v>27</v>
      </c>
      <c r="J899" t="s">
        <v>935</v>
      </c>
      <c r="K899" t="s">
        <v>18</v>
      </c>
      <c r="L899" t="str">
        <f t="shared" si="84"/>
        <v>Sep</v>
      </c>
      <c r="M899" t="str">
        <f t="shared" si="85"/>
        <v>Q3</v>
      </c>
      <c r="N899" t="str">
        <f t="shared" si="86"/>
        <v>Medium</v>
      </c>
      <c r="O899">
        <f>_xlfn.XLOOKUP(I899,Helper_Table!A:A,Helper_Table!B:B)</f>
        <v>0.9</v>
      </c>
      <c r="P899" s="1">
        <f t="shared" si="87"/>
        <v>25146</v>
      </c>
      <c r="Q899" s="4">
        <f t="shared" si="88"/>
        <v>1.1111111111111112</v>
      </c>
      <c r="R899" t="str">
        <f t="shared" si="89"/>
        <v>Achieved</v>
      </c>
    </row>
    <row r="900" spans="1:18">
      <c r="A900" t="s">
        <v>64</v>
      </c>
      <c r="B900" t="s">
        <v>19</v>
      </c>
      <c r="C900" t="s">
        <v>20</v>
      </c>
      <c r="D900" t="s">
        <v>26</v>
      </c>
      <c r="E900" t="s">
        <v>15</v>
      </c>
      <c r="F900">
        <v>1367</v>
      </c>
      <c r="G900" s="1">
        <v>45734</v>
      </c>
      <c r="H900" s="2">
        <v>45307</v>
      </c>
      <c r="I900" t="s">
        <v>16</v>
      </c>
      <c r="J900" t="s">
        <v>936</v>
      </c>
      <c r="K900" t="s">
        <v>34</v>
      </c>
      <c r="L900" t="str">
        <f t="shared" si="84"/>
        <v>Jan</v>
      </c>
      <c r="M900" t="str">
        <f t="shared" si="85"/>
        <v>Q1</v>
      </c>
      <c r="N900" t="str">
        <f t="shared" si="86"/>
        <v>High</v>
      </c>
      <c r="O900">
        <f>_xlfn.XLOOKUP(I900,Helper_Table!A:A,Helper_Table!B:B)</f>
        <v>1.1000000000000001</v>
      </c>
      <c r="P900" s="1">
        <f t="shared" si="87"/>
        <v>50307.4</v>
      </c>
      <c r="Q900" s="4">
        <f t="shared" si="88"/>
        <v>0.90909090909090906</v>
      </c>
      <c r="R900" t="str">
        <f t="shared" si="89"/>
        <v>Below Target</v>
      </c>
    </row>
    <row r="901" spans="1:18">
      <c r="A901" t="s">
        <v>45</v>
      </c>
      <c r="B901" t="s">
        <v>49</v>
      </c>
      <c r="C901" t="s">
        <v>30</v>
      </c>
      <c r="D901" t="s">
        <v>14</v>
      </c>
      <c r="E901" t="s">
        <v>22</v>
      </c>
      <c r="F901">
        <v>1899</v>
      </c>
      <c r="G901" s="1">
        <v>19924</v>
      </c>
      <c r="H901" s="2">
        <v>45186</v>
      </c>
      <c r="I901" t="s">
        <v>32</v>
      </c>
      <c r="J901" t="s">
        <v>937</v>
      </c>
      <c r="K901" t="s">
        <v>18</v>
      </c>
      <c r="L901" t="str">
        <f t="shared" si="84"/>
        <v>Sep</v>
      </c>
      <c r="M901" t="str">
        <f t="shared" si="85"/>
        <v>Q3</v>
      </c>
      <c r="N901" t="str">
        <f t="shared" si="86"/>
        <v>Low</v>
      </c>
      <c r="O901">
        <f>_xlfn.XLOOKUP(I901,Helper_Table!A:A,Helper_Table!B:B)</f>
        <v>0.95</v>
      </c>
      <c r="P901" s="1">
        <f t="shared" si="87"/>
        <v>18927.8</v>
      </c>
      <c r="Q901" s="4">
        <f t="shared" si="88"/>
        <v>1.0526315789473684</v>
      </c>
      <c r="R901" t="str">
        <f t="shared" si="89"/>
        <v>Achieved</v>
      </c>
    </row>
    <row r="902" spans="1:18">
      <c r="A902" t="s">
        <v>24</v>
      </c>
      <c r="B902" t="s">
        <v>49</v>
      </c>
      <c r="C902" t="s">
        <v>13</v>
      </c>
      <c r="D902" t="s">
        <v>21</v>
      </c>
      <c r="E902" t="s">
        <v>22</v>
      </c>
      <c r="F902">
        <v>824</v>
      </c>
      <c r="G902" s="1">
        <v>49294</v>
      </c>
      <c r="H902" s="2">
        <v>45283</v>
      </c>
      <c r="I902" t="s">
        <v>41</v>
      </c>
      <c r="J902" t="s">
        <v>938</v>
      </c>
      <c r="K902" t="s">
        <v>18</v>
      </c>
      <c r="L902" t="str">
        <f t="shared" si="84"/>
        <v>Dec</v>
      </c>
      <c r="M902" t="str">
        <f t="shared" si="85"/>
        <v>Q4</v>
      </c>
      <c r="N902" t="str">
        <f t="shared" si="86"/>
        <v>High</v>
      </c>
      <c r="O902">
        <f>_xlfn.XLOOKUP(I902,Helper_Table!A:A,Helper_Table!B:B)</f>
        <v>1.2</v>
      </c>
      <c r="P902" s="1">
        <f t="shared" si="87"/>
        <v>59152.799999999996</v>
      </c>
      <c r="Q902" s="4">
        <f t="shared" si="88"/>
        <v>0.83333333333333337</v>
      </c>
      <c r="R902" t="str">
        <f t="shared" si="89"/>
        <v>Below Target</v>
      </c>
    </row>
    <row r="903" spans="1:18">
      <c r="A903" t="s">
        <v>45</v>
      </c>
      <c r="B903" t="s">
        <v>12</v>
      </c>
      <c r="C903" t="s">
        <v>20</v>
      </c>
      <c r="D903" t="s">
        <v>66</v>
      </c>
      <c r="E903" t="s">
        <v>22</v>
      </c>
      <c r="F903">
        <v>1964</v>
      </c>
      <c r="G903" s="1">
        <v>33741</v>
      </c>
      <c r="H903" s="2">
        <v>45494</v>
      </c>
      <c r="I903" t="s">
        <v>41</v>
      </c>
      <c r="J903" t="s">
        <v>939</v>
      </c>
      <c r="K903" t="s">
        <v>44</v>
      </c>
      <c r="L903" t="str">
        <f t="shared" si="84"/>
        <v>Jul</v>
      </c>
      <c r="M903" t="str">
        <f t="shared" si="85"/>
        <v>Q3</v>
      </c>
      <c r="N903" t="str">
        <f t="shared" si="86"/>
        <v>Medium</v>
      </c>
      <c r="O903">
        <f>_xlfn.XLOOKUP(I903,Helper_Table!A:A,Helper_Table!B:B)</f>
        <v>1.2</v>
      </c>
      <c r="P903" s="1">
        <f t="shared" si="87"/>
        <v>40489.199999999997</v>
      </c>
      <c r="Q903" s="4">
        <f t="shared" si="88"/>
        <v>0.83333333333333337</v>
      </c>
      <c r="R903" t="str">
        <f t="shared" si="89"/>
        <v>Below Target</v>
      </c>
    </row>
    <row r="904" spans="1:18">
      <c r="A904" t="s">
        <v>11</v>
      </c>
      <c r="B904" t="s">
        <v>12</v>
      </c>
      <c r="C904" t="s">
        <v>13</v>
      </c>
      <c r="D904" t="s">
        <v>26</v>
      </c>
      <c r="E904" t="s">
        <v>15</v>
      </c>
      <c r="F904">
        <v>1091</v>
      </c>
      <c r="G904" s="1">
        <v>46316</v>
      </c>
      <c r="H904" s="2">
        <v>45403</v>
      </c>
      <c r="I904" t="s">
        <v>32</v>
      </c>
      <c r="J904" t="s">
        <v>940</v>
      </c>
      <c r="K904" t="s">
        <v>18</v>
      </c>
      <c r="L904" t="str">
        <f t="shared" si="84"/>
        <v>Apr</v>
      </c>
      <c r="M904" t="str">
        <f t="shared" si="85"/>
        <v>Q2</v>
      </c>
      <c r="N904" t="str">
        <f t="shared" si="86"/>
        <v>High</v>
      </c>
      <c r="O904">
        <f>_xlfn.XLOOKUP(I904,Helper_Table!A:A,Helper_Table!B:B)</f>
        <v>0.95</v>
      </c>
      <c r="P904" s="1">
        <f t="shared" si="87"/>
        <v>44000.2</v>
      </c>
      <c r="Q904" s="4">
        <f t="shared" si="88"/>
        <v>1.0526315789473686</v>
      </c>
      <c r="R904" t="str">
        <f t="shared" si="89"/>
        <v>Achieved</v>
      </c>
    </row>
    <row r="905" spans="1:18">
      <c r="A905" t="s">
        <v>45</v>
      </c>
      <c r="B905" t="s">
        <v>51</v>
      </c>
      <c r="C905" t="s">
        <v>13</v>
      </c>
      <c r="D905" t="s">
        <v>14</v>
      </c>
      <c r="E905" t="s">
        <v>38</v>
      </c>
      <c r="F905">
        <v>247</v>
      </c>
      <c r="G905" s="1">
        <v>35441</v>
      </c>
      <c r="H905" s="2">
        <v>45206</v>
      </c>
      <c r="I905" t="s">
        <v>16</v>
      </c>
      <c r="J905" t="s">
        <v>941</v>
      </c>
      <c r="K905" t="s">
        <v>44</v>
      </c>
      <c r="L905" t="str">
        <f t="shared" si="84"/>
        <v>Oct</v>
      </c>
      <c r="M905" t="str">
        <f t="shared" si="85"/>
        <v>Q4</v>
      </c>
      <c r="N905" t="str">
        <f t="shared" si="86"/>
        <v>Medium</v>
      </c>
      <c r="O905">
        <f>_xlfn.XLOOKUP(I905,Helper_Table!A:A,Helper_Table!B:B)</f>
        <v>1.1000000000000001</v>
      </c>
      <c r="P905" s="1">
        <f t="shared" si="87"/>
        <v>38985.100000000006</v>
      </c>
      <c r="Q905" s="4">
        <f t="shared" si="88"/>
        <v>0.90909090909090895</v>
      </c>
      <c r="R905" t="str">
        <f t="shared" si="89"/>
        <v>Below Target</v>
      </c>
    </row>
    <row r="906" spans="1:18">
      <c r="A906" t="s">
        <v>64</v>
      </c>
      <c r="B906" t="s">
        <v>36</v>
      </c>
      <c r="C906" t="s">
        <v>25</v>
      </c>
      <c r="D906" t="s">
        <v>14</v>
      </c>
      <c r="E906">
        <v>60</v>
      </c>
      <c r="F906">
        <v>1598</v>
      </c>
      <c r="G906" s="1">
        <v>4074</v>
      </c>
      <c r="H906" s="2">
        <v>45156</v>
      </c>
      <c r="I906" t="s">
        <v>39</v>
      </c>
      <c r="J906" t="s">
        <v>942</v>
      </c>
      <c r="K906" t="s">
        <v>29</v>
      </c>
      <c r="L906" t="str">
        <f t="shared" si="84"/>
        <v>Aug</v>
      </c>
      <c r="M906" t="str">
        <f t="shared" si="85"/>
        <v>Q3</v>
      </c>
      <c r="N906" t="str">
        <f t="shared" si="86"/>
        <v>Low</v>
      </c>
      <c r="O906">
        <f>_xlfn.XLOOKUP(I906,Helper_Table!A:A,Helper_Table!B:B)</f>
        <v>1.1000000000000001</v>
      </c>
      <c r="P906" s="1">
        <f t="shared" si="87"/>
        <v>4481.4000000000005</v>
      </c>
      <c r="Q906" s="4">
        <f t="shared" si="88"/>
        <v>0.90909090909090895</v>
      </c>
      <c r="R906" t="str">
        <f t="shared" si="89"/>
        <v>Below Target</v>
      </c>
    </row>
    <row r="907" spans="1:18">
      <c r="A907" t="s">
        <v>45</v>
      </c>
      <c r="B907" t="s">
        <v>19</v>
      </c>
      <c r="C907" t="s">
        <v>25</v>
      </c>
      <c r="D907" t="s">
        <v>26</v>
      </c>
      <c r="E907" t="s">
        <v>15</v>
      </c>
      <c r="F907">
        <v>679</v>
      </c>
      <c r="G907" s="1">
        <v>22164</v>
      </c>
      <c r="H907" s="2">
        <v>45242</v>
      </c>
      <c r="I907" t="s">
        <v>27</v>
      </c>
      <c r="J907" t="s">
        <v>943</v>
      </c>
      <c r="K907" t="s">
        <v>34</v>
      </c>
      <c r="L907" t="str">
        <f t="shared" si="84"/>
        <v>Nov</v>
      </c>
      <c r="M907" t="str">
        <f t="shared" si="85"/>
        <v>Q4</v>
      </c>
      <c r="N907" t="str">
        <f t="shared" si="86"/>
        <v>Medium</v>
      </c>
      <c r="O907">
        <f>_xlfn.XLOOKUP(I907,Helper_Table!A:A,Helper_Table!B:B)</f>
        <v>0.9</v>
      </c>
      <c r="P907" s="1">
        <f t="shared" si="87"/>
        <v>19947.600000000002</v>
      </c>
      <c r="Q907" s="4">
        <f t="shared" si="88"/>
        <v>1.1111111111111109</v>
      </c>
      <c r="R907" t="str">
        <f t="shared" si="89"/>
        <v>Achieved</v>
      </c>
    </row>
    <row r="908" spans="1:18">
      <c r="A908" t="s">
        <v>24</v>
      </c>
      <c r="B908" t="s">
        <v>36</v>
      </c>
      <c r="C908" t="s">
        <v>30</v>
      </c>
      <c r="D908" t="s">
        <v>66</v>
      </c>
      <c r="E908">
        <v>30</v>
      </c>
      <c r="F908">
        <v>1521</v>
      </c>
      <c r="G908" s="1">
        <v>35865</v>
      </c>
      <c r="H908" s="2">
        <v>45344</v>
      </c>
      <c r="I908" t="s">
        <v>39</v>
      </c>
      <c r="J908" t="s">
        <v>944</v>
      </c>
      <c r="K908" t="s">
        <v>18</v>
      </c>
      <c r="L908" t="str">
        <f t="shared" si="84"/>
        <v>Feb</v>
      </c>
      <c r="M908" t="str">
        <f t="shared" si="85"/>
        <v>Q1</v>
      </c>
      <c r="N908" t="str">
        <f t="shared" si="86"/>
        <v>Medium</v>
      </c>
      <c r="O908">
        <f>_xlfn.XLOOKUP(I908,Helper_Table!A:A,Helper_Table!B:B)</f>
        <v>1.1000000000000001</v>
      </c>
      <c r="P908" s="1">
        <f t="shared" si="87"/>
        <v>39451.5</v>
      </c>
      <c r="Q908" s="4">
        <f t="shared" si="88"/>
        <v>0.90909090909090906</v>
      </c>
      <c r="R908" t="str">
        <f t="shared" si="89"/>
        <v>Below Target</v>
      </c>
    </row>
    <row r="909" spans="1:18">
      <c r="A909" t="s">
        <v>35</v>
      </c>
      <c r="B909" t="s">
        <v>12</v>
      </c>
      <c r="C909" t="s">
        <v>13</v>
      </c>
      <c r="D909" t="s">
        <v>66</v>
      </c>
      <c r="E909">
        <v>60</v>
      </c>
      <c r="F909">
        <v>347</v>
      </c>
      <c r="G909" s="1">
        <v>25965</v>
      </c>
      <c r="H909" s="2">
        <v>45422</v>
      </c>
      <c r="I909" t="s">
        <v>27</v>
      </c>
      <c r="J909" t="s">
        <v>945</v>
      </c>
      <c r="K909" t="s">
        <v>18</v>
      </c>
      <c r="L909" t="str">
        <f t="shared" si="84"/>
        <v>May</v>
      </c>
      <c r="M909" t="str">
        <f t="shared" si="85"/>
        <v>Q2</v>
      </c>
      <c r="N909" t="str">
        <f t="shared" si="86"/>
        <v>Medium</v>
      </c>
      <c r="O909">
        <f>_xlfn.XLOOKUP(I909,Helper_Table!A:A,Helper_Table!B:B)</f>
        <v>0.9</v>
      </c>
      <c r="P909" s="1">
        <f t="shared" si="87"/>
        <v>23368.5</v>
      </c>
      <c r="Q909" s="4">
        <f t="shared" si="88"/>
        <v>1.1111111111111112</v>
      </c>
      <c r="R909" t="str">
        <f t="shared" si="89"/>
        <v>Achieved</v>
      </c>
    </row>
    <row r="910" spans="1:18">
      <c r="A910" t="s">
        <v>45</v>
      </c>
      <c r="B910" t="s">
        <v>49</v>
      </c>
      <c r="C910" t="s">
        <v>30</v>
      </c>
      <c r="D910" t="s">
        <v>31</v>
      </c>
      <c r="E910" t="s">
        <v>22</v>
      </c>
      <c r="F910">
        <v>740</v>
      </c>
      <c r="G910" s="1">
        <v>37678</v>
      </c>
      <c r="H910" s="2">
        <v>45473</v>
      </c>
      <c r="I910" t="s">
        <v>32</v>
      </c>
      <c r="J910" t="s">
        <v>946</v>
      </c>
      <c r="K910" t="s">
        <v>18</v>
      </c>
      <c r="L910" t="str">
        <f t="shared" si="84"/>
        <v>Jun</v>
      </c>
      <c r="M910" t="str">
        <f t="shared" si="85"/>
        <v>Q2</v>
      </c>
      <c r="N910" t="str">
        <f t="shared" si="86"/>
        <v>Medium</v>
      </c>
      <c r="O910">
        <f>_xlfn.XLOOKUP(I910,Helper_Table!A:A,Helper_Table!B:B)</f>
        <v>0.95</v>
      </c>
      <c r="P910" s="1">
        <f t="shared" si="87"/>
        <v>35794.1</v>
      </c>
      <c r="Q910" s="4">
        <f t="shared" si="88"/>
        <v>1.0526315789473684</v>
      </c>
      <c r="R910" t="str">
        <f t="shared" si="89"/>
        <v>Achieved</v>
      </c>
    </row>
    <row r="911" spans="1:18">
      <c r="A911" t="s">
        <v>11</v>
      </c>
      <c r="B911" t="s">
        <v>36</v>
      </c>
      <c r="C911" t="s">
        <v>13</v>
      </c>
      <c r="D911" t="s">
        <v>14</v>
      </c>
      <c r="E911">
        <v>60</v>
      </c>
      <c r="F911">
        <v>872</v>
      </c>
      <c r="G911" s="1">
        <v>10189</v>
      </c>
      <c r="H911" s="2">
        <v>45362</v>
      </c>
      <c r="I911" t="s">
        <v>32</v>
      </c>
      <c r="J911" t="s">
        <v>947</v>
      </c>
      <c r="K911" t="s">
        <v>44</v>
      </c>
      <c r="L911" t="str">
        <f t="shared" si="84"/>
        <v>Mar</v>
      </c>
      <c r="M911" t="str">
        <f t="shared" si="85"/>
        <v>Q1</v>
      </c>
      <c r="N911" t="str">
        <f t="shared" si="86"/>
        <v>Low</v>
      </c>
      <c r="O911">
        <f>_xlfn.XLOOKUP(I911,Helper_Table!A:A,Helper_Table!B:B)</f>
        <v>0.95</v>
      </c>
      <c r="P911" s="1">
        <f t="shared" si="87"/>
        <v>9679.5499999999993</v>
      </c>
      <c r="Q911" s="4">
        <f t="shared" si="88"/>
        <v>1.0526315789473686</v>
      </c>
      <c r="R911" t="str">
        <f t="shared" si="89"/>
        <v>Achieved</v>
      </c>
    </row>
    <row r="912" spans="1:18">
      <c r="A912" t="s">
        <v>24</v>
      </c>
      <c r="B912" t="s">
        <v>49</v>
      </c>
      <c r="C912" t="s">
        <v>20</v>
      </c>
      <c r="D912" t="s">
        <v>31</v>
      </c>
      <c r="E912" t="s">
        <v>38</v>
      </c>
      <c r="F912">
        <v>449</v>
      </c>
      <c r="G912" s="1">
        <v>18843</v>
      </c>
      <c r="H912" s="2">
        <v>45406</v>
      </c>
      <c r="I912" t="s">
        <v>16</v>
      </c>
      <c r="J912" t="s">
        <v>948</v>
      </c>
      <c r="K912" t="s">
        <v>34</v>
      </c>
      <c r="L912" t="str">
        <f t="shared" si="84"/>
        <v>Apr</v>
      </c>
      <c r="M912" t="str">
        <f t="shared" si="85"/>
        <v>Q2</v>
      </c>
      <c r="N912" t="str">
        <f t="shared" si="86"/>
        <v>Low</v>
      </c>
      <c r="O912">
        <f>_xlfn.XLOOKUP(I912,Helper_Table!A:A,Helper_Table!B:B)</f>
        <v>1.1000000000000001</v>
      </c>
      <c r="P912" s="1">
        <f t="shared" si="87"/>
        <v>20727.300000000003</v>
      </c>
      <c r="Q912" s="4">
        <f t="shared" si="88"/>
        <v>0.90909090909090895</v>
      </c>
      <c r="R912" t="str">
        <f t="shared" si="89"/>
        <v>Below Target</v>
      </c>
    </row>
    <row r="913" spans="1:18">
      <c r="A913" t="s">
        <v>11</v>
      </c>
      <c r="B913" t="s">
        <v>51</v>
      </c>
      <c r="C913" t="s">
        <v>59</v>
      </c>
      <c r="D913" t="s">
        <v>21</v>
      </c>
      <c r="E913" t="s">
        <v>22</v>
      </c>
      <c r="F913">
        <v>1835</v>
      </c>
      <c r="G913" s="1">
        <v>37032</v>
      </c>
      <c r="H913" s="2">
        <v>45468</v>
      </c>
      <c r="I913" t="s">
        <v>16</v>
      </c>
      <c r="J913" t="s">
        <v>949</v>
      </c>
      <c r="K913" t="s">
        <v>18</v>
      </c>
      <c r="L913" t="str">
        <f t="shared" si="84"/>
        <v>Jun</v>
      </c>
      <c r="M913" t="str">
        <f t="shared" si="85"/>
        <v>Q2</v>
      </c>
      <c r="N913" t="str">
        <f t="shared" si="86"/>
        <v>Medium</v>
      </c>
      <c r="O913">
        <f>_xlfn.XLOOKUP(I913,Helper_Table!A:A,Helper_Table!B:B)</f>
        <v>1.1000000000000001</v>
      </c>
      <c r="P913" s="1">
        <f t="shared" si="87"/>
        <v>40735.200000000004</v>
      </c>
      <c r="Q913" s="4">
        <f t="shared" si="88"/>
        <v>0.90909090909090895</v>
      </c>
      <c r="R913" t="str">
        <f t="shared" si="89"/>
        <v>Below Target</v>
      </c>
    </row>
    <row r="914" spans="1:18">
      <c r="A914" t="s">
        <v>11</v>
      </c>
      <c r="B914" t="s">
        <v>49</v>
      </c>
      <c r="C914" t="s">
        <v>20</v>
      </c>
      <c r="D914" t="s">
        <v>31</v>
      </c>
      <c r="E914">
        <v>30</v>
      </c>
      <c r="F914">
        <v>413</v>
      </c>
      <c r="G914" s="1">
        <v>38333</v>
      </c>
      <c r="H914" s="2">
        <v>45456</v>
      </c>
      <c r="I914" t="s">
        <v>39</v>
      </c>
      <c r="J914" t="s">
        <v>950</v>
      </c>
      <c r="K914" t="s">
        <v>18</v>
      </c>
      <c r="L914" t="str">
        <f t="shared" si="84"/>
        <v>Jun</v>
      </c>
      <c r="M914" t="str">
        <f t="shared" si="85"/>
        <v>Q2</v>
      </c>
      <c r="N914" t="str">
        <f t="shared" si="86"/>
        <v>Medium</v>
      </c>
      <c r="O914">
        <f>_xlfn.XLOOKUP(I914,Helper_Table!A:A,Helper_Table!B:B)</f>
        <v>1.1000000000000001</v>
      </c>
      <c r="P914" s="1">
        <f t="shared" si="87"/>
        <v>42166.3</v>
      </c>
      <c r="Q914" s="4">
        <f t="shared" si="88"/>
        <v>0.90909090909090906</v>
      </c>
      <c r="R914" t="str">
        <f t="shared" si="89"/>
        <v>Below Target</v>
      </c>
    </row>
    <row r="915" spans="1:18">
      <c r="A915" t="s">
        <v>64</v>
      </c>
      <c r="B915" t="s">
        <v>36</v>
      </c>
      <c r="C915" t="s">
        <v>59</v>
      </c>
      <c r="D915" t="s">
        <v>21</v>
      </c>
      <c r="E915">
        <v>30</v>
      </c>
      <c r="F915">
        <v>913</v>
      </c>
      <c r="G915" s="1">
        <v>42870</v>
      </c>
      <c r="H915" s="2">
        <v>45186</v>
      </c>
      <c r="I915" t="s">
        <v>41</v>
      </c>
      <c r="J915" t="s">
        <v>951</v>
      </c>
      <c r="K915" t="s">
        <v>18</v>
      </c>
      <c r="L915" t="str">
        <f t="shared" si="84"/>
        <v>Sep</v>
      </c>
      <c r="M915" t="str">
        <f t="shared" si="85"/>
        <v>Q3</v>
      </c>
      <c r="N915" t="str">
        <f t="shared" si="86"/>
        <v>High</v>
      </c>
      <c r="O915">
        <f>_xlfn.XLOOKUP(I915,Helper_Table!A:A,Helper_Table!B:B)</f>
        <v>1.2</v>
      </c>
      <c r="P915" s="1">
        <f t="shared" si="87"/>
        <v>51444</v>
      </c>
      <c r="Q915" s="4">
        <f t="shared" si="88"/>
        <v>0.83333333333333337</v>
      </c>
      <c r="R915" t="str">
        <f t="shared" si="89"/>
        <v>Below Target</v>
      </c>
    </row>
    <row r="916" spans="1:18">
      <c r="A916" t="s">
        <v>35</v>
      </c>
      <c r="B916" t="s">
        <v>51</v>
      </c>
      <c r="C916" t="s">
        <v>20</v>
      </c>
      <c r="D916" t="s">
        <v>66</v>
      </c>
      <c r="E916" t="s">
        <v>22</v>
      </c>
      <c r="F916">
        <v>1075</v>
      </c>
      <c r="G916" s="1">
        <v>45857</v>
      </c>
      <c r="H916" s="2">
        <v>45355</v>
      </c>
      <c r="I916" t="s">
        <v>32</v>
      </c>
      <c r="J916" t="s">
        <v>952</v>
      </c>
      <c r="K916" t="s">
        <v>47</v>
      </c>
      <c r="L916" t="str">
        <f t="shared" si="84"/>
        <v>Mar</v>
      </c>
      <c r="M916" t="str">
        <f t="shared" si="85"/>
        <v>Q1</v>
      </c>
      <c r="N916" t="str">
        <f t="shared" si="86"/>
        <v>High</v>
      </c>
      <c r="O916">
        <f>_xlfn.XLOOKUP(I916,Helper_Table!A:A,Helper_Table!B:B)</f>
        <v>0.95</v>
      </c>
      <c r="P916" s="1">
        <f t="shared" si="87"/>
        <v>43564.15</v>
      </c>
      <c r="Q916" s="4">
        <f t="shared" si="88"/>
        <v>1.0526315789473684</v>
      </c>
      <c r="R916" t="str">
        <f t="shared" si="89"/>
        <v>Achieved</v>
      </c>
    </row>
    <row r="917" spans="1:18">
      <c r="A917" t="s">
        <v>64</v>
      </c>
      <c r="B917" t="s">
        <v>19</v>
      </c>
      <c r="C917" t="s">
        <v>59</v>
      </c>
      <c r="D917" t="s">
        <v>31</v>
      </c>
      <c r="E917">
        <v>30</v>
      </c>
      <c r="F917">
        <v>1600</v>
      </c>
      <c r="G917" s="1">
        <v>21517</v>
      </c>
      <c r="H917" s="2">
        <v>45465</v>
      </c>
      <c r="I917" t="s">
        <v>16</v>
      </c>
      <c r="J917" t="s">
        <v>953</v>
      </c>
      <c r="K917" t="s">
        <v>29</v>
      </c>
      <c r="L917" t="str">
        <f t="shared" si="84"/>
        <v>Jun</v>
      </c>
      <c r="M917" t="str">
        <f t="shared" si="85"/>
        <v>Q2</v>
      </c>
      <c r="N917" t="str">
        <f t="shared" si="86"/>
        <v>Medium</v>
      </c>
      <c r="O917">
        <f>_xlfn.XLOOKUP(I917,Helper_Table!A:A,Helper_Table!B:B)</f>
        <v>1.1000000000000001</v>
      </c>
      <c r="P917" s="1">
        <f t="shared" si="87"/>
        <v>23668.7</v>
      </c>
      <c r="Q917" s="4">
        <f t="shared" si="88"/>
        <v>0.90909090909090906</v>
      </c>
      <c r="R917" t="str">
        <f t="shared" si="89"/>
        <v>Below Target</v>
      </c>
    </row>
    <row r="918" spans="1:18">
      <c r="A918" t="s">
        <v>11</v>
      </c>
      <c r="B918" t="s">
        <v>12</v>
      </c>
      <c r="C918" t="s">
        <v>30</v>
      </c>
      <c r="D918" t="s">
        <v>66</v>
      </c>
      <c r="E918" t="s">
        <v>38</v>
      </c>
      <c r="F918">
        <v>576</v>
      </c>
      <c r="G918" s="1">
        <v>40961</v>
      </c>
      <c r="H918" s="2">
        <v>45279</v>
      </c>
      <c r="I918" t="s">
        <v>32</v>
      </c>
      <c r="J918" t="s">
        <v>954</v>
      </c>
      <c r="K918" t="s">
        <v>47</v>
      </c>
      <c r="L918" t="str">
        <f t="shared" si="84"/>
        <v>Dec</v>
      </c>
      <c r="M918" t="str">
        <f t="shared" si="85"/>
        <v>Q4</v>
      </c>
      <c r="N918" t="str">
        <f t="shared" si="86"/>
        <v>High</v>
      </c>
      <c r="O918">
        <f>_xlfn.XLOOKUP(I918,Helper_Table!A:A,Helper_Table!B:B)</f>
        <v>0.95</v>
      </c>
      <c r="P918" s="1">
        <f t="shared" si="87"/>
        <v>38912.949999999997</v>
      </c>
      <c r="Q918" s="4">
        <f t="shared" si="88"/>
        <v>1.0526315789473686</v>
      </c>
      <c r="R918" t="str">
        <f t="shared" si="89"/>
        <v>Achieved</v>
      </c>
    </row>
    <row r="919" spans="1:18">
      <c r="A919" t="s">
        <v>45</v>
      </c>
      <c r="B919" t="s">
        <v>36</v>
      </c>
      <c r="C919" t="s">
        <v>59</v>
      </c>
      <c r="D919" t="s">
        <v>14</v>
      </c>
      <c r="E919">
        <v>30</v>
      </c>
      <c r="F919">
        <v>1265</v>
      </c>
      <c r="G919" s="1">
        <v>32484</v>
      </c>
      <c r="H919" s="2">
        <v>45273</v>
      </c>
      <c r="I919" t="s">
        <v>27</v>
      </c>
      <c r="J919" t="s">
        <v>955</v>
      </c>
      <c r="K919" t="s">
        <v>34</v>
      </c>
      <c r="L919" t="str">
        <f t="shared" si="84"/>
        <v>Dec</v>
      </c>
      <c r="M919" t="str">
        <f t="shared" si="85"/>
        <v>Q4</v>
      </c>
      <c r="N919" t="str">
        <f t="shared" si="86"/>
        <v>Medium</v>
      </c>
      <c r="O919">
        <f>_xlfn.XLOOKUP(I919,Helper_Table!A:A,Helper_Table!B:B)</f>
        <v>0.9</v>
      </c>
      <c r="P919" s="1">
        <f t="shared" si="87"/>
        <v>29235.600000000002</v>
      </c>
      <c r="Q919" s="4">
        <f t="shared" si="88"/>
        <v>1.1111111111111109</v>
      </c>
      <c r="R919" t="str">
        <f t="shared" si="89"/>
        <v>Achieved</v>
      </c>
    </row>
    <row r="920" spans="1:18">
      <c r="A920" t="s">
        <v>45</v>
      </c>
      <c r="B920" t="s">
        <v>36</v>
      </c>
      <c r="C920" t="s">
        <v>20</v>
      </c>
      <c r="D920" t="s">
        <v>14</v>
      </c>
      <c r="E920" t="s">
        <v>38</v>
      </c>
      <c r="F920">
        <v>529</v>
      </c>
      <c r="G920" s="1">
        <v>6114</v>
      </c>
      <c r="H920" s="2">
        <v>45473</v>
      </c>
      <c r="I920" t="s">
        <v>27</v>
      </c>
      <c r="J920" t="s">
        <v>956</v>
      </c>
      <c r="K920" t="s">
        <v>34</v>
      </c>
      <c r="L920" t="str">
        <f t="shared" si="84"/>
        <v>Jun</v>
      </c>
      <c r="M920" t="str">
        <f t="shared" si="85"/>
        <v>Q2</v>
      </c>
      <c r="N920" t="str">
        <f t="shared" si="86"/>
        <v>Low</v>
      </c>
      <c r="O920">
        <f>_xlfn.XLOOKUP(I920,Helper_Table!A:A,Helper_Table!B:B)</f>
        <v>0.9</v>
      </c>
      <c r="P920" s="1">
        <f t="shared" si="87"/>
        <v>5502.6</v>
      </c>
      <c r="Q920" s="4">
        <f t="shared" si="88"/>
        <v>1.1111111111111109</v>
      </c>
      <c r="R920" t="str">
        <f t="shared" si="89"/>
        <v>Achieved</v>
      </c>
    </row>
    <row r="921" spans="1:18">
      <c r="A921" t="s">
        <v>45</v>
      </c>
      <c r="B921" t="s">
        <v>36</v>
      </c>
      <c r="C921" t="s">
        <v>59</v>
      </c>
      <c r="D921" t="s">
        <v>21</v>
      </c>
      <c r="E921" t="s">
        <v>22</v>
      </c>
      <c r="F921">
        <v>424</v>
      </c>
      <c r="G921" s="1">
        <v>36660</v>
      </c>
      <c r="H921" s="2">
        <v>45245</v>
      </c>
      <c r="I921" t="s">
        <v>41</v>
      </c>
      <c r="J921" t="s">
        <v>957</v>
      </c>
      <c r="K921" t="s">
        <v>34</v>
      </c>
      <c r="L921" t="str">
        <f t="shared" si="84"/>
        <v>Nov</v>
      </c>
      <c r="M921" t="str">
        <f t="shared" si="85"/>
        <v>Q4</v>
      </c>
      <c r="N921" t="str">
        <f t="shared" si="86"/>
        <v>Medium</v>
      </c>
      <c r="O921">
        <f>_xlfn.XLOOKUP(I921,Helper_Table!A:A,Helper_Table!B:B)</f>
        <v>1.2</v>
      </c>
      <c r="P921" s="1">
        <f t="shared" si="87"/>
        <v>43992</v>
      </c>
      <c r="Q921" s="4">
        <f t="shared" si="88"/>
        <v>0.83333333333333337</v>
      </c>
      <c r="R921" t="str">
        <f t="shared" si="89"/>
        <v>Below Target</v>
      </c>
    </row>
    <row r="922" spans="1:18">
      <c r="A922" t="s">
        <v>45</v>
      </c>
      <c r="B922" t="s">
        <v>51</v>
      </c>
      <c r="C922" t="s">
        <v>30</v>
      </c>
      <c r="D922" t="s">
        <v>26</v>
      </c>
      <c r="E922">
        <v>60</v>
      </c>
      <c r="F922">
        <v>1902</v>
      </c>
      <c r="G922" s="1">
        <v>4193</v>
      </c>
      <c r="H922" s="2">
        <v>45340</v>
      </c>
      <c r="I922" t="s">
        <v>32</v>
      </c>
      <c r="J922" t="s">
        <v>958</v>
      </c>
      <c r="K922" t="s">
        <v>44</v>
      </c>
      <c r="L922" t="str">
        <f t="shared" si="84"/>
        <v>Feb</v>
      </c>
      <c r="M922" t="str">
        <f t="shared" si="85"/>
        <v>Q1</v>
      </c>
      <c r="N922" t="str">
        <f t="shared" si="86"/>
        <v>Low</v>
      </c>
      <c r="O922">
        <f>_xlfn.XLOOKUP(I922,Helper_Table!A:A,Helper_Table!B:B)</f>
        <v>0.95</v>
      </c>
      <c r="P922" s="1">
        <f t="shared" si="87"/>
        <v>3983.35</v>
      </c>
      <c r="Q922" s="4">
        <f t="shared" si="88"/>
        <v>1.0526315789473684</v>
      </c>
      <c r="R922" t="str">
        <f t="shared" si="89"/>
        <v>Achieved</v>
      </c>
    </row>
    <row r="923" spans="1:18">
      <c r="A923" t="s">
        <v>45</v>
      </c>
      <c r="B923" t="s">
        <v>12</v>
      </c>
      <c r="C923" t="s">
        <v>30</v>
      </c>
      <c r="D923" t="s">
        <v>14</v>
      </c>
      <c r="E923">
        <v>60</v>
      </c>
      <c r="F923">
        <v>1560</v>
      </c>
      <c r="G923" s="1">
        <v>33167</v>
      </c>
      <c r="H923" s="2">
        <v>45296</v>
      </c>
      <c r="I923" t="s">
        <v>32</v>
      </c>
      <c r="J923" t="s">
        <v>959</v>
      </c>
      <c r="K923" t="s">
        <v>34</v>
      </c>
      <c r="L923" t="str">
        <f t="shared" si="84"/>
        <v>Jan</v>
      </c>
      <c r="M923" t="str">
        <f t="shared" si="85"/>
        <v>Q1</v>
      </c>
      <c r="N923" t="str">
        <f t="shared" si="86"/>
        <v>Medium</v>
      </c>
      <c r="O923">
        <f>_xlfn.XLOOKUP(I923,Helper_Table!A:A,Helper_Table!B:B)</f>
        <v>0.95</v>
      </c>
      <c r="P923" s="1">
        <f t="shared" si="87"/>
        <v>31508.649999999998</v>
      </c>
      <c r="Q923" s="4">
        <f t="shared" si="88"/>
        <v>1.0526315789473686</v>
      </c>
      <c r="R923" t="str">
        <f t="shared" si="89"/>
        <v>Achieved</v>
      </c>
    </row>
    <row r="924" spans="1:18">
      <c r="A924" t="s">
        <v>24</v>
      </c>
      <c r="B924" t="s">
        <v>51</v>
      </c>
      <c r="C924" t="s">
        <v>25</v>
      </c>
      <c r="D924" t="s">
        <v>31</v>
      </c>
      <c r="E924">
        <v>60</v>
      </c>
      <c r="F924">
        <v>375</v>
      </c>
      <c r="G924" s="1">
        <v>13847</v>
      </c>
      <c r="H924" s="2">
        <v>45180</v>
      </c>
      <c r="I924" t="s">
        <v>16</v>
      </c>
      <c r="J924" t="s">
        <v>960</v>
      </c>
      <c r="K924" t="s">
        <v>18</v>
      </c>
      <c r="L924" t="str">
        <f t="shared" si="84"/>
        <v>Sep</v>
      </c>
      <c r="M924" t="str">
        <f t="shared" si="85"/>
        <v>Q3</v>
      </c>
      <c r="N924" t="str">
        <f t="shared" si="86"/>
        <v>Low</v>
      </c>
      <c r="O924">
        <f>_xlfn.XLOOKUP(I924,Helper_Table!A:A,Helper_Table!B:B)</f>
        <v>1.1000000000000001</v>
      </c>
      <c r="P924" s="1">
        <f t="shared" si="87"/>
        <v>15231.7</v>
      </c>
      <c r="Q924" s="4">
        <f t="shared" si="88"/>
        <v>0.90909090909090906</v>
      </c>
      <c r="R924" t="str">
        <f t="shared" si="89"/>
        <v>Below Target</v>
      </c>
    </row>
    <row r="925" spans="1:18">
      <c r="A925" t="s">
        <v>35</v>
      </c>
      <c r="B925" t="s">
        <v>19</v>
      </c>
      <c r="C925" t="s">
        <v>20</v>
      </c>
      <c r="D925" t="s">
        <v>31</v>
      </c>
      <c r="E925" t="s">
        <v>38</v>
      </c>
      <c r="F925">
        <v>1663</v>
      </c>
      <c r="G925" s="1">
        <v>47873</v>
      </c>
      <c r="H925" s="2">
        <v>45394</v>
      </c>
      <c r="I925" t="s">
        <v>41</v>
      </c>
      <c r="J925" t="s">
        <v>961</v>
      </c>
      <c r="K925" t="s">
        <v>18</v>
      </c>
      <c r="L925" t="str">
        <f t="shared" si="84"/>
        <v>Apr</v>
      </c>
      <c r="M925" t="str">
        <f t="shared" si="85"/>
        <v>Q2</v>
      </c>
      <c r="N925" t="str">
        <f t="shared" si="86"/>
        <v>High</v>
      </c>
      <c r="O925">
        <f>_xlfn.XLOOKUP(I925,Helper_Table!A:A,Helper_Table!B:B)</f>
        <v>1.2</v>
      </c>
      <c r="P925" s="1">
        <f t="shared" si="87"/>
        <v>57447.6</v>
      </c>
      <c r="Q925" s="4">
        <f t="shared" si="88"/>
        <v>0.83333333333333337</v>
      </c>
      <c r="R925" t="str">
        <f t="shared" si="89"/>
        <v>Below Target</v>
      </c>
    </row>
    <row r="926" spans="1:18">
      <c r="A926" t="s">
        <v>64</v>
      </c>
      <c r="B926" t="s">
        <v>12</v>
      </c>
      <c r="C926" t="s">
        <v>20</v>
      </c>
      <c r="D926" t="s">
        <v>14</v>
      </c>
      <c r="E926" t="s">
        <v>22</v>
      </c>
      <c r="F926">
        <v>997</v>
      </c>
      <c r="G926" s="1">
        <v>34888</v>
      </c>
      <c r="H926" s="2">
        <v>45406</v>
      </c>
      <c r="I926" t="s">
        <v>39</v>
      </c>
      <c r="J926" t="s">
        <v>962</v>
      </c>
      <c r="K926" t="s">
        <v>44</v>
      </c>
      <c r="L926" t="str">
        <f t="shared" si="84"/>
        <v>Apr</v>
      </c>
      <c r="M926" t="str">
        <f t="shared" si="85"/>
        <v>Q2</v>
      </c>
      <c r="N926" t="str">
        <f t="shared" si="86"/>
        <v>Medium</v>
      </c>
      <c r="O926">
        <f>_xlfn.XLOOKUP(I926,Helper_Table!A:A,Helper_Table!B:B)</f>
        <v>1.1000000000000001</v>
      </c>
      <c r="P926" s="1">
        <f t="shared" si="87"/>
        <v>38376.800000000003</v>
      </c>
      <c r="Q926" s="4">
        <f t="shared" si="88"/>
        <v>0.90909090909090906</v>
      </c>
      <c r="R926" t="str">
        <f t="shared" si="89"/>
        <v>Below Target</v>
      </c>
    </row>
    <row r="927" spans="1:18">
      <c r="A927" t="s">
        <v>45</v>
      </c>
      <c r="B927" t="s">
        <v>12</v>
      </c>
      <c r="C927" t="s">
        <v>13</v>
      </c>
      <c r="D927" t="s">
        <v>31</v>
      </c>
      <c r="E927">
        <v>60</v>
      </c>
      <c r="F927">
        <v>1718</v>
      </c>
      <c r="G927" s="1">
        <v>35098</v>
      </c>
      <c r="H927" s="2">
        <v>45239</v>
      </c>
      <c r="I927" t="s">
        <v>16</v>
      </c>
      <c r="J927" t="s">
        <v>963</v>
      </c>
      <c r="K927" t="s">
        <v>34</v>
      </c>
      <c r="L927" t="str">
        <f t="shared" si="84"/>
        <v>Nov</v>
      </c>
      <c r="M927" t="str">
        <f t="shared" si="85"/>
        <v>Q4</v>
      </c>
      <c r="N927" t="str">
        <f t="shared" si="86"/>
        <v>Medium</v>
      </c>
      <c r="O927">
        <f>_xlfn.XLOOKUP(I927,Helper_Table!A:A,Helper_Table!B:B)</f>
        <v>1.1000000000000001</v>
      </c>
      <c r="P927" s="1">
        <f t="shared" si="87"/>
        <v>38607.800000000003</v>
      </c>
      <c r="Q927" s="4">
        <f t="shared" si="88"/>
        <v>0.90909090909090906</v>
      </c>
      <c r="R927" t="str">
        <f t="shared" si="89"/>
        <v>Below Target</v>
      </c>
    </row>
    <row r="928" spans="1:18">
      <c r="A928" t="s">
        <v>24</v>
      </c>
      <c r="B928" t="s">
        <v>49</v>
      </c>
      <c r="C928" t="s">
        <v>30</v>
      </c>
      <c r="D928" t="s">
        <v>66</v>
      </c>
      <c r="E928" t="s">
        <v>38</v>
      </c>
      <c r="F928">
        <v>324</v>
      </c>
      <c r="G928" s="1">
        <v>15547</v>
      </c>
      <c r="H928" s="2">
        <v>45336</v>
      </c>
      <c r="I928" t="s">
        <v>16</v>
      </c>
      <c r="J928" t="s">
        <v>964</v>
      </c>
      <c r="K928" t="s">
        <v>47</v>
      </c>
      <c r="L928" t="str">
        <f t="shared" si="84"/>
        <v>Feb</v>
      </c>
      <c r="M928" t="str">
        <f t="shared" si="85"/>
        <v>Q1</v>
      </c>
      <c r="N928" t="str">
        <f t="shared" si="86"/>
        <v>Low</v>
      </c>
      <c r="O928">
        <f>_xlfn.XLOOKUP(I928,Helper_Table!A:A,Helper_Table!B:B)</f>
        <v>1.1000000000000001</v>
      </c>
      <c r="P928" s="1">
        <f t="shared" si="87"/>
        <v>17101.7</v>
      </c>
      <c r="Q928" s="4">
        <f t="shared" si="88"/>
        <v>0.90909090909090906</v>
      </c>
      <c r="R928" t="str">
        <f t="shared" si="89"/>
        <v>Below Target</v>
      </c>
    </row>
    <row r="929" spans="1:18">
      <c r="A929" t="s">
        <v>45</v>
      </c>
      <c r="B929" t="s">
        <v>12</v>
      </c>
      <c r="C929" t="s">
        <v>13</v>
      </c>
      <c r="D929" t="s">
        <v>21</v>
      </c>
      <c r="E929">
        <v>60</v>
      </c>
      <c r="F929">
        <v>1929</v>
      </c>
      <c r="G929" s="1">
        <v>15465</v>
      </c>
      <c r="H929" s="2">
        <v>45491</v>
      </c>
      <c r="I929" t="s">
        <v>32</v>
      </c>
      <c r="J929" t="s">
        <v>965</v>
      </c>
      <c r="K929" t="s">
        <v>18</v>
      </c>
      <c r="L929" t="str">
        <f t="shared" si="84"/>
        <v>Jul</v>
      </c>
      <c r="M929" t="str">
        <f t="shared" si="85"/>
        <v>Q3</v>
      </c>
      <c r="N929" t="str">
        <f t="shared" si="86"/>
        <v>Low</v>
      </c>
      <c r="O929">
        <f>_xlfn.XLOOKUP(I929,Helper_Table!A:A,Helper_Table!B:B)</f>
        <v>0.95</v>
      </c>
      <c r="P929" s="1">
        <f t="shared" si="87"/>
        <v>14691.75</v>
      </c>
      <c r="Q929" s="4">
        <f t="shared" si="88"/>
        <v>1.0526315789473684</v>
      </c>
      <c r="R929" t="str">
        <f t="shared" si="89"/>
        <v>Achieved</v>
      </c>
    </row>
    <row r="930" spans="1:18">
      <c r="A930" t="s">
        <v>64</v>
      </c>
      <c r="B930" t="s">
        <v>51</v>
      </c>
      <c r="C930" t="s">
        <v>30</v>
      </c>
      <c r="D930" t="s">
        <v>14</v>
      </c>
      <c r="E930" t="s">
        <v>38</v>
      </c>
      <c r="F930">
        <v>1206</v>
      </c>
      <c r="G930" s="1">
        <v>44930</v>
      </c>
      <c r="H930" s="2">
        <v>45326</v>
      </c>
      <c r="I930" t="s">
        <v>27</v>
      </c>
      <c r="J930" t="s">
        <v>966</v>
      </c>
      <c r="K930" t="s">
        <v>44</v>
      </c>
      <c r="L930" t="str">
        <f t="shared" si="84"/>
        <v>Feb</v>
      </c>
      <c r="M930" t="str">
        <f t="shared" si="85"/>
        <v>Q1</v>
      </c>
      <c r="N930" t="str">
        <f t="shared" si="86"/>
        <v>High</v>
      </c>
      <c r="O930">
        <f>_xlfn.XLOOKUP(I930,Helper_Table!A:A,Helper_Table!B:B)</f>
        <v>0.9</v>
      </c>
      <c r="P930" s="1">
        <f t="shared" si="87"/>
        <v>40437</v>
      </c>
      <c r="Q930" s="4">
        <f t="shared" si="88"/>
        <v>1.1111111111111112</v>
      </c>
      <c r="R930" t="str">
        <f t="shared" si="89"/>
        <v>Achieved</v>
      </c>
    </row>
    <row r="931" spans="1:18">
      <c r="A931" t="s">
        <v>64</v>
      </c>
      <c r="B931" t="s">
        <v>19</v>
      </c>
      <c r="C931" t="s">
        <v>25</v>
      </c>
      <c r="D931" t="s">
        <v>31</v>
      </c>
      <c r="E931">
        <v>60</v>
      </c>
      <c r="F931">
        <v>1937</v>
      </c>
      <c r="G931" s="1">
        <v>16796</v>
      </c>
      <c r="H931" s="2">
        <v>45309</v>
      </c>
      <c r="I931" t="s">
        <v>39</v>
      </c>
      <c r="J931" t="s">
        <v>967</v>
      </c>
      <c r="K931" t="s">
        <v>29</v>
      </c>
      <c r="L931" t="str">
        <f t="shared" si="84"/>
        <v>Jan</v>
      </c>
      <c r="M931" t="str">
        <f t="shared" si="85"/>
        <v>Q1</v>
      </c>
      <c r="N931" t="str">
        <f t="shared" si="86"/>
        <v>Low</v>
      </c>
      <c r="O931">
        <f>_xlfn.XLOOKUP(I931,Helper_Table!A:A,Helper_Table!B:B)</f>
        <v>1.1000000000000001</v>
      </c>
      <c r="P931" s="1">
        <f t="shared" si="87"/>
        <v>18475.600000000002</v>
      </c>
      <c r="Q931" s="4">
        <f t="shared" si="88"/>
        <v>0.90909090909090895</v>
      </c>
      <c r="R931" t="str">
        <f t="shared" si="89"/>
        <v>Below Target</v>
      </c>
    </row>
    <row r="932" spans="1:18">
      <c r="A932" t="s">
        <v>64</v>
      </c>
      <c r="B932" t="s">
        <v>51</v>
      </c>
      <c r="C932" t="s">
        <v>20</v>
      </c>
      <c r="D932" t="s">
        <v>26</v>
      </c>
      <c r="E932" t="s">
        <v>22</v>
      </c>
      <c r="F932">
        <v>1705</v>
      </c>
      <c r="G932" s="1">
        <v>9606</v>
      </c>
      <c r="H932" s="2">
        <v>45260</v>
      </c>
      <c r="I932" t="s">
        <v>32</v>
      </c>
      <c r="J932" t="s">
        <v>968</v>
      </c>
      <c r="K932" t="s">
        <v>47</v>
      </c>
      <c r="L932" t="str">
        <f t="shared" si="84"/>
        <v>Nov</v>
      </c>
      <c r="M932" t="str">
        <f t="shared" si="85"/>
        <v>Q4</v>
      </c>
      <c r="N932" t="str">
        <f t="shared" si="86"/>
        <v>Low</v>
      </c>
      <c r="O932">
        <f>_xlfn.XLOOKUP(I932,Helper_Table!A:A,Helper_Table!B:B)</f>
        <v>0.95</v>
      </c>
      <c r="P932" s="1">
        <f t="shared" si="87"/>
        <v>9125.6999999999989</v>
      </c>
      <c r="Q932" s="4">
        <f t="shared" si="88"/>
        <v>1.0526315789473686</v>
      </c>
      <c r="R932" t="str">
        <f t="shared" si="89"/>
        <v>Achieved</v>
      </c>
    </row>
    <row r="933" spans="1:18">
      <c r="A933" t="s">
        <v>35</v>
      </c>
      <c r="B933" t="s">
        <v>19</v>
      </c>
      <c r="C933" t="s">
        <v>20</v>
      </c>
      <c r="D933" t="s">
        <v>66</v>
      </c>
      <c r="E933" t="s">
        <v>22</v>
      </c>
      <c r="F933">
        <v>938</v>
      </c>
      <c r="G933" s="1">
        <v>21278</v>
      </c>
      <c r="H933" s="2">
        <v>45136</v>
      </c>
      <c r="I933" t="s">
        <v>16</v>
      </c>
      <c r="J933" t="s">
        <v>969</v>
      </c>
      <c r="K933" t="s">
        <v>34</v>
      </c>
      <c r="L933" t="str">
        <f t="shared" si="84"/>
        <v>Jul</v>
      </c>
      <c r="M933" t="str">
        <f t="shared" si="85"/>
        <v>Q3</v>
      </c>
      <c r="N933" t="str">
        <f t="shared" si="86"/>
        <v>Medium</v>
      </c>
      <c r="O933">
        <f>_xlfn.XLOOKUP(I933,Helper_Table!A:A,Helper_Table!B:B)</f>
        <v>1.1000000000000001</v>
      </c>
      <c r="P933" s="1">
        <f t="shared" si="87"/>
        <v>23405.800000000003</v>
      </c>
      <c r="Q933" s="4">
        <f t="shared" si="88"/>
        <v>0.90909090909090895</v>
      </c>
      <c r="R933" t="str">
        <f t="shared" si="89"/>
        <v>Below Target</v>
      </c>
    </row>
    <row r="934" spans="1:18">
      <c r="A934" t="s">
        <v>11</v>
      </c>
      <c r="B934" t="s">
        <v>36</v>
      </c>
      <c r="C934" t="s">
        <v>13</v>
      </c>
      <c r="D934" t="s">
        <v>26</v>
      </c>
      <c r="E934" t="s">
        <v>22</v>
      </c>
      <c r="F934">
        <v>1566</v>
      </c>
      <c r="G934" s="1">
        <v>25494</v>
      </c>
      <c r="H934" s="2">
        <v>45167</v>
      </c>
      <c r="I934" t="s">
        <v>16</v>
      </c>
      <c r="J934" t="s">
        <v>970</v>
      </c>
      <c r="K934" t="s">
        <v>44</v>
      </c>
      <c r="L934" t="str">
        <f t="shared" si="84"/>
        <v>Aug</v>
      </c>
      <c r="M934" t="str">
        <f t="shared" si="85"/>
        <v>Q3</v>
      </c>
      <c r="N934" t="str">
        <f t="shared" si="86"/>
        <v>Medium</v>
      </c>
      <c r="O934">
        <f>_xlfn.XLOOKUP(I934,Helper_Table!A:A,Helper_Table!B:B)</f>
        <v>1.1000000000000001</v>
      </c>
      <c r="P934" s="1">
        <f t="shared" si="87"/>
        <v>28043.4</v>
      </c>
      <c r="Q934" s="4">
        <f t="shared" si="88"/>
        <v>0.90909090909090906</v>
      </c>
      <c r="R934" t="str">
        <f t="shared" si="89"/>
        <v>Below Target</v>
      </c>
    </row>
    <row r="935" spans="1:18">
      <c r="A935" t="s">
        <v>64</v>
      </c>
      <c r="B935" t="s">
        <v>19</v>
      </c>
      <c r="C935" t="s">
        <v>30</v>
      </c>
      <c r="D935" t="s">
        <v>26</v>
      </c>
      <c r="E935">
        <v>30</v>
      </c>
      <c r="F935">
        <v>1644</v>
      </c>
      <c r="G935" s="1">
        <v>23908</v>
      </c>
      <c r="H935" s="2">
        <v>45286</v>
      </c>
      <c r="I935" t="s">
        <v>16</v>
      </c>
      <c r="J935" t="s">
        <v>971</v>
      </c>
      <c r="K935" t="s">
        <v>47</v>
      </c>
      <c r="L935" t="str">
        <f t="shared" si="84"/>
        <v>Dec</v>
      </c>
      <c r="M935" t="str">
        <f t="shared" si="85"/>
        <v>Q4</v>
      </c>
      <c r="N935" t="str">
        <f t="shared" si="86"/>
        <v>Medium</v>
      </c>
      <c r="O935">
        <f>_xlfn.XLOOKUP(I935,Helper_Table!A:A,Helper_Table!B:B)</f>
        <v>1.1000000000000001</v>
      </c>
      <c r="P935" s="1">
        <f t="shared" si="87"/>
        <v>26298.800000000003</v>
      </c>
      <c r="Q935" s="4">
        <f t="shared" si="88"/>
        <v>0.90909090909090895</v>
      </c>
      <c r="R935" t="str">
        <f t="shared" si="89"/>
        <v>Below Target</v>
      </c>
    </row>
    <row r="936" spans="1:18">
      <c r="A936" t="s">
        <v>11</v>
      </c>
      <c r="B936" t="s">
        <v>36</v>
      </c>
      <c r="C936" t="s">
        <v>30</v>
      </c>
      <c r="D936" t="s">
        <v>31</v>
      </c>
      <c r="E936">
        <v>30</v>
      </c>
      <c r="F936">
        <v>765</v>
      </c>
      <c r="G936" s="1">
        <v>37749</v>
      </c>
      <c r="H936" s="2">
        <v>45243</v>
      </c>
      <c r="I936" t="s">
        <v>16</v>
      </c>
      <c r="J936" t="s">
        <v>972</v>
      </c>
      <c r="K936" t="s">
        <v>34</v>
      </c>
      <c r="L936" t="str">
        <f t="shared" si="84"/>
        <v>Nov</v>
      </c>
      <c r="M936" t="str">
        <f t="shared" si="85"/>
        <v>Q4</v>
      </c>
      <c r="N936" t="str">
        <f t="shared" si="86"/>
        <v>Medium</v>
      </c>
      <c r="O936">
        <f>_xlfn.XLOOKUP(I936,Helper_Table!A:A,Helper_Table!B:B)</f>
        <v>1.1000000000000001</v>
      </c>
      <c r="P936" s="1">
        <f t="shared" si="87"/>
        <v>41523.9</v>
      </c>
      <c r="Q936" s="4">
        <f t="shared" si="88"/>
        <v>0.90909090909090906</v>
      </c>
      <c r="R936" t="str">
        <f t="shared" si="89"/>
        <v>Below Target</v>
      </c>
    </row>
    <row r="937" spans="1:18">
      <c r="A937" t="s">
        <v>64</v>
      </c>
      <c r="B937" t="s">
        <v>51</v>
      </c>
      <c r="C937" t="s">
        <v>59</v>
      </c>
      <c r="D937" t="s">
        <v>14</v>
      </c>
      <c r="E937" t="s">
        <v>15</v>
      </c>
      <c r="F937">
        <v>946</v>
      </c>
      <c r="G937" s="1">
        <v>40826</v>
      </c>
      <c r="H937" s="2">
        <v>45296</v>
      </c>
      <c r="I937" t="s">
        <v>16</v>
      </c>
      <c r="J937" t="s">
        <v>973</v>
      </c>
      <c r="K937" t="s">
        <v>18</v>
      </c>
      <c r="L937" t="str">
        <f t="shared" si="84"/>
        <v>Jan</v>
      </c>
      <c r="M937" t="str">
        <f t="shared" si="85"/>
        <v>Q1</v>
      </c>
      <c r="N937" t="str">
        <f t="shared" si="86"/>
        <v>High</v>
      </c>
      <c r="O937">
        <f>_xlfn.XLOOKUP(I937,Helper_Table!A:A,Helper_Table!B:B)</f>
        <v>1.1000000000000001</v>
      </c>
      <c r="P937" s="1">
        <f t="shared" si="87"/>
        <v>44908.600000000006</v>
      </c>
      <c r="Q937" s="4">
        <f t="shared" si="88"/>
        <v>0.90909090909090895</v>
      </c>
      <c r="R937" t="str">
        <f t="shared" si="89"/>
        <v>Below Target</v>
      </c>
    </row>
    <row r="938" spans="1:18">
      <c r="A938" t="s">
        <v>64</v>
      </c>
      <c r="B938" t="s">
        <v>36</v>
      </c>
      <c r="C938" t="s">
        <v>59</v>
      </c>
      <c r="D938" t="s">
        <v>66</v>
      </c>
      <c r="E938">
        <v>60</v>
      </c>
      <c r="F938">
        <v>399</v>
      </c>
      <c r="G938" s="1">
        <v>2187</v>
      </c>
      <c r="H938" s="2">
        <v>45366</v>
      </c>
      <c r="I938" t="s">
        <v>32</v>
      </c>
      <c r="J938" t="s">
        <v>974</v>
      </c>
      <c r="K938" t="s">
        <v>18</v>
      </c>
      <c r="L938" t="str">
        <f t="shared" si="84"/>
        <v>Mar</v>
      </c>
      <c r="M938" t="str">
        <f t="shared" si="85"/>
        <v>Q1</v>
      </c>
      <c r="N938" t="str">
        <f t="shared" si="86"/>
        <v>Low</v>
      </c>
      <c r="O938">
        <f>_xlfn.XLOOKUP(I938,Helper_Table!A:A,Helper_Table!B:B)</f>
        <v>0.95</v>
      </c>
      <c r="P938" s="1">
        <f t="shared" si="87"/>
        <v>2077.65</v>
      </c>
      <c r="Q938" s="4">
        <f t="shared" si="88"/>
        <v>1.0526315789473684</v>
      </c>
      <c r="R938" t="str">
        <f t="shared" si="89"/>
        <v>Achieved</v>
      </c>
    </row>
    <row r="939" spans="1:18">
      <c r="A939" t="s">
        <v>45</v>
      </c>
      <c r="B939" t="s">
        <v>12</v>
      </c>
      <c r="C939" t="s">
        <v>20</v>
      </c>
      <c r="D939" t="s">
        <v>66</v>
      </c>
      <c r="E939">
        <v>60</v>
      </c>
      <c r="F939">
        <v>1193</v>
      </c>
      <c r="G939" s="1">
        <v>37828</v>
      </c>
      <c r="H939" s="2">
        <v>45289</v>
      </c>
      <c r="I939" t="s">
        <v>27</v>
      </c>
      <c r="J939" t="s">
        <v>975</v>
      </c>
      <c r="K939" t="s">
        <v>34</v>
      </c>
      <c r="L939" t="str">
        <f t="shared" si="84"/>
        <v>Dec</v>
      </c>
      <c r="M939" t="str">
        <f t="shared" si="85"/>
        <v>Q4</v>
      </c>
      <c r="N939" t="str">
        <f t="shared" si="86"/>
        <v>Medium</v>
      </c>
      <c r="O939">
        <f>_xlfn.XLOOKUP(I939,Helper_Table!A:A,Helper_Table!B:B)</f>
        <v>0.9</v>
      </c>
      <c r="P939" s="1">
        <f t="shared" si="87"/>
        <v>34045.200000000004</v>
      </c>
      <c r="Q939" s="4">
        <f t="shared" si="88"/>
        <v>1.1111111111111109</v>
      </c>
      <c r="R939" t="str">
        <f t="shared" si="89"/>
        <v>Achieved</v>
      </c>
    </row>
    <row r="940" spans="1:18">
      <c r="A940" t="s">
        <v>64</v>
      </c>
      <c r="B940" t="s">
        <v>49</v>
      </c>
      <c r="C940" t="s">
        <v>25</v>
      </c>
      <c r="D940" t="s">
        <v>31</v>
      </c>
      <c r="E940" t="s">
        <v>22</v>
      </c>
      <c r="F940">
        <v>187</v>
      </c>
      <c r="G940" s="1">
        <v>42709</v>
      </c>
      <c r="H940" s="2">
        <v>45387</v>
      </c>
      <c r="I940" t="s">
        <v>41</v>
      </c>
      <c r="J940" t="s">
        <v>976</v>
      </c>
      <c r="K940" t="s">
        <v>29</v>
      </c>
      <c r="L940" t="str">
        <f t="shared" si="84"/>
        <v>Apr</v>
      </c>
      <c r="M940" t="str">
        <f t="shared" si="85"/>
        <v>Q2</v>
      </c>
      <c r="N940" t="str">
        <f t="shared" si="86"/>
        <v>High</v>
      </c>
      <c r="O940">
        <f>_xlfn.XLOOKUP(I940,Helper_Table!A:A,Helper_Table!B:B)</f>
        <v>1.2</v>
      </c>
      <c r="P940" s="1">
        <f t="shared" si="87"/>
        <v>51250.799999999996</v>
      </c>
      <c r="Q940" s="4">
        <f t="shared" si="88"/>
        <v>0.83333333333333337</v>
      </c>
      <c r="R940" t="str">
        <f t="shared" si="89"/>
        <v>Below Target</v>
      </c>
    </row>
    <row r="941" spans="1:18">
      <c r="A941" t="s">
        <v>11</v>
      </c>
      <c r="B941" t="s">
        <v>49</v>
      </c>
      <c r="C941" t="s">
        <v>59</v>
      </c>
      <c r="D941" t="s">
        <v>31</v>
      </c>
      <c r="E941" t="s">
        <v>38</v>
      </c>
      <c r="F941">
        <v>1360</v>
      </c>
      <c r="G941" s="1">
        <v>35945</v>
      </c>
      <c r="H941" s="2">
        <v>45177</v>
      </c>
      <c r="I941" t="s">
        <v>27</v>
      </c>
      <c r="J941" t="s">
        <v>977</v>
      </c>
      <c r="K941" t="s">
        <v>34</v>
      </c>
      <c r="L941" t="str">
        <f t="shared" si="84"/>
        <v>Sep</v>
      </c>
      <c r="M941" t="str">
        <f t="shared" si="85"/>
        <v>Q3</v>
      </c>
      <c r="N941" t="str">
        <f t="shared" si="86"/>
        <v>Medium</v>
      </c>
      <c r="O941">
        <f>_xlfn.XLOOKUP(I941,Helper_Table!A:A,Helper_Table!B:B)</f>
        <v>0.9</v>
      </c>
      <c r="P941" s="1">
        <f t="shared" si="87"/>
        <v>32350.5</v>
      </c>
      <c r="Q941" s="4">
        <f t="shared" si="88"/>
        <v>1.1111111111111112</v>
      </c>
      <c r="R941" t="str">
        <f t="shared" si="89"/>
        <v>Achieved</v>
      </c>
    </row>
    <row r="942" spans="1:18">
      <c r="A942" t="s">
        <v>11</v>
      </c>
      <c r="B942" t="s">
        <v>12</v>
      </c>
      <c r="C942" t="s">
        <v>30</v>
      </c>
      <c r="D942" t="s">
        <v>66</v>
      </c>
      <c r="E942">
        <v>60</v>
      </c>
      <c r="F942">
        <v>872</v>
      </c>
      <c r="G942" s="1">
        <v>22950</v>
      </c>
      <c r="H942" s="2">
        <v>45333</v>
      </c>
      <c r="I942" t="s">
        <v>39</v>
      </c>
      <c r="J942" t="s">
        <v>978</v>
      </c>
      <c r="K942" t="s">
        <v>47</v>
      </c>
      <c r="L942" t="str">
        <f t="shared" si="84"/>
        <v>Feb</v>
      </c>
      <c r="M942" t="str">
        <f t="shared" si="85"/>
        <v>Q1</v>
      </c>
      <c r="N942" t="str">
        <f t="shared" si="86"/>
        <v>Medium</v>
      </c>
      <c r="O942">
        <f>_xlfn.XLOOKUP(I942,Helper_Table!A:A,Helper_Table!B:B)</f>
        <v>1.1000000000000001</v>
      </c>
      <c r="P942" s="1">
        <f t="shared" si="87"/>
        <v>25245.000000000004</v>
      </c>
      <c r="Q942" s="4">
        <f t="shared" si="88"/>
        <v>0.90909090909090895</v>
      </c>
      <c r="R942" t="str">
        <f t="shared" si="89"/>
        <v>Below Target</v>
      </c>
    </row>
    <row r="943" spans="1:18">
      <c r="A943" t="s">
        <v>11</v>
      </c>
      <c r="B943" t="s">
        <v>19</v>
      </c>
      <c r="C943" t="s">
        <v>13</v>
      </c>
      <c r="D943" t="s">
        <v>26</v>
      </c>
      <c r="E943" t="s">
        <v>22</v>
      </c>
      <c r="F943">
        <v>537</v>
      </c>
      <c r="G943" s="1">
        <v>44378</v>
      </c>
      <c r="H943" s="2">
        <v>45190</v>
      </c>
      <c r="I943" t="s">
        <v>27</v>
      </c>
      <c r="J943" t="s">
        <v>979</v>
      </c>
      <c r="K943" t="s">
        <v>44</v>
      </c>
      <c r="L943" t="str">
        <f t="shared" si="84"/>
        <v>Sep</v>
      </c>
      <c r="M943" t="str">
        <f t="shared" si="85"/>
        <v>Q3</v>
      </c>
      <c r="N943" t="str">
        <f t="shared" si="86"/>
        <v>High</v>
      </c>
      <c r="O943">
        <f>_xlfn.XLOOKUP(I943,Helper_Table!A:A,Helper_Table!B:B)</f>
        <v>0.9</v>
      </c>
      <c r="P943" s="1">
        <f t="shared" si="87"/>
        <v>39940.200000000004</v>
      </c>
      <c r="Q943" s="4">
        <f t="shared" si="88"/>
        <v>1.1111111111111109</v>
      </c>
      <c r="R943" t="str">
        <f t="shared" si="89"/>
        <v>Achieved</v>
      </c>
    </row>
    <row r="944" spans="1:18">
      <c r="A944" t="s">
        <v>24</v>
      </c>
      <c r="B944" t="s">
        <v>49</v>
      </c>
      <c r="C944" t="s">
        <v>20</v>
      </c>
      <c r="D944" t="s">
        <v>14</v>
      </c>
      <c r="E944" t="s">
        <v>15</v>
      </c>
      <c r="F944">
        <v>696</v>
      </c>
      <c r="G944" s="1">
        <v>49562</v>
      </c>
      <c r="H944" s="2">
        <v>45342</v>
      </c>
      <c r="I944" t="s">
        <v>16</v>
      </c>
      <c r="J944" t="s">
        <v>980</v>
      </c>
      <c r="K944" t="s">
        <v>44</v>
      </c>
      <c r="L944" t="str">
        <f t="shared" si="84"/>
        <v>Feb</v>
      </c>
      <c r="M944" t="str">
        <f t="shared" si="85"/>
        <v>Q1</v>
      </c>
      <c r="N944" t="str">
        <f t="shared" si="86"/>
        <v>High</v>
      </c>
      <c r="O944">
        <f>_xlfn.XLOOKUP(I944,Helper_Table!A:A,Helper_Table!B:B)</f>
        <v>1.1000000000000001</v>
      </c>
      <c r="P944" s="1">
        <f t="shared" si="87"/>
        <v>54518.200000000004</v>
      </c>
      <c r="Q944" s="4">
        <f t="shared" si="88"/>
        <v>0.90909090909090906</v>
      </c>
      <c r="R944" t="str">
        <f t="shared" si="89"/>
        <v>Below Target</v>
      </c>
    </row>
    <row r="945" spans="1:18">
      <c r="A945" t="s">
        <v>45</v>
      </c>
      <c r="B945" t="s">
        <v>49</v>
      </c>
      <c r="C945" t="s">
        <v>20</v>
      </c>
      <c r="D945" t="s">
        <v>26</v>
      </c>
      <c r="E945">
        <v>60</v>
      </c>
      <c r="F945">
        <v>357</v>
      </c>
      <c r="G945" s="1">
        <v>35849</v>
      </c>
      <c r="H945" s="2">
        <v>45418</v>
      </c>
      <c r="I945" t="s">
        <v>41</v>
      </c>
      <c r="J945" t="s">
        <v>981</v>
      </c>
      <c r="K945" t="s">
        <v>44</v>
      </c>
      <c r="L945" t="str">
        <f t="shared" si="84"/>
        <v>May</v>
      </c>
      <c r="M945" t="str">
        <f t="shared" si="85"/>
        <v>Q2</v>
      </c>
      <c r="N945" t="str">
        <f t="shared" si="86"/>
        <v>Medium</v>
      </c>
      <c r="O945">
        <f>_xlfn.XLOOKUP(I945,Helper_Table!A:A,Helper_Table!B:B)</f>
        <v>1.2</v>
      </c>
      <c r="P945" s="1">
        <f t="shared" si="87"/>
        <v>43018.799999999996</v>
      </c>
      <c r="Q945" s="4">
        <f t="shared" si="88"/>
        <v>0.83333333333333337</v>
      </c>
      <c r="R945" t="str">
        <f t="shared" si="89"/>
        <v>Below Target</v>
      </c>
    </row>
    <row r="946" spans="1:18">
      <c r="A946" t="s">
        <v>11</v>
      </c>
      <c r="B946" t="s">
        <v>36</v>
      </c>
      <c r="C946" t="s">
        <v>59</v>
      </c>
      <c r="D946" t="s">
        <v>66</v>
      </c>
      <c r="E946" t="s">
        <v>22</v>
      </c>
      <c r="F946">
        <v>1179</v>
      </c>
      <c r="G946" s="1">
        <v>43406</v>
      </c>
      <c r="H946" s="2">
        <v>45285</v>
      </c>
      <c r="I946" t="s">
        <v>27</v>
      </c>
      <c r="J946" t="s">
        <v>982</v>
      </c>
      <c r="K946" t="s">
        <v>29</v>
      </c>
      <c r="L946" t="str">
        <f t="shared" si="84"/>
        <v>Dec</v>
      </c>
      <c r="M946" t="str">
        <f t="shared" si="85"/>
        <v>Q4</v>
      </c>
      <c r="N946" t="str">
        <f t="shared" si="86"/>
        <v>High</v>
      </c>
      <c r="O946">
        <f>_xlfn.XLOOKUP(I946,Helper_Table!A:A,Helper_Table!B:B)</f>
        <v>0.9</v>
      </c>
      <c r="P946" s="1">
        <f t="shared" si="87"/>
        <v>39065.4</v>
      </c>
      <c r="Q946" s="4">
        <f t="shared" si="88"/>
        <v>1.1111111111111112</v>
      </c>
      <c r="R946" t="str">
        <f t="shared" si="89"/>
        <v>Achieved</v>
      </c>
    </row>
    <row r="947" spans="1:18">
      <c r="A947" t="s">
        <v>11</v>
      </c>
      <c r="B947" t="s">
        <v>12</v>
      </c>
      <c r="C947" t="s">
        <v>25</v>
      </c>
      <c r="D947" t="s">
        <v>14</v>
      </c>
      <c r="E947" t="s">
        <v>38</v>
      </c>
      <c r="F947">
        <v>1352</v>
      </c>
      <c r="G947" s="1">
        <v>41492</v>
      </c>
      <c r="H947" s="2">
        <v>45373</v>
      </c>
      <c r="I947" t="s">
        <v>16</v>
      </c>
      <c r="J947" t="s">
        <v>983</v>
      </c>
      <c r="K947" t="s">
        <v>29</v>
      </c>
      <c r="L947" t="str">
        <f t="shared" si="84"/>
        <v>Mar</v>
      </c>
      <c r="M947" t="str">
        <f t="shared" si="85"/>
        <v>Q1</v>
      </c>
      <c r="N947" t="str">
        <f t="shared" si="86"/>
        <v>High</v>
      </c>
      <c r="O947">
        <f>_xlfn.XLOOKUP(I947,Helper_Table!A:A,Helper_Table!B:B)</f>
        <v>1.1000000000000001</v>
      </c>
      <c r="P947" s="1">
        <f t="shared" si="87"/>
        <v>45641.200000000004</v>
      </c>
      <c r="Q947" s="4">
        <f t="shared" si="88"/>
        <v>0.90909090909090895</v>
      </c>
      <c r="R947" t="str">
        <f t="shared" si="89"/>
        <v>Below Target</v>
      </c>
    </row>
    <row r="948" spans="1:18">
      <c r="A948" t="s">
        <v>11</v>
      </c>
      <c r="B948" t="s">
        <v>51</v>
      </c>
      <c r="C948" t="s">
        <v>13</v>
      </c>
      <c r="D948" t="s">
        <v>66</v>
      </c>
      <c r="E948" t="s">
        <v>22</v>
      </c>
      <c r="F948">
        <v>1691</v>
      </c>
      <c r="G948" s="1">
        <v>17378</v>
      </c>
      <c r="H948" s="2">
        <v>45439</v>
      </c>
      <c r="I948" t="s">
        <v>16</v>
      </c>
      <c r="J948" t="s">
        <v>984</v>
      </c>
      <c r="K948" t="s">
        <v>18</v>
      </c>
      <c r="L948" t="str">
        <f t="shared" si="84"/>
        <v>May</v>
      </c>
      <c r="M948" t="str">
        <f t="shared" si="85"/>
        <v>Q2</v>
      </c>
      <c r="N948" t="str">
        <f t="shared" si="86"/>
        <v>Low</v>
      </c>
      <c r="O948">
        <f>_xlfn.XLOOKUP(I948,Helper_Table!A:A,Helper_Table!B:B)</f>
        <v>1.1000000000000001</v>
      </c>
      <c r="P948" s="1">
        <f t="shared" si="87"/>
        <v>19115.800000000003</v>
      </c>
      <c r="Q948" s="4">
        <f t="shared" si="88"/>
        <v>0.90909090909090895</v>
      </c>
      <c r="R948" t="str">
        <f t="shared" si="89"/>
        <v>Below Target</v>
      </c>
    </row>
    <row r="949" spans="1:18">
      <c r="A949" t="s">
        <v>24</v>
      </c>
      <c r="B949" t="s">
        <v>12</v>
      </c>
      <c r="C949" t="s">
        <v>25</v>
      </c>
      <c r="D949" t="s">
        <v>26</v>
      </c>
      <c r="E949" t="s">
        <v>38</v>
      </c>
      <c r="F949">
        <v>680</v>
      </c>
      <c r="G949" s="1">
        <v>37383</v>
      </c>
      <c r="H949" s="2">
        <v>45191</v>
      </c>
      <c r="I949" t="s">
        <v>41</v>
      </c>
      <c r="J949" t="s">
        <v>985</v>
      </c>
      <c r="K949" t="s">
        <v>47</v>
      </c>
      <c r="L949" t="str">
        <f t="shared" si="84"/>
        <v>Sep</v>
      </c>
      <c r="M949" t="str">
        <f t="shared" si="85"/>
        <v>Q3</v>
      </c>
      <c r="N949" t="str">
        <f t="shared" si="86"/>
        <v>Medium</v>
      </c>
      <c r="O949">
        <f>_xlfn.XLOOKUP(I949,Helper_Table!A:A,Helper_Table!B:B)</f>
        <v>1.2</v>
      </c>
      <c r="P949" s="1">
        <f t="shared" si="87"/>
        <v>44859.6</v>
      </c>
      <c r="Q949" s="4">
        <f t="shared" si="88"/>
        <v>0.83333333333333337</v>
      </c>
      <c r="R949" t="str">
        <f t="shared" si="89"/>
        <v>Below Target</v>
      </c>
    </row>
    <row r="950" spans="1:18">
      <c r="A950" t="s">
        <v>24</v>
      </c>
      <c r="B950" t="s">
        <v>49</v>
      </c>
      <c r="C950" t="s">
        <v>59</v>
      </c>
      <c r="D950" t="s">
        <v>26</v>
      </c>
      <c r="E950" t="s">
        <v>15</v>
      </c>
      <c r="F950">
        <v>971</v>
      </c>
      <c r="G950" s="1">
        <v>22075</v>
      </c>
      <c r="H950" s="2">
        <v>45248</v>
      </c>
      <c r="I950" t="s">
        <v>39</v>
      </c>
      <c r="J950" t="s">
        <v>986</v>
      </c>
      <c r="K950" t="s">
        <v>34</v>
      </c>
      <c r="L950" t="str">
        <f t="shared" si="84"/>
        <v>Nov</v>
      </c>
      <c r="M950" t="str">
        <f t="shared" si="85"/>
        <v>Q4</v>
      </c>
      <c r="N950" t="str">
        <f t="shared" si="86"/>
        <v>Medium</v>
      </c>
      <c r="O950">
        <f>_xlfn.XLOOKUP(I950,Helper_Table!A:A,Helper_Table!B:B)</f>
        <v>1.1000000000000001</v>
      </c>
      <c r="P950" s="1">
        <f t="shared" si="87"/>
        <v>24282.500000000004</v>
      </c>
      <c r="Q950" s="4">
        <f t="shared" si="88"/>
        <v>0.90909090909090895</v>
      </c>
      <c r="R950" t="str">
        <f t="shared" si="89"/>
        <v>Below Target</v>
      </c>
    </row>
    <row r="951" spans="1:18">
      <c r="A951" t="s">
        <v>24</v>
      </c>
      <c r="B951" t="s">
        <v>49</v>
      </c>
      <c r="C951" t="s">
        <v>13</v>
      </c>
      <c r="D951" t="s">
        <v>26</v>
      </c>
      <c r="E951" t="s">
        <v>15</v>
      </c>
      <c r="F951">
        <v>1321</v>
      </c>
      <c r="G951" s="1">
        <v>26875</v>
      </c>
      <c r="H951" s="2">
        <v>45410</v>
      </c>
      <c r="I951" t="s">
        <v>16</v>
      </c>
      <c r="J951" t="s">
        <v>987</v>
      </c>
      <c r="K951" t="s">
        <v>18</v>
      </c>
      <c r="L951" t="str">
        <f t="shared" si="84"/>
        <v>Apr</v>
      </c>
      <c r="M951" t="str">
        <f t="shared" si="85"/>
        <v>Q2</v>
      </c>
      <c r="N951" t="str">
        <f t="shared" si="86"/>
        <v>Medium</v>
      </c>
      <c r="O951">
        <f>_xlfn.XLOOKUP(I951,Helper_Table!A:A,Helper_Table!B:B)</f>
        <v>1.1000000000000001</v>
      </c>
      <c r="P951" s="1">
        <f t="shared" si="87"/>
        <v>29562.500000000004</v>
      </c>
      <c r="Q951" s="4">
        <f t="shared" si="88"/>
        <v>0.90909090909090895</v>
      </c>
      <c r="R951" t="str">
        <f t="shared" si="89"/>
        <v>Below Target</v>
      </c>
    </row>
    <row r="952" spans="1:18">
      <c r="A952" t="s">
        <v>64</v>
      </c>
      <c r="B952" t="s">
        <v>51</v>
      </c>
      <c r="C952" t="s">
        <v>25</v>
      </c>
      <c r="D952" t="s">
        <v>21</v>
      </c>
      <c r="E952" t="s">
        <v>22</v>
      </c>
      <c r="F952">
        <v>1134</v>
      </c>
      <c r="G952" s="1">
        <v>12807</v>
      </c>
      <c r="H952" s="2">
        <v>45196</v>
      </c>
      <c r="I952" t="s">
        <v>41</v>
      </c>
      <c r="J952" t="s">
        <v>988</v>
      </c>
      <c r="K952" t="s">
        <v>34</v>
      </c>
      <c r="L952" t="str">
        <f t="shared" si="84"/>
        <v>Sep</v>
      </c>
      <c r="M952" t="str">
        <f t="shared" si="85"/>
        <v>Q3</v>
      </c>
      <c r="N952" t="str">
        <f t="shared" si="86"/>
        <v>Low</v>
      </c>
      <c r="O952">
        <f>_xlfn.XLOOKUP(I952,Helper_Table!A:A,Helper_Table!B:B)</f>
        <v>1.2</v>
      </c>
      <c r="P952" s="1">
        <f t="shared" si="87"/>
        <v>15368.4</v>
      </c>
      <c r="Q952" s="4">
        <f t="shared" si="88"/>
        <v>0.83333333333333337</v>
      </c>
      <c r="R952" t="str">
        <f t="shared" si="89"/>
        <v>Below Target</v>
      </c>
    </row>
    <row r="953" spans="1:18">
      <c r="A953" t="s">
        <v>11</v>
      </c>
      <c r="B953" t="s">
        <v>12</v>
      </c>
      <c r="C953" t="s">
        <v>30</v>
      </c>
      <c r="D953" t="s">
        <v>21</v>
      </c>
      <c r="E953" t="s">
        <v>22</v>
      </c>
      <c r="F953">
        <v>163</v>
      </c>
      <c r="G953" s="1">
        <v>36531</v>
      </c>
      <c r="H953" s="2">
        <v>45395</v>
      </c>
      <c r="I953" t="s">
        <v>41</v>
      </c>
      <c r="J953" t="s">
        <v>989</v>
      </c>
      <c r="K953" t="s">
        <v>44</v>
      </c>
      <c r="L953" t="str">
        <f t="shared" si="84"/>
        <v>Apr</v>
      </c>
      <c r="M953" t="str">
        <f t="shared" si="85"/>
        <v>Q2</v>
      </c>
      <c r="N953" t="str">
        <f t="shared" si="86"/>
        <v>Medium</v>
      </c>
      <c r="O953">
        <f>_xlfn.XLOOKUP(I953,Helper_Table!A:A,Helper_Table!B:B)</f>
        <v>1.2</v>
      </c>
      <c r="P953" s="1">
        <f t="shared" si="87"/>
        <v>43837.2</v>
      </c>
      <c r="Q953" s="4">
        <f t="shared" si="88"/>
        <v>0.83333333333333337</v>
      </c>
      <c r="R953" t="str">
        <f t="shared" si="89"/>
        <v>Below Target</v>
      </c>
    </row>
    <row r="954" spans="1:18">
      <c r="A954" t="s">
        <v>35</v>
      </c>
      <c r="B954" t="s">
        <v>36</v>
      </c>
      <c r="C954" t="s">
        <v>30</v>
      </c>
      <c r="D954" t="s">
        <v>66</v>
      </c>
      <c r="E954" t="s">
        <v>38</v>
      </c>
      <c r="F954">
        <v>641</v>
      </c>
      <c r="G954" s="1">
        <v>19362</v>
      </c>
      <c r="H954" s="2">
        <v>45162</v>
      </c>
      <c r="I954" t="s">
        <v>32</v>
      </c>
      <c r="J954" t="s">
        <v>990</v>
      </c>
      <c r="K954" t="s">
        <v>34</v>
      </c>
      <c r="L954" t="str">
        <f t="shared" si="84"/>
        <v>Aug</v>
      </c>
      <c r="M954" t="str">
        <f t="shared" si="85"/>
        <v>Q3</v>
      </c>
      <c r="N954" t="str">
        <f t="shared" si="86"/>
        <v>Low</v>
      </c>
      <c r="O954">
        <f>_xlfn.XLOOKUP(I954,Helper_Table!A:A,Helper_Table!B:B)</f>
        <v>0.95</v>
      </c>
      <c r="P954" s="1">
        <f t="shared" si="87"/>
        <v>18393.899999999998</v>
      </c>
      <c r="Q954" s="4">
        <f t="shared" si="88"/>
        <v>1.0526315789473686</v>
      </c>
      <c r="R954" t="str">
        <f t="shared" si="89"/>
        <v>Achieved</v>
      </c>
    </row>
    <row r="955" spans="1:18">
      <c r="A955" t="s">
        <v>35</v>
      </c>
      <c r="B955" t="s">
        <v>19</v>
      </c>
      <c r="C955" t="s">
        <v>30</v>
      </c>
      <c r="D955" t="s">
        <v>14</v>
      </c>
      <c r="E955" t="s">
        <v>22</v>
      </c>
      <c r="F955">
        <v>1114</v>
      </c>
      <c r="G955" s="1">
        <v>46343</v>
      </c>
      <c r="H955" s="2">
        <v>45351</v>
      </c>
      <c r="I955" t="s">
        <v>41</v>
      </c>
      <c r="J955" t="s">
        <v>991</v>
      </c>
      <c r="K955" t="s">
        <v>29</v>
      </c>
      <c r="L955" t="str">
        <f t="shared" si="84"/>
        <v>Feb</v>
      </c>
      <c r="M955" t="str">
        <f t="shared" si="85"/>
        <v>Q1</v>
      </c>
      <c r="N955" t="str">
        <f t="shared" si="86"/>
        <v>High</v>
      </c>
      <c r="O955">
        <f>_xlfn.XLOOKUP(I955,Helper_Table!A:A,Helper_Table!B:B)</f>
        <v>1.2</v>
      </c>
      <c r="P955" s="1">
        <f t="shared" si="87"/>
        <v>55611.6</v>
      </c>
      <c r="Q955" s="4">
        <f t="shared" si="88"/>
        <v>0.83333333333333337</v>
      </c>
      <c r="R955" t="str">
        <f t="shared" si="89"/>
        <v>Below Target</v>
      </c>
    </row>
    <row r="956" spans="1:18">
      <c r="A956" t="s">
        <v>45</v>
      </c>
      <c r="B956" t="s">
        <v>19</v>
      </c>
      <c r="C956" t="s">
        <v>13</v>
      </c>
      <c r="D956" t="s">
        <v>21</v>
      </c>
      <c r="E956" t="s">
        <v>22</v>
      </c>
      <c r="F956">
        <v>1128</v>
      </c>
      <c r="G956" s="1">
        <v>25909</v>
      </c>
      <c r="H956" s="2">
        <v>45161</v>
      </c>
      <c r="I956" t="s">
        <v>41</v>
      </c>
      <c r="J956" t="s">
        <v>992</v>
      </c>
      <c r="K956" t="s">
        <v>18</v>
      </c>
      <c r="L956" t="str">
        <f t="shared" si="84"/>
        <v>Aug</v>
      </c>
      <c r="M956" t="str">
        <f t="shared" si="85"/>
        <v>Q3</v>
      </c>
      <c r="N956" t="str">
        <f t="shared" si="86"/>
        <v>Medium</v>
      </c>
      <c r="O956">
        <f>_xlfn.XLOOKUP(I956,Helper_Table!A:A,Helper_Table!B:B)</f>
        <v>1.2</v>
      </c>
      <c r="P956" s="1">
        <f t="shared" si="87"/>
        <v>31090.799999999999</v>
      </c>
      <c r="Q956" s="4">
        <f t="shared" si="88"/>
        <v>0.83333333333333337</v>
      </c>
      <c r="R956" t="str">
        <f t="shared" si="89"/>
        <v>Below Target</v>
      </c>
    </row>
    <row r="957" spans="1:18">
      <c r="A957" t="s">
        <v>11</v>
      </c>
      <c r="B957" t="s">
        <v>19</v>
      </c>
      <c r="C957" t="s">
        <v>59</v>
      </c>
      <c r="D957" t="s">
        <v>14</v>
      </c>
      <c r="E957" t="s">
        <v>22</v>
      </c>
      <c r="F957">
        <v>455</v>
      </c>
      <c r="G957" s="1">
        <v>19258</v>
      </c>
      <c r="H957" s="2">
        <v>45284</v>
      </c>
      <c r="I957" t="s">
        <v>41</v>
      </c>
      <c r="J957" t="s">
        <v>993</v>
      </c>
      <c r="K957" t="s">
        <v>18</v>
      </c>
      <c r="L957" t="str">
        <f t="shared" si="84"/>
        <v>Dec</v>
      </c>
      <c r="M957" t="str">
        <f t="shared" si="85"/>
        <v>Q4</v>
      </c>
      <c r="N957" t="str">
        <f t="shared" si="86"/>
        <v>Low</v>
      </c>
      <c r="O957">
        <f>_xlfn.XLOOKUP(I957,Helper_Table!A:A,Helper_Table!B:B)</f>
        <v>1.2</v>
      </c>
      <c r="P957" s="1">
        <f t="shared" si="87"/>
        <v>23109.599999999999</v>
      </c>
      <c r="Q957" s="4">
        <f t="shared" si="88"/>
        <v>0.83333333333333337</v>
      </c>
      <c r="R957" t="str">
        <f t="shared" si="89"/>
        <v>Below Target</v>
      </c>
    </row>
    <row r="958" spans="1:18">
      <c r="A958" t="s">
        <v>35</v>
      </c>
      <c r="B958" t="s">
        <v>51</v>
      </c>
      <c r="C958" t="s">
        <v>25</v>
      </c>
      <c r="D958" t="s">
        <v>26</v>
      </c>
      <c r="E958" t="s">
        <v>38</v>
      </c>
      <c r="F958">
        <v>1660</v>
      </c>
      <c r="G958" s="1">
        <v>1292</v>
      </c>
      <c r="H958" s="2">
        <v>45285</v>
      </c>
      <c r="I958" t="s">
        <v>41</v>
      </c>
      <c r="J958" t="s">
        <v>994</v>
      </c>
      <c r="K958" t="s">
        <v>18</v>
      </c>
      <c r="L958" t="str">
        <f t="shared" si="84"/>
        <v>Dec</v>
      </c>
      <c r="M958" t="str">
        <f t="shared" si="85"/>
        <v>Q4</v>
      </c>
      <c r="N958" t="str">
        <f t="shared" si="86"/>
        <v>Low</v>
      </c>
      <c r="O958">
        <f>_xlfn.XLOOKUP(I958,Helper_Table!A:A,Helper_Table!B:B)</f>
        <v>1.2</v>
      </c>
      <c r="P958" s="1">
        <f t="shared" si="87"/>
        <v>1550.3999999999999</v>
      </c>
      <c r="Q958" s="4">
        <f t="shared" si="88"/>
        <v>0.83333333333333337</v>
      </c>
      <c r="R958" t="str">
        <f t="shared" si="89"/>
        <v>Below Target</v>
      </c>
    </row>
    <row r="959" spans="1:18">
      <c r="A959" t="s">
        <v>35</v>
      </c>
      <c r="B959" t="s">
        <v>19</v>
      </c>
      <c r="C959" t="s">
        <v>13</v>
      </c>
      <c r="D959" t="s">
        <v>14</v>
      </c>
      <c r="E959" t="s">
        <v>15</v>
      </c>
      <c r="F959">
        <v>582</v>
      </c>
      <c r="G959" s="1">
        <v>6514</v>
      </c>
      <c r="H959" s="2">
        <v>45449</v>
      </c>
      <c r="I959" t="s">
        <v>16</v>
      </c>
      <c r="J959" t="s">
        <v>995</v>
      </c>
      <c r="K959" t="s">
        <v>47</v>
      </c>
      <c r="L959" t="str">
        <f t="shared" si="84"/>
        <v>Jun</v>
      </c>
      <c r="M959" t="str">
        <f t="shared" si="85"/>
        <v>Q2</v>
      </c>
      <c r="N959" t="str">
        <f t="shared" si="86"/>
        <v>Low</v>
      </c>
      <c r="O959">
        <f>_xlfn.XLOOKUP(I959,Helper_Table!A:A,Helper_Table!B:B)</f>
        <v>1.1000000000000001</v>
      </c>
      <c r="P959" s="1">
        <f t="shared" si="87"/>
        <v>7165.4000000000005</v>
      </c>
      <c r="Q959" s="4">
        <f t="shared" si="88"/>
        <v>0.90909090909090906</v>
      </c>
      <c r="R959" t="str">
        <f t="shared" si="89"/>
        <v>Below Target</v>
      </c>
    </row>
    <row r="960" spans="1:18">
      <c r="A960" t="s">
        <v>45</v>
      </c>
      <c r="B960" t="s">
        <v>12</v>
      </c>
      <c r="C960" t="s">
        <v>30</v>
      </c>
      <c r="D960" t="s">
        <v>14</v>
      </c>
      <c r="E960">
        <v>60</v>
      </c>
      <c r="F960">
        <v>716</v>
      </c>
      <c r="G960" s="1">
        <v>7865</v>
      </c>
      <c r="H960" s="2">
        <v>45212</v>
      </c>
      <c r="I960" t="s">
        <v>41</v>
      </c>
      <c r="J960" t="s">
        <v>996</v>
      </c>
      <c r="K960" t="s">
        <v>29</v>
      </c>
      <c r="L960" t="str">
        <f t="shared" si="84"/>
        <v>Oct</v>
      </c>
      <c r="M960" t="str">
        <f t="shared" si="85"/>
        <v>Q4</v>
      </c>
      <c r="N960" t="str">
        <f t="shared" si="86"/>
        <v>Low</v>
      </c>
      <c r="O960">
        <f>_xlfn.XLOOKUP(I960,Helper_Table!A:A,Helper_Table!B:B)</f>
        <v>1.2</v>
      </c>
      <c r="P960" s="1">
        <f t="shared" si="87"/>
        <v>9438</v>
      </c>
      <c r="Q960" s="4">
        <f t="shared" si="88"/>
        <v>0.83333333333333337</v>
      </c>
      <c r="R960" t="str">
        <f t="shared" si="89"/>
        <v>Below Target</v>
      </c>
    </row>
    <row r="961" spans="1:18">
      <c r="A961" t="s">
        <v>24</v>
      </c>
      <c r="B961" t="s">
        <v>19</v>
      </c>
      <c r="C961" t="s">
        <v>59</v>
      </c>
      <c r="D961" t="s">
        <v>21</v>
      </c>
      <c r="E961" t="s">
        <v>15</v>
      </c>
      <c r="F961">
        <v>200</v>
      </c>
      <c r="G961" s="1">
        <v>15045</v>
      </c>
      <c r="H961" s="2">
        <v>45463</v>
      </c>
      <c r="I961" t="s">
        <v>39</v>
      </c>
      <c r="J961" t="s">
        <v>997</v>
      </c>
      <c r="K961" t="s">
        <v>47</v>
      </c>
      <c r="L961" t="str">
        <f t="shared" si="84"/>
        <v>Jun</v>
      </c>
      <c r="M961" t="str">
        <f t="shared" si="85"/>
        <v>Q2</v>
      </c>
      <c r="N961" t="str">
        <f t="shared" si="86"/>
        <v>Low</v>
      </c>
      <c r="O961">
        <f>_xlfn.XLOOKUP(I961,Helper_Table!A:A,Helper_Table!B:B)</f>
        <v>1.1000000000000001</v>
      </c>
      <c r="P961" s="1">
        <f t="shared" si="87"/>
        <v>16549.5</v>
      </c>
      <c r="Q961" s="4">
        <f t="shared" si="88"/>
        <v>0.90909090909090906</v>
      </c>
      <c r="R961" t="str">
        <f t="shared" si="89"/>
        <v>Below Target</v>
      </c>
    </row>
    <row r="962" spans="1:18">
      <c r="A962" t="s">
        <v>24</v>
      </c>
      <c r="B962" t="s">
        <v>49</v>
      </c>
      <c r="C962" t="s">
        <v>25</v>
      </c>
      <c r="D962" t="s">
        <v>21</v>
      </c>
      <c r="E962">
        <v>30</v>
      </c>
      <c r="F962">
        <v>151</v>
      </c>
      <c r="G962" s="1">
        <v>13928</v>
      </c>
      <c r="H962" s="2">
        <v>45306</v>
      </c>
      <c r="I962" t="s">
        <v>39</v>
      </c>
      <c r="J962" t="s">
        <v>998</v>
      </c>
      <c r="K962" t="s">
        <v>34</v>
      </c>
      <c r="L962" t="str">
        <f t="shared" ref="L962:L1001" si="90">TEXT(H962,"MMM")</f>
        <v>Jan</v>
      </c>
      <c r="M962" t="str">
        <f t="shared" ref="M962:M1001" si="91">"Q"&amp;ROUNDUP(MONTH(H962)/3,0)</f>
        <v>Q1</v>
      </c>
      <c r="N962" t="str">
        <f t="shared" ref="N962:N1001" si="92">IF(G962&gt;40000,"High",
IF(G962&gt;20000,"Medium","Low"))</f>
        <v>Low</v>
      </c>
      <c r="O962">
        <f>_xlfn.XLOOKUP(I962,Helper_Table!A:A,Helper_Table!B:B)</f>
        <v>1.1000000000000001</v>
      </c>
      <c r="P962" s="1">
        <f t="shared" ref="P962:P1001" si="93">G962*O962</f>
        <v>15320.800000000001</v>
      </c>
      <c r="Q962" s="4">
        <f t="shared" ref="Q962:Q1001" si="94">G962/P962</f>
        <v>0.90909090909090906</v>
      </c>
      <c r="R962" t="str">
        <f t="shared" ref="R962:R1001" si="95">IF(Q962&gt;=1,"Achieved","Below Target")</f>
        <v>Below Target</v>
      </c>
    </row>
    <row r="963" spans="1:18">
      <c r="A963" t="s">
        <v>64</v>
      </c>
      <c r="B963" t="s">
        <v>51</v>
      </c>
      <c r="C963" t="s">
        <v>30</v>
      </c>
      <c r="D963" t="s">
        <v>21</v>
      </c>
      <c r="E963">
        <v>60</v>
      </c>
      <c r="F963">
        <v>1084</v>
      </c>
      <c r="G963" s="1">
        <v>10084</v>
      </c>
      <c r="H963" s="2">
        <v>45225</v>
      </c>
      <c r="I963" t="s">
        <v>41</v>
      </c>
      <c r="J963" t="s">
        <v>999</v>
      </c>
      <c r="K963" t="s">
        <v>44</v>
      </c>
      <c r="L963" t="str">
        <f t="shared" si="90"/>
        <v>Oct</v>
      </c>
      <c r="M963" t="str">
        <f t="shared" si="91"/>
        <v>Q4</v>
      </c>
      <c r="N963" t="str">
        <f t="shared" si="92"/>
        <v>Low</v>
      </c>
      <c r="O963">
        <f>_xlfn.XLOOKUP(I963,Helper_Table!A:A,Helper_Table!B:B)</f>
        <v>1.2</v>
      </c>
      <c r="P963" s="1">
        <f t="shared" si="93"/>
        <v>12100.8</v>
      </c>
      <c r="Q963" s="4">
        <f t="shared" si="94"/>
        <v>0.83333333333333337</v>
      </c>
      <c r="R963" t="str">
        <f t="shared" si="95"/>
        <v>Below Target</v>
      </c>
    </row>
    <row r="964" spans="1:18">
      <c r="A964" t="s">
        <v>35</v>
      </c>
      <c r="B964" t="s">
        <v>36</v>
      </c>
      <c r="C964" t="s">
        <v>30</v>
      </c>
      <c r="D964" t="s">
        <v>66</v>
      </c>
      <c r="E964">
        <v>60</v>
      </c>
      <c r="F964">
        <v>369</v>
      </c>
      <c r="G964" s="1">
        <v>27023</v>
      </c>
      <c r="H964" s="2">
        <v>45478</v>
      </c>
      <c r="I964" t="s">
        <v>16</v>
      </c>
      <c r="J964" t="s">
        <v>1000</v>
      </c>
      <c r="K964" t="s">
        <v>18</v>
      </c>
      <c r="L964" t="str">
        <f t="shared" si="90"/>
        <v>Jul</v>
      </c>
      <c r="M964" t="str">
        <f t="shared" si="91"/>
        <v>Q3</v>
      </c>
      <c r="N964" t="str">
        <f t="shared" si="92"/>
        <v>Medium</v>
      </c>
      <c r="O964">
        <f>_xlfn.XLOOKUP(I964,Helper_Table!A:A,Helper_Table!B:B)</f>
        <v>1.1000000000000001</v>
      </c>
      <c r="P964" s="1">
        <f t="shared" si="93"/>
        <v>29725.300000000003</v>
      </c>
      <c r="Q964" s="4">
        <f t="shared" si="94"/>
        <v>0.90909090909090895</v>
      </c>
      <c r="R964" t="str">
        <f t="shared" si="95"/>
        <v>Below Target</v>
      </c>
    </row>
    <row r="965" spans="1:18">
      <c r="A965" t="s">
        <v>35</v>
      </c>
      <c r="B965" t="s">
        <v>49</v>
      </c>
      <c r="C965" t="s">
        <v>13</v>
      </c>
      <c r="D965" t="s">
        <v>21</v>
      </c>
      <c r="E965">
        <v>30</v>
      </c>
      <c r="F965">
        <v>1689</v>
      </c>
      <c r="G965" s="1">
        <v>42571</v>
      </c>
      <c r="H965" s="2">
        <v>45171</v>
      </c>
      <c r="I965" t="s">
        <v>41</v>
      </c>
      <c r="J965" t="s">
        <v>1001</v>
      </c>
      <c r="K965" t="s">
        <v>44</v>
      </c>
      <c r="L965" t="str">
        <f t="shared" si="90"/>
        <v>Sep</v>
      </c>
      <c r="M965" t="str">
        <f t="shared" si="91"/>
        <v>Q3</v>
      </c>
      <c r="N965" t="str">
        <f t="shared" si="92"/>
        <v>High</v>
      </c>
      <c r="O965">
        <f>_xlfn.XLOOKUP(I965,Helper_Table!A:A,Helper_Table!B:B)</f>
        <v>1.2</v>
      </c>
      <c r="P965" s="1">
        <f t="shared" si="93"/>
        <v>51085.2</v>
      </c>
      <c r="Q965" s="4">
        <f t="shared" si="94"/>
        <v>0.83333333333333337</v>
      </c>
      <c r="R965" t="str">
        <f t="shared" si="95"/>
        <v>Below Target</v>
      </c>
    </row>
    <row r="966" spans="1:18">
      <c r="A966" t="s">
        <v>64</v>
      </c>
      <c r="B966" t="s">
        <v>51</v>
      </c>
      <c r="C966" t="s">
        <v>25</v>
      </c>
      <c r="D966" t="s">
        <v>66</v>
      </c>
      <c r="E966">
        <v>30</v>
      </c>
      <c r="F966">
        <v>1435</v>
      </c>
      <c r="G966" s="1">
        <v>33459</v>
      </c>
      <c r="H966" s="2">
        <v>45243</v>
      </c>
      <c r="I966" t="s">
        <v>41</v>
      </c>
      <c r="J966" t="s">
        <v>1002</v>
      </c>
      <c r="K966" t="s">
        <v>29</v>
      </c>
      <c r="L966" t="str">
        <f t="shared" si="90"/>
        <v>Nov</v>
      </c>
      <c r="M966" t="str">
        <f t="shared" si="91"/>
        <v>Q4</v>
      </c>
      <c r="N966" t="str">
        <f t="shared" si="92"/>
        <v>Medium</v>
      </c>
      <c r="O966">
        <f>_xlfn.XLOOKUP(I966,Helper_Table!A:A,Helper_Table!B:B)</f>
        <v>1.2</v>
      </c>
      <c r="P966" s="1">
        <f t="shared" si="93"/>
        <v>40150.799999999996</v>
      </c>
      <c r="Q966" s="4">
        <f t="shared" si="94"/>
        <v>0.83333333333333337</v>
      </c>
      <c r="R966" t="str">
        <f t="shared" si="95"/>
        <v>Below Target</v>
      </c>
    </row>
    <row r="967" spans="1:18">
      <c r="A967" t="s">
        <v>24</v>
      </c>
      <c r="B967" t="s">
        <v>51</v>
      </c>
      <c r="C967" t="s">
        <v>30</v>
      </c>
      <c r="D967" t="s">
        <v>26</v>
      </c>
      <c r="E967" t="s">
        <v>15</v>
      </c>
      <c r="F967">
        <v>433</v>
      </c>
      <c r="G967" s="1">
        <v>5852</v>
      </c>
      <c r="H967" s="2">
        <v>45249</v>
      </c>
      <c r="I967" t="s">
        <v>32</v>
      </c>
      <c r="J967" t="s">
        <v>1003</v>
      </c>
      <c r="K967" t="s">
        <v>47</v>
      </c>
      <c r="L967" t="str">
        <f t="shared" si="90"/>
        <v>Nov</v>
      </c>
      <c r="M967" t="str">
        <f t="shared" si="91"/>
        <v>Q4</v>
      </c>
      <c r="N967" t="str">
        <f t="shared" si="92"/>
        <v>Low</v>
      </c>
      <c r="O967">
        <f>_xlfn.XLOOKUP(I967,Helper_Table!A:A,Helper_Table!B:B)</f>
        <v>0.95</v>
      </c>
      <c r="P967" s="1">
        <f t="shared" si="93"/>
        <v>5559.4</v>
      </c>
      <c r="Q967" s="4">
        <f t="shared" si="94"/>
        <v>1.0526315789473686</v>
      </c>
      <c r="R967" t="str">
        <f t="shared" si="95"/>
        <v>Achieved</v>
      </c>
    </row>
    <row r="968" spans="1:18">
      <c r="A968" t="s">
        <v>45</v>
      </c>
      <c r="B968" t="s">
        <v>51</v>
      </c>
      <c r="C968" t="s">
        <v>20</v>
      </c>
      <c r="D968" t="s">
        <v>21</v>
      </c>
      <c r="E968" t="s">
        <v>15</v>
      </c>
      <c r="F968">
        <v>425</v>
      </c>
      <c r="G968" s="1">
        <v>30089</v>
      </c>
      <c r="H968" s="2">
        <v>45347</v>
      </c>
      <c r="I968" t="s">
        <v>16</v>
      </c>
      <c r="J968" t="s">
        <v>1004</v>
      </c>
      <c r="K968" t="s">
        <v>34</v>
      </c>
      <c r="L968" t="str">
        <f t="shared" si="90"/>
        <v>Feb</v>
      </c>
      <c r="M968" t="str">
        <f t="shared" si="91"/>
        <v>Q1</v>
      </c>
      <c r="N968" t="str">
        <f t="shared" si="92"/>
        <v>Medium</v>
      </c>
      <c r="O968">
        <f>_xlfn.XLOOKUP(I968,Helper_Table!A:A,Helper_Table!B:B)</f>
        <v>1.1000000000000001</v>
      </c>
      <c r="P968" s="1">
        <f t="shared" si="93"/>
        <v>33097.9</v>
      </c>
      <c r="Q968" s="4">
        <f t="shared" si="94"/>
        <v>0.90909090909090906</v>
      </c>
      <c r="R968" t="str">
        <f t="shared" si="95"/>
        <v>Below Target</v>
      </c>
    </row>
    <row r="969" spans="1:18">
      <c r="A969" t="s">
        <v>35</v>
      </c>
      <c r="B969" t="s">
        <v>36</v>
      </c>
      <c r="C969" t="s">
        <v>13</v>
      </c>
      <c r="D969" t="s">
        <v>26</v>
      </c>
      <c r="E969">
        <v>60</v>
      </c>
      <c r="F969">
        <v>1331</v>
      </c>
      <c r="G969" s="1">
        <v>23249</v>
      </c>
      <c r="H969" s="2">
        <v>45491</v>
      </c>
      <c r="I969" t="s">
        <v>39</v>
      </c>
      <c r="J969" t="s">
        <v>1005</v>
      </c>
      <c r="K969" t="s">
        <v>18</v>
      </c>
      <c r="L969" t="str">
        <f t="shared" si="90"/>
        <v>Jul</v>
      </c>
      <c r="M969" t="str">
        <f t="shared" si="91"/>
        <v>Q3</v>
      </c>
      <c r="N969" t="str">
        <f t="shared" si="92"/>
        <v>Medium</v>
      </c>
      <c r="O969">
        <f>_xlfn.XLOOKUP(I969,Helper_Table!A:A,Helper_Table!B:B)</f>
        <v>1.1000000000000001</v>
      </c>
      <c r="P969" s="1">
        <f t="shared" si="93"/>
        <v>25573.9</v>
      </c>
      <c r="Q969" s="4">
        <f t="shared" si="94"/>
        <v>0.90909090909090906</v>
      </c>
      <c r="R969" t="str">
        <f t="shared" si="95"/>
        <v>Below Target</v>
      </c>
    </row>
    <row r="970" spans="1:18">
      <c r="A970" t="s">
        <v>64</v>
      </c>
      <c r="B970" t="s">
        <v>49</v>
      </c>
      <c r="C970" t="s">
        <v>13</v>
      </c>
      <c r="D970" t="s">
        <v>21</v>
      </c>
      <c r="E970" t="s">
        <v>15</v>
      </c>
      <c r="F970">
        <v>700</v>
      </c>
      <c r="G970" s="1">
        <v>14747</v>
      </c>
      <c r="H970" s="2">
        <v>45190</v>
      </c>
      <c r="I970" t="s">
        <v>32</v>
      </c>
      <c r="J970" t="s">
        <v>1006</v>
      </c>
      <c r="K970" t="s">
        <v>44</v>
      </c>
      <c r="L970" t="str">
        <f t="shared" si="90"/>
        <v>Sep</v>
      </c>
      <c r="M970" t="str">
        <f t="shared" si="91"/>
        <v>Q3</v>
      </c>
      <c r="N970" t="str">
        <f t="shared" si="92"/>
        <v>Low</v>
      </c>
      <c r="O970">
        <f>_xlfn.XLOOKUP(I970,Helper_Table!A:A,Helper_Table!B:B)</f>
        <v>0.95</v>
      </c>
      <c r="P970" s="1">
        <f t="shared" si="93"/>
        <v>14009.65</v>
      </c>
      <c r="Q970" s="4">
        <f t="shared" si="94"/>
        <v>1.0526315789473684</v>
      </c>
      <c r="R970" t="str">
        <f t="shared" si="95"/>
        <v>Achieved</v>
      </c>
    </row>
    <row r="971" spans="1:18">
      <c r="A971" t="s">
        <v>45</v>
      </c>
      <c r="B971" t="s">
        <v>51</v>
      </c>
      <c r="C971" t="s">
        <v>25</v>
      </c>
      <c r="D971" t="s">
        <v>66</v>
      </c>
      <c r="E971">
        <v>60</v>
      </c>
      <c r="F971">
        <v>1290</v>
      </c>
      <c r="G971" s="1">
        <v>26612</v>
      </c>
      <c r="H971" s="2">
        <v>45142</v>
      </c>
      <c r="I971" t="s">
        <v>27</v>
      </c>
      <c r="J971" t="s">
        <v>1007</v>
      </c>
      <c r="K971" t="s">
        <v>29</v>
      </c>
      <c r="L971" t="str">
        <f t="shared" si="90"/>
        <v>Aug</v>
      </c>
      <c r="M971" t="str">
        <f t="shared" si="91"/>
        <v>Q3</v>
      </c>
      <c r="N971" t="str">
        <f t="shared" si="92"/>
        <v>Medium</v>
      </c>
      <c r="O971">
        <f>_xlfn.XLOOKUP(I971,Helper_Table!A:A,Helper_Table!B:B)</f>
        <v>0.9</v>
      </c>
      <c r="P971" s="1">
        <f t="shared" si="93"/>
        <v>23950.799999999999</v>
      </c>
      <c r="Q971" s="4">
        <f t="shared" si="94"/>
        <v>1.1111111111111112</v>
      </c>
      <c r="R971" t="str">
        <f t="shared" si="95"/>
        <v>Achieved</v>
      </c>
    </row>
    <row r="972" spans="1:18">
      <c r="A972" t="s">
        <v>35</v>
      </c>
      <c r="B972" t="s">
        <v>19</v>
      </c>
      <c r="C972" t="s">
        <v>13</v>
      </c>
      <c r="D972" t="s">
        <v>31</v>
      </c>
      <c r="E972">
        <v>30</v>
      </c>
      <c r="F972">
        <v>1697</v>
      </c>
      <c r="G972" s="1">
        <v>22505</v>
      </c>
      <c r="H972" s="2">
        <v>45275</v>
      </c>
      <c r="I972" t="s">
        <v>32</v>
      </c>
      <c r="J972" t="s">
        <v>1008</v>
      </c>
      <c r="K972" t="s">
        <v>18</v>
      </c>
      <c r="L972" t="str">
        <f t="shared" si="90"/>
        <v>Dec</v>
      </c>
      <c r="M972" t="str">
        <f t="shared" si="91"/>
        <v>Q4</v>
      </c>
      <c r="N972" t="str">
        <f t="shared" si="92"/>
        <v>Medium</v>
      </c>
      <c r="O972">
        <f>_xlfn.XLOOKUP(I972,Helper_Table!A:A,Helper_Table!B:B)</f>
        <v>0.95</v>
      </c>
      <c r="P972" s="1">
        <f t="shared" si="93"/>
        <v>21379.75</v>
      </c>
      <c r="Q972" s="4">
        <f t="shared" si="94"/>
        <v>1.0526315789473684</v>
      </c>
      <c r="R972" t="str">
        <f t="shared" si="95"/>
        <v>Achieved</v>
      </c>
    </row>
    <row r="973" spans="1:18">
      <c r="A973" t="s">
        <v>11</v>
      </c>
      <c r="B973" t="s">
        <v>49</v>
      </c>
      <c r="C973" t="s">
        <v>25</v>
      </c>
      <c r="D973" t="s">
        <v>26</v>
      </c>
      <c r="E973">
        <v>60</v>
      </c>
      <c r="F973">
        <v>1435</v>
      </c>
      <c r="G973" s="1">
        <v>12698</v>
      </c>
      <c r="H973" s="2">
        <v>45319</v>
      </c>
      <c r="I973" t="s">
        <v>32</v>
      </c>
      <c r="J973" t="s">
        <v>1009</v>
      </c>
      <c r="K973" t="s">
        <v>47</v>
      </c>
      <c r="L973" t="str">
        <f t="shared" si="90"/>
        <v>Jan</v>
      </c>
      <c r="M973" t="str">
        <f t="shared" si="91"/>
        <v>Q1</v>
      </c>
      <c r="N973" t="str">
        <f t="shared" si="92"/>
        <v>Low</v>
      </c>
      <c r="O973">
        <f>_xlfn.XLOOKUP(I973,Helper_Table!A:A,Helper_Table!B:B)</f>
        <v>0.95</v>
      </c>
      <c r="P973" s="1">
        <f t="shared" si="93"/>
        <v>12063.099999999999</v>
      </c>
      <c r="Q973" s="4">
        <f t="shared" si="94"/>
        <v>1.0526315789473686</v>
      </c>
      <c r="R973" t="str">
        <f t="shared" si="95"/>
        <v>Achieved</v>
      </c>
    </row>
    <row r="974" spans="1:18">
      <c r="A974" t="s">
        <v>35</v>
      </c>
      <c r="B974" t="s">
        <v>49</v>
      </c>
      <c r="C974" t="s">
        <v>13</v>
      </c>
      <c r="D974" t="s">
        <v>66</v>
      </c>
      <c r="E974" t="s">
        <v>15</v>
      </c>
      <c r="F974">
        <v>676</v>
      </c>
      <c r="G974" s="1">
        <v>37974</v>
      </c>
      <c r="H974" s="2">
        <v>45364</v>
      </c>
      <c r="I974" t="s">
        <v>32</v>
      </c>
      <c r="J974" t="s">
        <v>1010</v>
      </c>
      <c r="K974" t="s">
        <v>47</v>
      </c>
      <c r="L974" t="str">
        <f t="shared" si="90"/>
        <v>Mar</v>
      </c>
      <c r="M974" t="str">
        <f t="shared" si="91"/>
        <v>Q1</v>
      </c>
      <c r="N974" t="str">
        <f t="shared" si="92"/>
        <v>Medium</v>
      </c>
      <c r="O974">
        <f>_xlfn.XLOOKUP(I974,Helper_Table!A:A,Helper_Table!B:B)</f>
        <v>0.95</v>
      </c>
      <c r="P974" s="1">
        <f t="shared" si="93"/>
        <v>36075.299999999996</v>
      </c>
      <c r="Q974" s="4">
        <f t="shared" si="94"/>
        <v>1.0526315789473686</v>
      </c>
      <c r="R974" t="str">
        <f t="shared" si="95"/>
        <v>Achieved</v>
      </c>
    </row>
    <row r="975" spans="1:18">
      <c r="A975" t="s">
        <v>24</v>
      </c>
      <c r="B975" t="s">
        <v>36</v>
      </c>
      <c r="C975" t="s">
        <v>13</v>
      </c>
      <c r="D975" t="s">
        <v>21</v>
      </c>
      <c r="E975" t="s">
        <v>38</v>
      </c>
      <c r="F975">
        <v>1529</v>
      </c>
      <c r="G975" s="1">
        <v>37893</v>
      </c>
      <c r="H975" s="2">
        <v>45438</v>
      </c>
      <c r="I975" t="s">
        <v>39</v>
      </c>
      <c r="J975" t="s">
        <v>1011</v>
      </c>
      <c r="K975" t="s">
        <v>18</v>
      </c>
      <c r="L975" t="str">
        <f t="shared" si="90"/>
        <v>May</v>
      </c>
      <c r="M975" t="str">
        <f t="shared" si="91"/>
        <v>Q2</v>
      </c>
      <c r="N975" t="str">
        <f t="shared" si="92"/>
        <v>Medium</v>
      </c>
      <c r="O975">
        <f>_xlfn.XLOOKUP(I975,Helper_Table!A:A,Helper_Table!B:B)</f>
        <v>1.1000000000000001</v>
      </c>
      <c r="P975" s="1">
        <f t="shared" si="93"/>
        <v>41682.300000000003</v>
      </c>
      <c r="Q975" s="4">
        <f t="shared" si="94"/>
        <v>0.90909090909090906</v>
      </c>
      <c r="R975" t="str">
        <f t="shared" si="95"/>
        <v>Below Target</v>
      </c>
    </row>
    <row r="976" spans="1:18">
      <c r="A976" t="s">
        <v>35</v>
      </c>
      <c r="B976" t="s">
        <v>36</v>
      </c>
      <c r="C976" t="s">
        <v>25</v>
      </c>
      <c r="D976" t="s">
        <v>31</v>
      </c>
      <c r="E976" t="s">
        <v>38</v>
      </c>
      <c r="F976">
        <v>1904</v>
      </c>
      <c r="G976" s="1">
        <v>47774</v>
      </c>
      <c r="H976" s="2">
        <v>45456</v>
      </c>
      <c r="I976" t="s">
        <v>27</v>
      </c>
      <c r="J976" t="s">
        <v>1012</v>
      </c>
      <c r="K976" t="s">
        <v>34</v>
      </c>
      <c r="L976" t="str">
        <f t="shared" si="90"/>
        <v>Jun</v>
      </c>
      <c r="M976" t="str">
        <f t="shared" si="91"/>
        <v>Q2</v>
      </c>
      <c r="N976" t="str">
        <f t="shared" si="92"/>
        <v>High</v>
      </c>
      <c r="O976">
        <f>_xlfn.XLOOKUP(I976,Helper_Table!A:A,Helper_Table!B:B)</f>
        <v>0.9</v>
      </c>
      <c r="P976" s="1">
        <f t="shared" si="93"/>
        <v>42996.6</v>
      </c>
      <c r="Q976" s="4">
        <f t="shared" si="94"/>
        <v>1.1111111111111112</v>
      </c>
      <c r="R976" t="str">
        <f t="shared" si="95"/>
        <v>Achieved</v>
      </c>
    </row>
    <row r="977" spans="1:18">
      <c r="A977" t="s">
        <v>64</v>
      </c>
      <c r="B977" t="s">
        <v>49</v>
      </c>
      <c r="C977" t="s">
        <v>30</v>
      </c>
      <c r="D977" t="s">
        <v>14</v>
      </c>
      <c r="E977">
        <v>60</v>
      </c>
      <c r="F977">
        <v>274</v>
      </c>
      <c r="G977" s="1">
        <v>36990</v>
      </c>
      <c r="H977" s="2">
        <v>45340</v>
      </c>
      <c r="I977" t="s">
        <v>39</v>
      </c>
      <c r="J977" t="s">
        <v>1013</v>
      </c>
      <c r="K977" t="s">
        <v>47</v>
      </c>
      <c r="L977" t="str">
        <f t="shared" si="90"/>
        <v>Feb</v>
      </c>
      <c r="M977" t="str">
        <f t="shared" si="91"/>
        <v>Q1</v>
      </c>
      <c r="N977" t="str">
        <f t="shared" si="92"/>
        <v>Medium</v>
      </c>
      <c r="O977">
        <f>_xlfn.XLOOKUP(I977,Helper_Table!A:A,Helper_Table!B:B)</f>
        <v>1.1000000000000001</v>
      </c>
      <c r="P977" s="1">
        <f t="shared" si="93"/>
        <v>40689</v>
      </c>
      <c r="Q977" s="4">
        <f t="shared" si="94"/>
        <v>0.90909090909090906</v>
      </c>
      <c r="R977" t="str">
        <f t="shared" si="95"/>
        <v>Below Target</v>
      </c>
    </row>
    <row r="978" spans="1:18">
      <c r="A978" t="s">
        <v>11</v>
      </c>
      <c r="B978" t="s">
        <v>51</v>
      </c>
      <c r="C978" t="s">
        <v>20</v>
      </c>
      <c r="D978" t="s">
        <v>26</v>
      </c>
      <c r="E978" t="s">
        <v>38</v>
      </c>
      <c r="F978">
        <v>974</v>
      </c>
      <c r="G978" s="1">
        <v>13263</v>
      </c>
      <c r="H978" s="2">
        <v>45485</v>
      </c>
      <c r="I978" t="s">
        <v>32</v>
      </c>
      <c r="J978" t="s">
        <v>1014</v>
      </c>
      <c r="K978" t="s">
        <v>18</v>
      </c>
      <c r="L978" t="str">
        <f t="shared" si="90"/>
        <v>Jul</v>
      </c>
      <c r="M978" t="str">
        <f t="shared" si="91"/>
        <v>Q3</v>
      </c>
      <c r="N978" t="str">
        <f t="shared" si="92"/>
        <v>Low</v>
      </c>
      <c r="O978">
        <f>_xlfn.XLOOKUP(I978,Helper_Table!A:A,Helper_Table!B:B)</f>
        <v>0.95</v>
      </c>
      <c r="P978" s="1">
        <f t="shared" si="93"/>
        <v>12599.849999999999</v>
      </c>
      <c r="Q978" s="4">
        <f t="shared" si="94"/>
        <v>1.0526315789473686</v>
      </c>
      <c r="R978" t="str">
        <f t="shared" si="95"/>
        <v>Achieved</v>
      </c>
    </row>
    <row r="979" spans="1:18">
      <c r="A979" t="s">
        <v>35</v>
      </c>
      <c r="B979" t="s">
        <v>49</v>
      </c>
      <c r="C979" t="s">
        <v>59</v>
      </c>
      <c r="D979" t="s">
        <v>14</v>
      </c>
      <c r="E979">
        <v>30</v>
      </c>
      <c r="F979">
        <v>1169</v>
      </c>
      <c r="G979" s="1">
        <v>30037</v>
      </c>
      <c r="H979" s="2">
        <v>45399</v>
      </c>
      <c r="I979" t="s">
        <v>32</v>
      </c>
      <c r="J979" t="s">
        <v>1015</v>
      </c>
      <c r="K979" t="s">
        <v>44</v>
      </c>
      <c r="L979" t="str">
        <f t="shared" si="90"/>
        <v>Apr</v>
      </c>
      <c r="M979" t="str">
        <f t="shared" si="91"/>
        <v>Q2</v>
      </c>
      <c r="N979" t="str">
        <f t="shared" si="92"/>
        <v>Medium</v>
      </c>
      <c r="O979">
        <f>_xlfn.XLOOKUP(I979,Helper_Table!A:A,Helper_Table!B:B)</f>
        <v>0.95</v>
      </c>
      <c r="P979" s="1">
        <f t="shared" si="93"/>
        <v>28535.149999999998</v>
      </c>
      <c r="Q979" s="4">
        <f t="shared" si="94"/>
        <v>1.0526315789473686</v>
      </c>
      <c r="R979" t="str">
        <f t="shared" si="95"/>
        <v>Achieved</v>
      </c>
    </row>
    <row r="980" spans="1:18">
      <c r="A980" t="s">
        <v>35</v>
      </c>
      <c r="B980" t="s">
        <v>49</v>
      </c>
      <c r="C980" t="s">
        <v>25</v>
      </c>
      <c r="D980" t="s">
        <v>21</v>
      </c>
      <c r="E980" t="s">
        <v>38</v>
      </c>
      <c r="F980">
        <v>1922</v>
      </c>
      <c r="G980" s="1">
        <v>30322</v>
      </c>
      <c r="H980" s="2">
        <v>45222</v>
      </c>
      <c r="I980" t="s">
        <v>32</v>
      </c>
      <c r="J980" t="s">
        <v>1016</v>
      </c>
      <c r="K980" t="s">
        <v>47</v>
      </c>
      <c r="L980" t="str">
        <f t="shared" si="90"/>
        <v>Oct</v>
      </c>
      <c r="M980" t="str">
        <f t="shared" si="91"/>
        <v>Q4</v>
      </c>
      <c r="N980" t="str">
        <f t="shared" si="92"/>
        <v>Medium</v>
      </c>
      <c r="O980">
        <f>_xlfn.XLOOKUP(I980,Helper_Table!A:A,Helper_Table!B:B)</f>
        <v>0.95</v>
      </c>
      <c r="P980" s="1">
        <f t="shared" si="93"/>
        <v>28805.899999999998</v>
      </c>
      <c r="Q980" s="4">
        <f t="shared" si="94"/>
        <v>1.0526315789473686</v>
      </c>
      <c r="R980" t="str">
        <f t="shared" si="95"/>
        <v>Achieved</v>
      </c>
    </row>
    <row r="981" spans="1:18">
      <c r="A981" t="s">
        <v>11</v>
      </c>
      <c r="B981" t="s">
        <v>36</v>
      </c>
      <c r="C981" t="s">
        <v>59</v>
      </c>
      <c r="D981" t="s">
        <v>14</v>
      </c>
      <c r="E981">
        <v>60</v>
      </c>
      <c r="F981">
        <v>1656</v>
      </c>
      <c r="G981" s="1">
        <v>2052</v>
      </c>
      <c r="H981" s="2">
        <v>45492</v>
      </c>
      <c r="I981" t="s">
        <v>39</v>
      </c>
      <c r="J981" t="s">
        <v>1017</v>
      </c>
      <c r="K981" t="s">
        <v>29</v>
      </c>
      <c r="L981" t="str">
        <f t="shared" si="90"/>
        <v>Jul</v>
      </c>
      <c r="M981" t="str">
        <f t="shared" si="91"/>
        <v>Q3</v>
      </c>
      <c r="N981" t="str">
        <f t="shared" si="92"/>
        <v>Low</v>
      </c>
      <c r="O981">
        <f>_xlfn.XLOOKUP(I981,Helper_Table!A:A,Helper_Table!B:B)</f>
        <v>1.1000000000000001</v>
      </c>
      <c r="P981" s="1">
        <f t="shared" si="93"/>
        <v>2257.2000000000003</v>
      </c>
      <c r="Q981" s="4">
        <f t="shared" si="94"/>
        <v>0.90909090909090895</v>
      </c>
      <c r="R981" t="str">
        <f t="shared" si="95"/>
        <v>Below Target</v>
      </c>
    </row>
    <row r="982" spans="1:18">
      <c r="A982" t="s">
        <v>64</v>
      </c>
      <c r="B982" t="s">
        <v>36</v>
      </c>
      <c r="C982" t="s">
        <v>13</v>
      </c>
      <c r="D982" t="s">
        <v>21</v>
      </c>
      <c r="E982">
        <v>30</v>
      </c>
      <c r="F982">
        <v>999</v>
      </c>
      <c r="G982" s="1">
        <v>1790</v>
      </c>
      <c r="H982" s="2">
        <v>45454</v>
      </c>
      <c r="I982" t="s">
        <v>39</v>
      </c>
      <c r="J982" t="s">
        <v>1018</v>
      </c>
      <c r="K982" t="s">
        <v>34</v>
      </c>
      <c r="L982" t="str">
        <f t="shared" si="90"/>
        <v>Jun</v>
      </c>
      <c r="M982" t="str">
        <f t="shared" si="91"/>
        <v>Q2</v>
      </c>
      <c r="N982" t="str">
        <f t="shared" si="92"/>
        <v>Low</v>
      </c>
      <c r="O982">
        <f>_xlfn.XLOOKUP(I982,Helper_Table!A:A,Helper_Table!B:B)</f>
        <v>1.1000000000000001</v>
      </c>
      <c r="P982" s="1">
        <f t="shared" si="93"/>
        <v>1969.0000000000002</v>
      </c>
      <c r="Q982" s="4">
        <f t="shared" si="94"/>
        <v>0.90909090909090895</v>
      </c>
      <c r="R982" t="str">
        <f t="shared" si="95"/>
        <v>Below Target</v>
      </c>
    </row>
    <row r="983" spans="1:18">
      <c r="A983" t="s">
        <v>64</v>
      </c>
      <c r="B983" t="s">
        <v>49</v>
      </c>
      <c r="C983" t="s">
        <v>20</v>
      </c>
      <c r="D983" t="s">
        <v>21</v>
      </c>
      <c r="E983" t="s">
        <v>38</v>
      </c>
      <c r="F983">
        <v>1027</v>
      </c>
      <c r="G983" s="1">
        <v>5568</v>
      </c>
      <c r="H983" s="2">
        <v>45368</v>
      </c>
      <c r="I983" t="s">
        <v>39</v>
      </c>
      <c r="J983" t="s">
        <v>1019</v>
      </c>
      <c r="K983" t="s">
        <v>44</v>
      </c>
      <c r="L983" t="str">
        <f t="shared" si="90"/>
        <v>Mar</v>
      </c>
      <c r="M983" t="str">
        <f t="shared" si="91"/>
        <v>Q1</v>
      </c>
      <c r="N983" t="str">
        <f t="shared" si="92"/>
        <v>Low</v>
      </c>
      <c r="O983">
        <f>_xlfn.XLOOKUP(I983,Helper_Table!A:A,Helper_Table!B:B)</f>
        <v>1.1000000000000001</v>
      </c>
      <c r="P983" s="1">
        <f t="shared" si="93"/>
        <v>6124.8</v>
      </c>
      <c r="Q983" s="4">
        <f t="shared" si="94"/>
        <v>0.90909090909090906</v>
      </c>
      <c r="R983" t="str">
        <f t="shared" si="95"/>
        <v>Below Target</v>
      </c>
    </row>
    <row r="984" spans="1:18">
      <c r="A984" t="s">
        <v>35</v>
      </c>
      <c r="B984" t="s">
        <v>51</v>
      </c>
      <c r="C984" t="s">
        <v>13</v>
      </c>
      <c r="D984" t="s">
        <v>66</v>
      </c>
      <c r="E984" t="s">
        <v>22</v>
      </c>
      <c r="F984">
        <v>202</v>
      </c>
      <c r="G984" s="1">
        <v>35739</v>
      </c>
      <c r="H984" s="2">
        <v>45370</v>
      </c>
      <c r="I984" t="s">
        <v>32</v>
      </c>
      <c r="J984" t="s">
        <v>1020</v>
      </c>
      <c r="K984" t="s">
        <v>47</v>
      </c>
      <c r="L984" t="str">
        <f t="shared" si="90"/>
        <v>Mar</v>
      </c>
      <c r="M984" t="str">
        <f t="shared" si="91"/>
        <v>Q1</v>
      </c>
      <c r="N984" t="str">
        <f t="shared" si="92"/>
        <v>Medium</v>
      </c>
      <c r="O984">
        <f>_xlfn.XLOOKUP(I984,Helper_Table!A:A,Helper_Table!B:B)</f>
        <v>0.95</v>
      </c>
      <c r="P984" s="1">
        <f t="shared" si="93"/>
        <v>33952.049999999996</v>
      </c>
      <c r="Q984" s="4">
        <f t="shared" si="94"/>
        <v>1.0526315789473686</v>
      </c>
      <c r="R984" t="str">
        <f t="shared" si="95"/>
        <v>Achieved</v>
      </c>
    </row>
    <row r="985" spans="1:18">
      <c r="A985" t="s">
        <v>35</v>
      </c>
      <c r="B985" t="s">
        <v>49</v>
      </c>
      <c r="C985" t="s">
        <v>25</v>
      </c>
      <c r="D985" t="s">
        <v>14</v>
      </c>
      <c r="E985" t="s">
        <v>22</v>
      </c>
      <c r="F985">
        <v>868</v>
      </c>
      <c r="G985" s="1">
        <v>39318</v>
      </c>
      <c r="H985" s="2">
        <v>45356</v>
      </c>
      <c r="I985" t="s">
        <v>41</v>
      </c>
      <c r="J985" t="s">
        <v>1021</v>
      </c>
      <c r="K985" t="s">
        <v>47</v>
      </c>
      <c r="L985" t="str">
        <f t="shared" si="90"/>
        <v>Mar</v>
      </c>
      <c r="M985" t="str">
        <f t="shared" si="91"/>
        <v>Q1</v>
      </c>
      <c r="N985" t="str">
        <f t="shared" si="92"/>
        <v>Medium</v>
      </c>
      <c r="O985">
        <f>_xlfn.XLOOKUP(I985,Helper_Table!A:A,Helper_Table!B:B)</f>
        <v>1.2</v>
      </c>
      <c r="P985" s="1">
        <f t="shared" si="93"/>
        <v>47181.599999999999</v>
      </c>
      <c r="Q985" s="4">
        <f t="shared" si="94"/>
        <v>0.83333333333333337</v>
      </c>
      <c r="R985" t="str">
        <f t="shared" si="95"/>
        <v>Below Target</v>
      </c>
    </row>
    <row r="986" spans="1:18">
      <c r="A986" t="s">
        <v>35</v>
      </c>
      <c r="B986" t="s">
        <v>51</v>
      </c>
      <c r="C986" t="s">
        <v>20</v>
      </c>
      <c r="D986" t="s">
        <v>14</v>
      </c>
      <c r="E986">
        <v>30</v>
      </c>
      <c r="F986">
        <v>783</v>
      </c>
      <c r="G986" s="1">
        <v>7230</v>
      </c>
      <c r="H986" s="2">
        <v>45145</v>
      </c>
      <c r="I986" t="s">
        <v>41</v>
      </c>
      <c r="J986" t="s">
        <v>1022</v>
      </c>
      <c r="K986" t="s">
        <v>34</v>
      </c>
      <c r="L986" t="str">
        <f t="shared" si="90"/>
        <v>Aug</v>
      </c>
      <c r="M986" t="str">
        <f t="shared" si="91"/>
        <v>Q3</v>
      </c>
      <c r="N986" t="str">
        <f t="shared" si="92"/>
        <v>Low</v>
      </c>
      <c r="O986">
        <f>_xlfn.XLOOKUP(I986,Helper_Table!A:A,Helper_Table!B:B)</f>
        <v>1.2</v>
      </c>
      <c r="P986" s="1">
        <f t="shared" si="93"/>
        <v>8676</v>
      </c>
      <c r="Q986" s="4">
        <f t="shared" si="94"/>
        <v>0.83333333333333337</v>
      </c>
      <c r="R986" t="str">
        <f t="shared" si="95"/>
        <v>Below Target</v>
      </c>
    </row>
    <row r="987" spans="1:18">
      <c r="A987" t="s">
        <v>45</v>
      </c>
      <c r="B987" t="s">
        <v>49</v>
      </c>
      <c r="C987" t="s">
        <v>13</v>
      </c>
      <c r="D987" t="s">
        <v>14</v>
      </c>
      <c r="E987">
        <v>60</v>
      </c>
      <c r="F987">
        <v>624</v>
      </c>
      <c r="G987" s="1">
        <v>39173</v>
      </c>
      <c r="H987" s="2">
        <v>45378</v>
      </c>
      <c r="I987" t="s">
        <v>39</v>
      </c>
      <c r="J987" t="s">
        <v>1023</v>
      </c>
      <c r="K987" t="s">
        <v>34</v>
      </c>
      <c r="L987" t="str">
        <f t="shared" si="90"/>
        <v>Mar</v>
      </c>
      <c r="M987" t="str">
        <f t="shared" si="91"/>
        <v>Q1</v>
      </c>
      <c r="N987" t="str">
        <f t="shared" si="92"/>
        <v>Medium</v>
      </c>
      <c r="O987">
        <f>_xlfn.XLOOKUP(I987,Helper_Table!A:A,Helper_Table!B:B)</f>
        <v>1.1000000000000001</v>
      </c>
      <c r="P987" s="1">
        <f t="shared" si="93"/>
        <v>43090.3</v>
      </c>
      <c r="Q987" s="4">
        <f t="shared" si="94"/>
        <v>0.90909090909090906</v>
      </c>
      <c r="R987" t="str">
        <f t="shared" si="95"/>
        <v>Below Target</v>
      </c>
    </row>
    <row r="988" spans="1:18">
      <c r="A988" t="s">
        <v>45</v>
      </c>
      <c r="B988" t="s">
        <v>51</v>
      </c>
      <c r="C988" t="s">
        <v>13</v>
      </c>
      <c r="D988" t="s">
        <v>26</v>
      </c>
      <c r="E988">
        <v>30</v>
      </c>
      <c r="F988">
        <v>144</v>
      </c>
      <c r="G988" s="1">
        <v>31678</v>
      </c>
      <c r="H988" s="2">
        <v>45324</v>
      </c>
      <c r="I988" t="s">
        <v>16</v>
      </c>
      <c r="J988" t="s">
        <v>1024</v>
      </c>
      <c r="K988" t="s">
        <v>44</v>
      </c>
      <c r="L988" t="str">
        <f t="shared" si="90"/>
        <v>Feb</v>
      </c>
      <c r="M988" t="str">
        <f t="shared" si="91"/>
        <v>Q1</v>
      </c>
      <c r="N988" t="str">
        <f t="shared" si="92"/>
        <v>Medium</v>
      </c>
      <c r="O988">
        <f>_xlfn.XLOOKUP(I988,Helper_Table!A:A,Helper_Table!B:B)</f>
        <v>1.1000000000000001</v>
      </c>
      <c r="P988" s="1">
        <f t="shared" si="93"/>
        <v>34845.800000000003</v>
      </c>
      <c r="Q988" s="4">
        <f t="shared" si="94"/>
        <v>0.90909090909090906</v>
      </c>
      <c r="R988" t="str">
        <f t="shared" si="95"/>
        <v>Below Target</v>
      </c>
    </row>
    <row r="989" spans="1:18">
      <c r="A989" t="s">
        <v>11</v>
      </c>
      <c r="B989" t="s">
        <v>19</v>
      </c>
      <c r="C989" t="s">
        <v>30</v>
      </c>
      <c r="D989" t="s">
        <v>26</v>
      </c>
      <c r="E989" t="s">
        <v>38</v>
      </c>
      <c r="F989">
        <v>1705</v>
      </c>
      <c r="G989" s="1">
        <v>3950</v>
      </c>
      <c r="H989" s="2">
        <v>45324</v>
      </c>
      <c r="I989" t="s">
        <v>41</v>
      </c>
      <c r="J989" t="s">
        <v>1025</v>
      </c>
      <c r="K989" t="s">
        <v>34</v>
      </c>
      <c r="L989" t="str">
        <f t="shared" si="90"/>
        <v>Feb</v>
      </c>
      <c r="M989" t="str">
        <f t="shared" si="91"/>
        <v>Q1</v>
      </c>
      <c r="N989" t="str">
        <f t="shared" si="92"/>
        <v>Low</v>
      </c>
      <c r="O989">
        <f>_xlfn.XLOOKUP(I989,Helper_Table!A:A,Helper_Table!B:B)</f>
        <v>1.2</v>
      </c>
      <c r="P989" s="1">
        <f t="shared" si="93"/>
        <v>4740</v>
      </c>
      <c r="Q989" s="4">
        <f t="shared" si="94"/>
        <v>0.83333333333333337</v>
      </c>
      <c r="R989" t="str">
        <f t="shared" si="95"/>
        <v>Below Target</v>
      </c>
    </row>
    <row r="990" spans="1:18">
      <c r="A990" t="s">
        <v>45</v>
      </c>
      <c r="B990" t="s">
        <v>49</v>
      </c>
      <c r="C990" t="s">
        <v>30</v>
      </c>
      <c r="D990" t="s">
        <v>26</v>
      </c>
      <c r="E990" t="s">
        <v>22</v>
      </c>
      <c r="F990">
        <v>1435</v>
      </c>
      <c r="G990" s="1">
        <v>11503</v>
      </c>
      <c r="H990" s="2">
        <v>45320</v>
      </c>
      <c r="I990" t="s">
        <v>41</v>
      </c>
      <c r="J990" t="s">
        <v>1026</v>
      </c>
      <c r="K990" t="s">
        <v>34</v>
      </c>
      <c r="L990" t="str">
        <f t="shared" si="90"/>
        <v>Jan</v>
      </c>
      <c r="M990" t="str">
        <f t="shared" si="91"/>
        <v>Q1</v>
      </c>
      <c r="N990" t="str">
        <f t="shared" si="92"/>
        <v>Low</v>
      </c>
      <c r="O990">
        <f>_xlfn.XLOOKUP(I990,Helper_Table!A:A,Helper_Table!B:B)</f>
        <v>1.2</v>
      </c>
      <c r="P990" s="1">
        <f t="shared" si="93"/>
        <v>13803.6</v>
      </c>
      <c r="Q990" s="4">
        <f t="shared" si="94"/>
        <v>0.83333333333333326</v>
      </c>
      <c r="R990" t="str">
        <f t="shared" si="95"/>
        <v>Below Target</v>
      </c>
    </row>
    <row r="991" spans="1:18">
      <c r="A991" t="s">
        <v>64</v>
      </c>
      <c r="B991" t="s">
        <v>49</v>
      </c>
      <c r="C991" t="s">
        <v>13</v>
      </c>
      <c r="D991" t="s">
        <v>26</v>
      </c>
      <c r="E991" t="s">
        <v>15</v>
      </c>
      <c r="F991">
        <v>1882</v>
      </c>
      <c r="G991" s="1">
        <v>23935</v>
      </c>
      <c r="H991" s="2">
        <v>45215</v>
      </c>
      <c r="I991" t="s">
        <v>41</v>
      </c>
      <c r="J991" t="s">
        <v>1027</v>
      </c>
      <c r="K991" t="s">
        <v>18</v>
      </c>
      <c r="L991" t="str">
        <f t="shared" si="90"/>
        <v>Oct</v>
      </c>
      <c r="M991" t="str">
        <f t="shared" si="91"/>
        <v>Q4</v>
      </c>
      <c r="N991" t="str">
        <f t="shared" si="92"/>
        <v>Medium</v>
      </c>
      <c r="O991">
        <f>_xlfn.XLOOKUP(I991,Helper_Table!A:A,Helper_Table!B:B)</f>
        <v>1.2</v>
      </c>
      <c r="P991" s="1">
        <f t="shared" si="93"/>
        <v>28722</v>
      </c>
      <c r="Q991" s="4">
        <f t="shared" si="94"/>
        <v>0.83333333333333337</v>
      </c>
      <c r="R991" t="str">
        <f t="shared" si="95"/>
        <v>Below Target</v>
      </c>
    </row>
    <row r="992" spans="1:18">
      <c r="A992" t="s">
        <v>35</v>
      </c>
      <c r="B992" t="s">
        <v>12</v>
      </c>
      <c r="C992" t="s">
        <v>30</v>
      </c>
      <c r="D992" t="s">
        <v>14</v>
      </c>
      <c r="E992" t="s">
        <v>22</v>
      </c>
      <c r="F992">
        <v>1018</v>
      </c>
      <c r="G992" s="1">
        <v>42507</v>
      </c>
      <c r="H992" s="2">
        <v>45486</v>
      </c>
      <c r="I992" t="s">
        <v>39</v>
      </c>
      <c r="J992" t="s">
        <v>1028</v>
      </c>
      <c r="K992" t="s">
        <v>29</v>
      </c>
      <c r="L992" t="str">
        <f t="shared" si="90"/>
        <v>Jul</v>
      </c>
      <c r="M992" t="str">
        <f t="shared" si="91"/>
        <v>Q3</v>
      </c>
      <c r="N992" t="str">
        <f t="shared" si="92"/>
        <v>High</v>
      </c>
      <c r="O992">
        <f>_xlfn.XLOOKUP(I992,Helper_Table!A:A,Helper_Table!B:B)</f>
        <v>1.1000000000000001</v>
      </c>
      <c r="P992" s="1">
        <f t="shared" si="93"/>
        <v>46757.700000000004</v>
      </c>
      <c r="Q992" s="4">
        <f t="shared" si="94"/>
        <v>0.90909090909090906</v>
      </c>
      <c r="R992" t="str">
        <f t="shared" si="95"/>
        <v>Below Target</v>
      </c>
    </row>
    <row r="993" spans="1:18">
      <c r="A993" t="s">
        <v>24</v>
      </c>
      <c r="B993" t="s">
        <v>36</v>
      </c>
      <c r="C993" t="s">
        <v>25</v>
      </c>
      <c r="D993" t="s">
        <v>21</v>
      </c>
      <c r="E993" t="s">
        <v>22</v>
      </c>
      <c r="F993">
        <v>1895</v>
      </c>
      <c r="G993" s="1">
        <v>40085</v>
      </c>
      <c r="H993" s="2">
        <v>45218</v>
      </c>
      <c r="I993" t="s">
        <v>41</v>
      </c>
      <c r="J993" t="s">
        <v>1029</v>
      </c>
      <c r="K993" t="s">
        <v>29</v>
      </c>
      <c r="L993" t="str">
        <f t="shared" si="90"/>
        <v>Oct</v>
      </c>
      <c r="M993" t="str">
        <f t="shared" si="91"/>
        <v>Q4</v>
      </c>
      <c r="N993" t="str">
        <f t="shared" si="92"/>
        <v>High</v>
      </c>
      <c r="O993">
        <f>_xlfn.XLOOKUP(I993,Helper_Table!A:A,Helper_Table!B:B)</f>
        <v>1.2</v>
      </c>
      <c r="P993" s="1">
        <f t="shared" si="93"/>
        <v>48102</v>
      </c>
      <c r="Q993" s="4">
        <f t="shared" si="94"/>
        <v>0.83333333333333337</v>
      </c>
      <c r="R993" t="str">
        <f t="shared" si="95"/>
        <v>Below Target</v>
      </c>
    </row>
    <row r="994" spans="1:18">
      <c r="A994" t="s">
        <v>35</v>
      </c>
      <c r="B994" t="s">
        <v>19</v>
      </c>
      <c r="C994" t="s">
        <v>20</v>
      </c>
      <c r="D994" t="s">
        <v>66</v>
      </c>
      <c r="E994" t="s">
        <v>15</v>
      </c>
      <c r="F994">
        <v>634</v>
      </c>
      <c r="G994" s="1">
        <v>27518</v>
      </c>
      <c r="H994" s="2">
        <v>45169</v>
      </c>
      <c r="I994" t="s">
        <v>16</v>
      </c>
      <c r="J994" t="s">
        <v>1030</v>
      </c>
      <c r="K994" t="s">
        <v>34</v>
      </c>
      <c r="L994" t="str">
        <f t="shared" si="90"/>
        <v>Aug</v>
      </c>
      <c r="M994" t="str">
        <f t="shared" si="91"/>
        <v>Q3</v>
      </c>
      <c r="N994" t="str">
        <f t="shared" si="92"/>
        <v>Medium</v>
      </c>
      <c r="O994">
        <f>_xlfn.XLOOKUP(I994,Helper_Table!A:A,Helper_Table!B:B)</f>
        <v>1.1000000000000001</v>
      </c>
      <c r="P994" s="1">
        <f t="shared" si="93"/>
        <v>30269.800000000003</v>
      </c>
      <c r="Q994" s="4">
        <f t="shared" si="94"/>
        <v>0.90909090909090895</v>
      </c>
      <c r="R994" t="str">
        <f t="shared" si="95"/>
        <v>Below Target</v>
      </c>
    </row>
    <row r="995" spans="1:18">
      <c r="A995" t="s">
        <v>11</v>
      </c>
      <c r="B995" t="s">
        <v>51</v>
      </c>
      <c r="C995" t="s">
        <v>25</v>
      </c>
      <c r="D995" t="s">
        <v>14</v>
      </c>
      <c r="E995" t="s">
        <v>15</v>
      </c>
      <c r="F995">
        <v>598</v>
      </c>
      <c r="G995" s="1">
        <v>44610</v>
      </c>
      <c r="H995" s="2">
        <v>45139</v>
      </c>
      <c r="I995" t="s">
        <v>41</v>
      </c>
      <c r="J995" t="s">
        <v>1031</v>
      </c>
      <c r="K995" t="s">
        <v>47</v>
      </c>
      <c r="L995" t="str">
        <f t="shared" si="90"/>
        <v>Aug</v>
      </c>
      <c r="M995" t="str">
        <f t="shared" si="91"/>
        <v>Q3</v>
      </c>
      <c r="N995" t="str">
        <f t="shared" si="92"/>
        <v>High</v>
      </c>
      <c r="O995">
        <f>_xlfn.XLOOKUP(I995,Helper_Table!A:A,Helper_Table!B:B)</f>
        <v>1.2</v>
      </c>
      <c r="P995" s="1">
        <f t="shared" si="93"/>
        <v>53532</v>
      </c>
      <c r="Q995" s="4">
        <f t="shared" si="94"/>
        <v>0.83333333333333337</v>
      </c>
      <c r="R995" t="str">
        <f t="shared" si="95"/>
        <v>Below Target</v>
      </c>
    </row>
    <row r="996" spans="1:18">
      <c r="A996" t="s">
        <v>45</v>
      </c>
      <c r="B996" t="s">
        <v>49</v>
      </c>
      <c r="C996" t="s">
        <v>30</v>
      </c>
      <c r="D996" t="s">
        <v>26</v>
      </c>
      <c r="E996">
        <v>60</v>
      </c>
      <c r="F996">
        <v>1619</v>
      </c>
      <c r="G996" s="1">
        <v>35793</v>
      </c>
      <c r="H996" s="2">
        <v>45488</v>
      </c>
      <c r="I996" t="s">
        <v>41</v>
      </c>
      <c r="J996" t="s">
        <v>1032</v>
      </c>
      <c r="K996" t="s">
        <v>44</v>
      </c>
      <c r="L996" t="str">
        <f t="shared" si="90"/>
        <v>Jul</v>
      </c>
      <c r="M996" t="str">
        <f t="shared" si="91"/>
        <v>Q3</v>
      </c>
      <c r="N996" t="str">
        <f t="shared" si="92"/>
        <v>Medium</v>
      </c>
      <c r="O996">
        <f>_xlfn.XLOOKUP(I996,Helper_Table!A:A,Helper_Table!B:B)</f>
        <v>1.2</v>
      </c>
      <c r="P996" s="1">
        <f t="shared" si="93"/>
        <v>42951.6</v>
      </c>
      <c r="Q996" s="4">
        <f t="shared" si="94"/>
        <v>0.83333333333333337</v>
      </c>
      <c r="R996" t="str">
        <f t="shared" si="95"/>
        <v>Below Target</v>
      </c>
    </row>
    <row r="997" spans="1:18">
      <c r="A997" t="s">
        <v>11</v>
      </c>
      <c r="B997" t="s">
        <v>19</v>
      </c>
      <c r="C997" t="s">
        <v>59</v>
      </c>
      <c r="D997" t="s">
        <v>14</v>
      </c>
      <c r="E997" t="s">
        <v>22</v>
      </c>
      <c r="F997">
        <v>359</v>
      </c>
      <c r="G997" s="1">
        <v>36979</v>
      </c>
      <c r="H997" s="2">
        <v>45266</v>
      </c>
      <c r="I997" t="s">
        <v>41</v>
      </c>
      <c r="J997" t="s">
        <v>1033</v>
      </c>
      <c r="K997" t="s">
        <v>18</v>
      </c>
      <c r="L997" t="str">
        <f t="shared" si="90"/>
        <v>Dec</v>
      </c>
      <c r="M997" t="str">
        <f t="shared" si="91"/>
        <v>Q4</v>
      </c>
      <c r="N997" t="str">
        <f t="shared" si="92"/>
        <v>Medium</v>
      </c>
      <c r="O997">
        <f>_xlfn.XLOOKUP(I997,Helper_Table!A:A,Helper_Table!B:B)</f>
        <v>1.2</v>
      </c>
      <c r="P997" s="1">
        <f t="shared" si="93"/>
        <v>44374.799999999996</v>
      </c>
      <c r="Q997" s="4">
        <f t="shared" si="94"/>
        <v>0.83333333333333337</v>
      </c>
      <c r="R997" t="str">
        <f t="shared" si="95"/>
        <v>Below Target</v>
      </c>
    </row>
    <row r="998" spans="1:18">
      <c r="A998" t="s">
        <v>24</v>
      </c>
      <c r="B998" t="s">
        <v>49</v>
      </c>
      <c r="C998" t="s">
        <v>20</v>
      </c>
      <c r="D998" t="s">
        <v>26</v>
      </c>
      <c r="E998" t="s">
        <v>22</v>
      </c>
      <c r="F998">
        <v>1502</v>
      </c>
      <c r="G998" s="1">
        <v>12221</v>
      </c>
      <c r="H998" s="2">
        <v>45254</v>
      </c>
      <c r="I998" t="s">
        <v>39</v>
      </c>
      <c r="J998" t="s">
        <v>1034</v>
      </c>
      <c r="K998" t="s">
        <v>18</v>
      </c>
      <c r="L998" t="str">
        <f t="shared" si="90"/>
        <v>Nov</v>
      </c>
      <c r="M998" t="str">
        <f t="shared" si="91"/>
        <v>Q4</v>
      </c>
      <c r="N998" t="str">
        <f t="shared" si="92"/>
        <v>Low</v>
      </c>
      <c r="O998">
        <f>_xlfn.XLOOKUP(I998,Helper_Table!A:A,Helper_Table!B:B)</f>
        <v>1.1000000000000001</v>
      </c>
      <c r="P998" s="1">
        <f t="shared" si="93"/>
        <v>13443.1</v>
      </c>
      <c r="Q998" s="4">
        <f t="shared" si="94"/>
        <v>0.90909090909090906</v>
      </c>
      <c r="R998" t="str">
        <f t="shared" si="95"/>
        <v>Below Target</v>
      </c>
    </row>
    <row r="999" spans="1:18">
      <c r="A999" t="s">
        <v>35</v>
      </c>
      <c r="B999" t="s">
        <v>12</v>
      </c>
      <c r="C999" t="s">
        <v>13</v>
      </c>
      <c r="D999" t="s">
        <v>66</v>
      </c>
      <c r="E999">
        <v>30</v>
      </c>
      <c r="F999">
        <v>1552</v>
      </c>
      <c r="G999" s="1">
        <v>11238</v>
      </c>
      <c r="H999" s="2">
        <v>45408</v>
      </c>
      <c r="I999" t="s">
        <v>32</v>
      </c>
      <c r="J999" t="s">
        <v>1035</v>
      </c>
      <c r="K999" t="s">
        <v>44</v>
      </c>
      <c r="L999" t="str">
        <f t="shared" si="90"/>
        <v>Apr</v>
      </c>
      <c r="M999" t="str">
        <f t="shared" si="91"/>
        <v>Q2</v>
      </c>
      <c r="N999" t="str">
        <f t="shared" si="92"/>
        <v>Low</v>
      </c>
      <c r="O999">
        <f>_xlfn.XLOOKUP(I999,Helper_Table!A:A,Helper_Table!B:B)</f>
        <v>0.95</v>
      </c>
      <c r="P999" s="1">
        <f t="shared" si="93"/>
        <v>10676.1</v>
      </c>
      <c r="Q999" s="4">
        <f t="shared" si="94"/>
        <v>1.0526315789473684</v>
      </c>
      <c r="R999" t="str">
        <f t="shared" si="95"/>
        <v>Achieved</v>
      </c>
    </row>
    <row r="1000" spans="1:18">
      <c r="A1000" t="s">
        <v>35</v>
      </c>
      <c r="B1000" t="s">
        <v>12</v>
      </c>
      <c r="C1000" t="s">
        <v>25</v>
      </c>
      <c r="D1000" t="s">
        <v>26</v>
      </c>
      <c r="E1000" t="s">
        <v>38</v>
      </c>
      <c r="F1000">
        <v>1152</v>
      </c>
      <c r="G1000" s="1">
        <v>39119</v>
      </c>
      <c r="H1000" s="2">
        <v>45408</v>
      </c>
      <c r="I1000" t="s">
        <v>41</v>
      </c>
      <c r="J1000" t="s">
        <v>1036</v>
      </c>
      <c r="K1000" t="s">
        <v>18</v>
      </c>
      <c r="L1000" t="str">
        <f t="shared" si="90"/>
        <v>Apr</v>
      </c>
      <c r="M1000" t="str">
        <f t="shared" si="91"/>
        <v>Q2</v>
      </c>
      <c r="N1000" t="str">
        <f t="shared" si="92"/>
        <v>Medium</v>
      </c>
      <c r="O1000">
        <f>_xlfn.XLOOKUP(I1000,Helper_Table!A:A,Helper_Table!B:B)</f>
        <v>1.2</v>
      </c>
      <c r="P1000" s="1">
        <f t="shared" si="93"/>
        <v>46942.799999999996</v>
      </c>
      <c r="Q1000" s="4">
        <f t="shared" si="94"/>
        <v>0.83333333333333337</v>
      </c>
      <c r="R1000" t="str">
        <f t="shared" si="95"/>
        <v>Below Target</v>
      </c>
    </row>
    <row r="1001" spans="1:18">
      <c r="A1001" t="s">
        <v>45</v>
      </c>
      <c r="B1001" t="s">
        <v>19</v>
      </c>
      <c r="C1001" t="s">
        <v>59</v>
      </c>
      <c r="D1001" t="s">
        <v>14</v>
      </c>
      <c r="E1001">
        <v>60</v>
      </c>
      <c r="F1001">
        <v>996</v>
      </c>
      <c r="G1001" s="1">
        <v>46219</v>
      </c>
      <c r="H1001" s="2">
        <v>45144</v>
      </c>
      <c r="I1001" t="s">
        <v>27</v>
      </c>
      <c r="J1001" t="s">
        <v>1037</v>
      </c>
      <c r="K1001" t="s">
        <v>34</v>
      </c>
      <c r="L1001" t="str">
        <f t="shared" si="90"/>
        <v>Aug</v>
      </c>
      <c r="M1001" t="str">
        <f t="shared" si="91"/>
        <v>Q3</v>
      </c>
      <c r="N1001" t="str">
        <f t="shared" si="92"/>
        <v>High</v>
      </c>
      <c r="O1001">
        <f>_xlfn.XLOOKUP(I1001,Helper_Table!A:A,Helper_Table!B:B)</f>
        <v>0.9</v>
      </c>
      <c r="P1001" s="1">
        <f t="shared" si="93"/>
        <v>41597.1</v>
      </c>
      <c r="Q1001" s="4">
        <f t="shared" si="94"/>
        <v>1.1111111111111112</v>
      </c>
      <c r="R1001" t="str">
        <f t="shared" si="95"/>
        <v>Achieved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692A6-FB58-4181-8BF7-364A2EC63F33}">
  <dimension ref="A1:B6"/>
  <sheetViews>
    <sheetView workbookViewId="0">
      <selection activeCell="I13" sqref="I13"/>
    </sheetView>
  </sheetViews>
  <sheetFormatPr defaultRowHeight="14.4"/>
  <cols>
    <col min="1" max="1" width="12.88671875" bestFit="1" customWidth="1"/>
    <col min="2" max="2" width="14.5546875" bestFit="1" customWidth="1"/>
  </cols>
  <sheetData>
    <row r="1" spans="1:2">
      <c r="A1" t="s">
        <v>8</v>
      </c>
      <c r="B1" t="s">
        <v>1043</v>
      </c>
    </row>
    <row r="2" spans="1:2">
      <c r="A2" t="s">
        <v>32</v>
      </c>
      <c r="B2">
        <v>0.95</v>
      </c>
    </row>
    <row r="3" spans="1:2">
      <c r="A3" t="s">
        <v>39</v>
      </c>
      <c r="B3">
        <v>1.1000000000000001</v>
      </c>
    </row>
    <row r="4" spans="1:2">
      <c r="A4" t="s">
        <v>27</v>
      </c>
      <c r="B4">
        <v>0.9</v>
      </c>
    </row>
    <row r="5" spans="1:2">
      <c r="A5" t="s">
        <v>41</v>
      </c>
      <c r="B5">
        <v>1.2</v>
      </c>
    </row>
    <row r="6" spans="1:2">
      <c r="A6" t="s">
        <v>16</v>
      </c>
      <c r="B6">
        <v>1.1000000000000001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0EF4-972E-4E52-8830-DB100BFE9308}">
  <dimension ref="A1:J997"/>
  <sheetViews>
    <sheetView zoomScaleNormal="100" workbookViewId="0">
      <selection activeCell="AH4" sqref="AH4"/>
    </sheetView>
  </sheetViews>
  <sheetFormatPr defaultRowHeight="14.4"/>
  <cols>
    <col min="1" max="1" width="20" bestFit="1" customWidth="1"/>
    <col min="2" max="2" width="14.88671875" bestFit="1" customWidth="1"/>
    <col min="5" max="5" width="10.77734375" bestFit="1" customWidth="1"/>
    <col min="6" max="6" width="21.5546875" bestFit="1" customWidth="1"/>
    <col min="8" max="8" width="21.33203125" bestFit="1" customWidth="1"/>
    <col min="9" max="9" width="14.88671875" bestFit="1" customWidth="1"/>
    <col min="10" max="10" width="16" bestFit="1" customWidth="1"/>
  </cols>
  <sheetData>
    <row r="1" spans="1:10">
      <c r="A1" s="6" t="s">
        <v>8</v>
      </c>
      <c r="B1" t="s">
        <v>1061</v>
      </c>
      <c r="E1" s="6" t="s">
        <v>1038</v>
      </c>
      <c r="F1" t="s">
        <v>1062</v>
      </c>
    </row>
    <row r="2" spans="1:10">
      <c r="A2" s="7" t="s">
        <v>27</v>
      </c>
      <c r="B2" s="1">
        <v>4627135</v>
      </c>
      <c r="E2" s="7" t="s">
        <v>1047</v>
      </c>
      <c r="F2" s="1">
        <v>2230464</v>
      </c>
      <c r="H2" s="6" t="s">
        <v>9</v>
      </c>
      <c r="I2" t="s">
        <v>1046</v>
      </c>
      <c r="J2" t="s">
        <v>1059</v>
      </c>
    </row>
    <row r="3" spans="1:10">
      <c r="A3" s="7" t="s">
        <v>32</v>
      </c>
      <c r="B3" s="1">
        <v>4809529</v>
      </c>
      <c r="E3" s="7" t="s">
        <v>1048</v>
      </c>
      <c r="F3" s="1">
        <v>1858322</v>
      </c>
      <c r="H3" s="7" t="s">
        <v>211</v>
      </c>
      <c r="I3" s="1">
        <v>15758</v>
      </c>
      <c r="J3">
        <v>1124</v>
      </c>
    </row>
    <row r="4" spans="1:10">
      <c r="A4" s="7" t="s">
        <v>39</v>
      </c>
      <c r="B4" s="1">
        <v>5027740</v>
      </c>
      <c r="E4" s="7" t="s">
        <v>1049</v>
      </c>
      <c r="F4" s="1">
        <v>2069146</v>
      </c>
      <c r="H4" s="7" t="s">
        <v>349</v>
      </c>
      <c r="I4" s="1">
        <v>22379</v>
      </c>
      <c r="J4">
        <v>939</v>
      </c>
    </row>
    <row r="5" spans="1:10">
      <c r="A5" s="7" t="s">
        <v>41</v>
      </c>
      <c r="B5" s="1">
        <v>5367445</v>
      </c>
      <c r="E5" s="7" t="s">
        <v>1050</v>
      </c>
      <c r="F5" s="1">
        <v>2176512</v>
      </c>
      <c r="H5" s="7" t="s">
        <v>650</v>
      </c>
      <c r="I5" s="1">
        <v>10654</v>
      </c>
      <c r="J5">
        <v>255</v>
      </c>
    </row>
    <row r="6" spans="1:10">
      <c r="A6" s="7" t="s">
        <v>16</v>
      </c>
      <c r="B6" s="1">
        <v>6246955</v>
      </c>
      <c r="E6" s="7" t="s">
        <v>1051</v>
      </c>
      <c r="F6" s="1">
        <v>2348333</v>
      </c>
      <c r="H6" s="7" t="s">
        <v>345</v>
      </c>
      <c r="I6" s="1">
        <v>16585</v>
      </c>
      <c r="J6">
        <v>1595</v>
      </c>
    </row>
    <row r="7" spans="1:10">
      <c r="A7" s="7" t="s">
        <v>1045</v>
      </c>
      <c r="B7" s="1">
        <v>26078804</v>
      </c>
      <c r="E7" s="7" t="s">
        <v>1052</v>
      </c>
      <c r="F7" s="1">
        <v>1860874</v>
      </c>
      <c r="H7" s="7" t="s">
        <v>292</v>
      </c>
      <c r="I7" s="1">
        <v>32469</v>
      </c>
      <c r="J7">
        <v>1245</v>
      </c>
    </row>
    <row r="8" spans="1:10">
      <c r="E8" s="7" t="s">
        <v>1053</v>
      </c>
      <c r="F8" s="1">
        <v>2192827</v>
      </c>
      <c r="H8" s="7" t="s">
        <v>1028</v>
      </c>
      <c r="I8" s="1">
        <v>42507</v>
      </c>
      <c r="J8">
        <v>1018</v>
      </c>
    </row>
    <row r="9" spans="1:10">
      <c r="E9" s="7" t="s">
        <v>1054</v>
      </c>
      <c r="F9" s="1">
        <v>2534352</v>
      </c>
      <c r="H9" s="7" t="s">
        <v>384</v>
      </c>
      <c r="I9" s="1">
        <v>15055</v>
      </c>
      <c r="J9">
        <v>1530</v>
      </c>
    </row>
    <row r="10" spans="1:10">
      <c r="E10" s="7" t="s">
        <v>1055</v>
      </c>
      <c r="F10" s="1">
        <v>1821314</v>
      </c>
      <c r="H10" s="7" t="s">
        <v>530</v>
      </c>
      <c r="I10" s="1">
        <v>25507</v>
      </c>
      <c r="J10">
        <v>157</v>
      </c>
    </row>
    <row r="11" spans="1:10">
      <c r="E11" s="7" t="s">
        <v>1056</v>
      </c>
      <c r="F11" s="1">
        <v>2288096</v>
      </c>
      <c r="H11" s="7" t="s">
        <v>274</v>
      </c>
      <c r="I11" s="1">
        <v>4766</v>
      </c>
      <c r="J11">
        <v>1499</v>
      </c>
    </row>
    <row r="12" spans="1:10">
      <c r="E12" s="7" t="s">
        <v>1057</v>
      </c>
      <c r="F12" s="1">
        <v>2449237</v>
      </c>
      <c r="H12" s="7" t="s">
        <v>367</v>
      </c>
      <c r="I12" s="1">
        <v>30615</v>
      </c>
      <c r="J12">
        <v>1509</v>
      </c>
    </row>
    <row r="13" spans="1:10">
      <c r="E13" s="7" t="s">
        <v>1058</v>
      </c>
      <c r="F13" s="1">
        <v>2249327</v>
      </c>
      <c r="H13" s="7" t="s">
        <v>552</v>
      </c>
      <c r="I13" s="1">
        <v>7812</v>
      </c>
      <c r="J13">
        <v>545</v>
      </c>
    </row>
    <row r="14" spans="1:10">
      <c r="E14" s="7" t="s">
        <v>1045</v>
      </c>
      <c r="F14" s="1">
        <v>26078804</v>
      </c>
      <c r="H14" s="7" t="s">
        <v>614</v>
      </c>
      <c r="I14" s="1">
        <v>28088</v>
      </c>
      <c r="J14">
        <v>1544</v>
      </c>
    </row>
    <row r="15" spans="1:10">
      <c r="A15" s="6" t="s">
        <v>0</v>
      </c>
      <c r="B15" t="s">
        <v>1046</v>
      </c>
      <c r="H15" s="7" t="s">
        <v>872</v>
      </c>
      <c r="I15" s="1">
        <v>44347</v>
      </c>
      <c r="J15">
        <v>908</v>
      </c>
    </row>
    <row r="16" spans="1:10">
      <c r="A16" s="7" t="s">
        <v>11</v>
      </c>
      <c r="B16" s="1">
        <v>5767109</v>
      </c>
      <c r="H16" s="7" t="s">
        <v>463</v>
      </c>
      <c r="I16" s="1">
        <v>2138</v>
      </c>
      <c r="J16">
        <v>1781</v>
      </c>
    </row>
    <row r="17" spans="1:10">
      <c r="A17" s="7" t="s">
        <v>35</v>
      </c>
      <c r="B17" s="1">
        <v>5259455</v>
      </c>
      <c r="H17" s="7" t="s">
        <v>763</v>
      </c>
      <c r="I17" s="1">
        <v>44778</v>
      </c>
      <c r="J17">
        <v>132</v>
      </c>
    </row>
    <row r="18" spans="1:10">
      <c r="A18" s="7" t="s">
        <v>45</v>
      </c>
      <c r="B18" s="1">
        <v>5196471</v>
      </c>
      <c r="H18" s="7" t="s">
        <v>321</v>
      </c>
      <c r="I18" s="1">
        <v>1411</v>
      </c>
      <c r="J18">
        <v>599</v>
      </c>
    </row>
    <row r="19" spans="1:10">
      <c r="A19" s="7" t="s">
        <v>64</v>
      </c>
      <c r="B19" s="1">
        <v>5092952</v>
      </c>
      <c r="H19" s="7" t="s">
        <v>42</v>
      </c>
      <c r="I19" s="1">
        <v>48563</v>
      </c>
      <c r="J19">
        <v>1779</v>
      </c>
    </row>
    <row r="20" spans="1:10">
      <c r="A20" s="7" t="s">
        <v>24</v>
      </c>
      <c r="B20" s="1">
        <v>4762817</v>
      </c>
      <c r="H20" s="7" t="s">
        <v>130</v>
      </c>
      <c r="I20" s="1">
        <v>1303</v>
      </c>
      <c r="J20">
        <v>643</v>
      </c>
    </row>
    <row r="21" spans="1:10">
      <c r="A21" s="7" t="s">
        <v>1045</v>
      </c>
      <c r="B21" s="1">
        <v>26078804</v>
      </c>
      <c r="H21" s="7" t="s">
        <v>833</v>
      </c>
      <c r="I21" s="1">
        <v>16495</v>
      </c>
      <c r="J21">
        <v>760</v>
      </c>
    </row>
    <row r="22" spans="1:10">
      <c r="H22" s="7" t="s">
        <v>857</v>
      </c>
      <c r="I22" s="1">
        <v>38388</v>
      </c>
      <c r="J22">
        <v>743</v>
      </c>
    </row>
    <row r="23" spans="1:10">
      <c r="A23" s="6" t="s">
        <v>10</v>
      </c>
      <c r="B23" t="s">
        <v>1046</v>
      </c>
      <c r="H23" s="7" t="s">
        <v>894</v>
      </c>
      <c r="I23" s="1">
        <v>37726</v>
      </c>
      <c r="J23">
        <v>676</v>
      </c>
    </row>
    <row r="24" spans="1:10">
      <c r="A24" s="7" t="s">
        <v>18</v>
      </c>
      <c r="B24" s="1">
        <v>5311106</v>
      </c>
      <c r="H24" s="7" t="s">
        <v>395</v>
      </c>
      <c r="I24" s="1">
        <v>28440</v>
      </c>
      <c r="J24">
        <v>1461</v>
      </c>
    </row>
    <row r="25" spans="1:10">
      <c r="A25" s="7" t="s">
        <v>29</v>
      </c>
      <c r="B25" s="1">
        <v>4965590</v>
      </c>
      <c r="H25" s="7" t="s">
        <v>937</v>
      </c>
      <c r="I25" s="1">
        <v>19924</v>
      </c>
      <c r="J25">
        <v>1899</v>
      </c>
    </row>
    <row r="26" spans="1:10">
      <c r="A26" s="7" t="s">
        <v>44</v>
      </c>
      <c r="B26" s="1">
        <v>5203717</v>
      </c>
      <c r="H26" s="7" t="s">
        <v>1027</v>
      </c>
      <c r="I26" s="1">
        <v>23935</v>
      </c>
      <c r="J26">
        <v>1882</v>
      </c>
    </row>
    <row r="27" spans="1:10">
      <c r="A27" s="7" t="s">
        <v>34</v>
      </c>
      <c r="B27" s="1">
        <v>6019543</v>
      </c>
      <c r="H27" s="7" t="s">
        <v>471</v>
      </c>
      <c r="I27" s="1">
        <v>43749</v>
      </c>
      <c r="J27">
        <v>908</v>
      </c>
    </row>
    <row r="28" spans="1:10">
      <c r="A28" s="7" t="s">
        <v>47</v>
      </c>
      <c r="B28" s="1">
        <v>4578848</v>
      </c>
      <c r="H28" s="7" t="s">
        <v>817</v>
      </c>
      <c r="I28" s="1">
        <v>40553</v>
      </c>
      <c r="J28">
        <v>1289</v>
      </c>
    </row>
    <row r="29" spans="1:10">
      <c r="A29" s="7" t="s">
        <v>1045</v>
      </c>
      <c r="B29" s="1">
        <v>26078804</v>
      </c>
      <c r="H29" s="7" t="s">
        <v>945</v>
      </c>
      <c r="I29" s="1">
        <v>25965</v>
      </c>
      <c r="J29">
        <v>347</v>
      </c>
    </row>
    <row r="30" spans="1:10">
      <c r="H30" s="7" t="s">
        <v>967</v>
      </c>
      <c r="I30" s="1">
        <v>16796</v>
      </c>
      <c r="J30">
        <v>1937</v>
      </c>
    </row>
    <row r="31" spans="1:10">
      <c r="H31" s="7" t="s">
        <v>548</v>
      </c>
      <c r="I31" s="1">
        <v>37982</v>
      </c>
      <c r="J31">
        <v>267</v>
      </c>
    </row>
    <row r="32" spans="1:10">
      <c r="H32" s="7" t="s">
        <v>689</v>
      </c>
      <c r="I32" s="1">
        <v>30188</v>
      </c>
      <c r="J32">
        <v>899</v>
      </c>
    </row>
    <row r="33" spans="1:10">
      <c r="H33" s="7" t="s">
        <v>786</v>
      </c>
      <c r="I33" s="1">
        <v>47317</v>
      </c>
      <c r="J33">
        <v>1228</v>
      </c>
    </row>
    <row r="34" spans="1:10">
      <c r="H34" s="7" t="s">
        <v>661</v>
      </c>
      <c r="I34" s="1">
        <v>2653</v>
      </c>
      <c r="J34">
        <v>1545</v>
      </c>
    </row>
    <row r="35" spans="1:10">
      <c r="A35" s="6" t="s">
        <v>1041</v>
      </c>
      <c r="B35" t="s">
        <v>1046</v>
      </c>
      <c r="H35" s="7" t="s">
        <v>512</v>
      </c>
      <c r="I35" s="1">
        <v>14269</v>
      </c>
      <c r="J35">
        <v>359</v>
      </c>
    </row>
    <row r="36" spans="1:10">
      <c r="A36" s="7" t="s">
        <v>1060</v>
      </c>
      <c r="B36" s="1">
        <v>16642140</v>
      </c>
      <c r="H36" s="7" t="s">
        <v>70</v>
      </c>
      <c r="I36" s="1">
        <v>6595</v>
      </c>
      <c r="J36">
        <v>968</v>
      </c>
    </row>
    <row r="37" spans="1:10">
      <c r="A37" s="7" t="s">
        <v>1063</v>
      </c>
      <c r="B37" s="1">
        <v>9436664</v>
      </c>
      <c r="H37" s="7" t="s">
        <v>405</v>
      </c>
      <c r="I37" s="1">
        <v>47220</v>
      </c>
      <c r="J37">
        <v>1372</v>
      </c>
    </row>
    <row r="38" spans="1:10">
      <c r="A38" s="7" t="s">
        <v>1045</v>
      </c>
      <c r="B38" s="1">
        <v>26078804</v>
      </c>
      <c r="H38" s="7" t="s">
        <v>396</v>
      </c>
      <c r="I38" s="1">
        <v>22584</v>
      </c>
      <c r="J38">
        <v>1621</v>
      </c>
    </row>
    <row r="39" spans="1:10">
      <c r="H39" s="7" t="s">
        <v>958</v>
      </c>
      <c r="I39" s="1">
        <v>4193</v>
      </c>
      <c r="J39">
        <v>1902</v>
      </c>
    </row>
    <row r="40" spans="1:10">
      <c r="H40" s="7" t="s">
        <v>820</v>
      </c>
      <c r="I40" s="1">
        <v>19837</v>
      </c>
      <c r="J40">
        <v>1875</v>
      </c>
    </row>
    <row r="41" spans="1:10">
      <c r="H41" s="7" t="s">
        <v>666</v>
      </c>
      <c r="I41" s="1">
        <v>25492</v>
      </c>
      <c r="J41">
        <v>1700</v>
      </c>
    </row>
    <row r="42" spans="1:10">
      <c r="H42" s="7" t="s">
        <v>317</v>
      </c>
      <c r="I42" s="1">
        <v>17663</v>
      </c>
      <c r="J42">
        <v>1738</v>
      </c>
    </row>
    <row r="43" spans="1:10">
      <c r="H43" s="7" t="s">
        <v>450</v>
      </c>
      <c r="I43" s="1">
        <v>1972</v>
      </c>
      <c r="J43">
        <v>1090</v>
      </c>
    </row>
    <row r="44" spans="1:10">
      <c r="H44" s="7" t="s">
        <v>336</v>
      </c>
      <c r="I44" s="1">
        <v>28326</v>
      </c>
      <c r="J44">
        <v>608</v>
      </c>
    </row>
    <row r="45" spans="1:10">
      <c r="H45" s="7" t="s">
        <v>921</v>
      </c>
      <c r="I45" s="1">
        <v>46285</v>
      </c>
      <c r="J45">
        <v>935</v>
      </c>
    </row>
    <row r="46" spans="1:10">
      <c r="H46" s="7" t="s">
        <v>267</v>
      </c>
      <c r="I46" s="1">
        <v>32835</v>
      </c>
      <c r="J46">
        <v>664</v>
      </c>
    </row>
    <row r="47" spans="1:10">
      <c r="H47" s="7" t="s">
        <v>180</v>
      </c>
      <c r="I47" s="1">
        <v>15529</v>
      </c>
      <c r="J47">
        <v>580</v>
      </c>
    </row>
    <row r="48" spans="1:10">
      <c r="H48" s="7" t="s">
        <v>393</v>
      </c>
      <c r="I48" s="1">
        <v>40972</v>
      </c>
      <c r="J48">
        <v>221</v>
      </c>
    </row>
    <row r="49" spans="8:10">
      <c r="H49" s="7" t="s">
        <v>715</v>
      </c>
      <c r="I49" s="1">
        <v>31902</v>
      </c>
      <c r="J49">
        <v>1666</v>
      </c>
    </row>
    <row r="50" spans="8:10">
      <c r="H50" s="7" t="s">
        <v>729</v>
      </c>
      <c r="I50" s="1">
        <v>7692</v>
      </c>
      <c r="J50">
        <v>463</v>
      </c>
    </row>
    <row r="51" spans="8:10">
      <c r="H51" s="7" t="s">
        <v>705</v>
      </c>
      <c r="I51" s="1">
        <v>17664</v>
      </c>
      <c r="J51">
        <v>1119</v>
      </c>
    </row>
    <row r="52" spans="8:10">
      <c r="H52" s="7" t="s">
        <v>1014</v>
      </c>
      <c r="I52" s="1">
        <v>13263</v>
      </c>
      <c r="J52">
        <v>974</v>
      </c>
    </row>
    <row r="53" spans="8:10">
      <c r="H53" s="7" t="s">
        <v>502</v>
      </c>
      <c r="I53" s="1">
        <v>29754</v>
      </c>
      <c r="J53">
        <v>966</v>
      </c>
    </row>
    <row r="54" spans="8:10">
      <c r="H54" s="7" t="s">
        <v>390</v>
      </c>
      <c r="I54" s="1">
        <v>11761</v>
      </c>
      <c r="J54">
        <v>1784</v>
      </c>
    </row>
    <row r="55" spans="8:10">
      <c r="H55" s="7" t="s">
        <v>60</v>
      </c>
      <c r="I55" s="1">
        <v>42394</v>
      </c>
      <c r="J55">
        <v>1078</v>
      </c>
    </row>
    <row r="56" spans="8:10">
      <c r="H56" s="7" t="s">
        <v>472</v>
      </c>
      <c r="I56" s="1">
        <v>44173</v>
      </c>
      <c r="J56">
        <v>1387</v>
      </c>
    </row>
    <row r="57" spans="8:10">
      <c r="H57" s="7" t="s">
        <v>536</v>
      </c>
      <c r="I57" s="1">
        <v>42438</v>
      </c>
      <c r="J57">
        <v>467</v>
      </c>
    </row>
    <row r="58" spans="8:10">
      <c r="H58" s="7" t="s">
        <v>262</v>
      </c>
      <c r="I58" s="1">
        <v>15021</v>
      </c>
      <c r="J58">
        <v>1091</v>
      </c>
    </row>
    <row r="59" spans="8:10">
      <c r="H59" s="7" t="s">
        <v>167</v>
      </c>
      <c r="I59" s="1">
        <v>43131</v>
      </c>
      <c r="J59">
        <v>1185</v>
      </c>
    </row>
    <row r="60" spans="8:10">
      <c r="H60" s="7" t="s">
        <v>286</v>
      </c>
      <c r="I60" s="1">
        <v>46578</v>
      </c>
      <c r="J60">
        <v>978</v>
      </c>
    </row>
    <row r="61" spans="8:10">
      <c r="H61" s="7" t="s">
        <v>417</v>
      </c>
      <c r="I61" s="1">
        <v>39477</v>
      </c>
      <c r="J61">
        <v>1183</v>
      </c>
    </row>
    <row r="62" spans="8:10">
      <c r="H62" s="7" t="s">
        <v>136</v>
      </c>
      <c r="I62" s="1">
        <v>30051</v>
      </c>
      <c r="J62">
        <v>1291</v>
      </c>
    </row>
    <row r="63" spans="8:10">
      <c r="H63" s="7" t="s">
        <v>175</v>
      </c>
      <c r="I63" s="1">
        <v>42504</v>
      </c>
      <c r="J63">
        <v>1499</v>
      </c>
    </row>
    <row r="64" spans="8:10">
      <c r="H64" s="7" t="s">
        <v>357</v>
      </c>
      <c r="I64" s="1">
        <v>22835</v>
      </c>
      <c r="J64">
        <v>1395</v>
      </c>
    </row>
    <row r="65" spans="8:10">
      <c r="H65" s="7" t="s">
        <v>764</v>
      </c>
      <c r="I65" s="1">
        <v>14853</v>
      </c>
      <c r="J65">
        <v>1420</v>
      </c>
    </row>
    <row r="66" spans="8:10">
      <c r="H66" s="7" t="s">
        <v>972</v>
      </c>
      <c r="I66" s="1">
        <v>37749</v>
      </c>
      <c r="J66">
        <v>765</v>
      </c>
    </row>
    <row r="67" spans="8:10">
      <c r="H67" s="7" t="s">
        <v>487</v>
      </c>
      <c r="I67" s="1">
        <v>15580</v>
      </c>
      <c r="J67">
        <v>343</v>
      </c>
    </row>
    <row r="68" spans="8:10">
      <c r="H68" s="7" t="s">
        <v>964</v>
      </c>
      <c r="I68" s="1">
        <v>15547</v>
      </c>
      <c r="J68">
        <v>324</v>
      </c>
    </row>
    <row r="69" spans="8:10">
      <c r="H69" s="7" t="s">
        <v>341</v>
      </c>
      <c r="I69" s="1">
        <v>32893</v>
      </c>
      <c r="J69">
        <v>1666</v>
      </c>
    </row>
    <row r="70" spans="8:10">
      <c r="H70" s="7" t="s">
        <v>62</v>
      </c>
      <c r="I70" s="1">
        <v>11048</v>
      </c>
      <c r="J70">
        <v>1161</v>
      </c>
    </row>
    <row r="71" spans="8:10">
      <c r="H71" s="7" t="s">
        <v>940</v>
      </c>
      <c r="I71" s="1">
        <v>46316</v>
      </c>
      <c r="J71">
        <v>1091</v>
      </c>
    </row>
    <row r="72" spans="8:10">
      <c r="H72" s="7" t="s">
        <v>344</v>
      </c>
      <c r="I72" s="1">
        <v>1522</v>
      </c>
      <c r="J72">
        <v>698</v>
      </c>
    </row>
    <row r="73" spans="8:10">
      <c r="H73" s="7" t="s">
        <v>542</v>
      </c>
      <c r="I73" s="1">
        <v>29491</v>
      </c>
      <c r="J73">
        <v>903</v>
      </c>
    </row>
    <row r="74" spans="8:10">
      <c r="H74" s="7" t="s">
        <v>768</v>
      </c>
      <c r="I74" s="1">
        <v>4688</v>
      </c>
      <c r="J74">
        <v>1324</v>
      </c>
    </row>
    <row r="75" spans="8:10">
      <c r="H75" s="7" t="s">
        <v>957</v>
      </c>
      <c r="I75" s="1">
        <v>36660</v>
      </c>
      <c r="J75">
        <v>424</v>
      </c>
    </row>
    <row r="76" spans="8:10">
      <c r="H76" s="7" t="s">
        <v>1019</v>
      </c>
      <c r="I76" s="1">
        <v>5568</v>
      </c>
      <c r="J76">
        <v>1027</v>
      </c>
    </row>
    <row r="77" spans="8:10">
      <c r="H77" s="7" t="s">
        <v>727</v>
      </c>
      <c r="I77" s="1">
        <v>48959</v>
      </c>
      <c r="J77">
        <v>153</v>
      </c>
    </row>
    <row r="78" spans="8:10">
      <c r="H78" s="7" t="s">
        <v>246</v>
      </c>
      <c r="I78" s="1">
        <v>4566</v>
      </c>
      <c r="J78">
        <v>482</v>
      </c>
    </row>
    <row r="79" spans="8:10">
      <c r="H79" s="7" t="s">
        <v>917</v>
      </c>
      <c r="I79" s="1">
        <v>40850</v>
      </c>
      <c r="J79">
        <v>190</v>
      </c>
    </row>
    <row r="80" spans="8:10">
      <c r="H80" s="7" t="s">
        <v>397</v>
      </c>
      <c r="I80" s="1">
        <v>49864</v>
      </c>
      <c r="J80">
        <v>587</v>
      </c>
    </row>
    <row r="81" spans="8:10">
      <c r="H81" s="7" t="s">
        <v>615</v>
      </c>
      <c r="I81" s="1">
        <v>33627</v>
      </c>
      <c r="J81">
        <v>1500</v>
      </c>
    </row>
    <row r="82" spans="8:10">
      <c r="H82" s="7" t="s">
        <v>588</v>
      </c>
      <c r="I82" s="1">
        <v>23247</v>
      </c>
      <c r="J82">
        <v>472</v>
      </c>
    </row>
    <row r="83" spans="8:10">
      <c r="H83" s="7" t="s">
        <v>881</v>
      </c>
      <c r="I83" s="1">
        <v>38634</v>
      </c>
      <c r="J83">
        <v>769</v>
      </c>
    </row>
    <row r="84" spans="8:10">
      <c r="H84" s="7" t="s">
        <v>385</v>
      </c>
      <c r="I84" s="1">
        <v>17065</v>
      </c>
      <c r="J84">
        <v>1804</v>
      </c>
    </row>
    <row r="85" spans="8:10">
      <c r="H85" s="7" t="s">
        <v>155</v>
      </c>
      <c r="I85" s="1">
        <v>47265</v>
      </c>
      <c r="J85">
        <v>1225</v>
      </c>
    </row>
    <row r="86" spans="8:10">
      <c r="H86" s="7" t="s">
        <v>1030</v>
      </c>
      <c r="I86" s="1">
        <v>27518</v>
      </c>
      <c r="J86">
        <v>634</v>
      </c>
    </row>
    <row r="87" spans="8:10">
      <c r="H87" s="7" t="s">
        <v>326</v>
      </c>
      <c r="I87" s="1">
        <v>48883</v>
      </c>
      <c r="J87">
        <v>489</v>
      </c>
    </row>
    <row r="88" spans="8:10">
      <c r="H88" s="7" t="s">
        <v>810</v>
      </c>
      <c r="I88" s="1">
        <v>42567</v>
      </c>
      <c r="J88">
        <v>643</v>
      </c>
    </row>
    <row r="89" spans="8:10">
      <c r="H89" s="7" t="s">
        <v>331</v>
      </c>
      <c r="I89" s="1">
        <v>14526</v>
      </c>
      <c r="J89">
        <v>499</v>
      </c>
    </row>
    <row r="90" spans="8:10">
      <c r="H90" s="7" t="s">
        <v>296</v>
      </c>
      <c r="I90" s="1">
        <v>29546</v>
      </c>
      <c r="J90">
        <v>1207</v>
      </c>
    </row>
    <row r="91" spans="8:10">
      <c r="H91" s="7" t="s">
        <v>920</v>
      </c>
      <c r="I91" s="1">
        <v>8141</v>
      </c>
      <c r="J91">
        <v>655</v>
      </c>
    </row>
    <row r="92" spans="8:10">
      <c r="H92" s="7" t="s">
        <v>325</v>
      </c>
      <c r="I92" s="1">
        <v>11544</v>
      </c>
      <c r="J92">
        <v>354</v>
      </c>
    </row>
    <row r="93" spans="8:10">
      <c r="H93" s="7" t="s">
        <v>805</v>
      </c>
      <c r="I93" s="1">
        <v>32819</v>
      </c>
      <c r="J93">
        <v>922</v>
      </c>
    </row>
    <row r="94" spans="8:10">
      <c r="H94" s="7" t="s">
        <v>264</v>
      </c>
      <c r="I94" s="1">
        <v>46470</v>
      </c>
      <c r="J94">
        <v>1603</v>
      </c>
    </row>
    <row r="95" spans="8:10">
      <c r="H95" s="7" t="s">
        <v>362</v>
      </c>
      <c r="I95" s="1">
        <v>17828</v>
      </c>
      <c r="J95">
        <v>1308</v>
      </c>
    </row>
    <row r="96" spans="8:10">
      <c r="H96" s="7" t="s">
        <v>287</v>
      </c>
      <c r="I96" s="1">
        <v>15499</v>
      </c>
      <c r="J96">
        <v>1484</v>
      </c>
    </row>
    <row r="97" spans="8:10">
      <c r="H97" s="7" t="s">
        <v>352</v>
      </c>
      <c r="I97" s="1">
        <v>42632</v>
      </c>
      <c r="J97">
        <v>1135</v>
      </c>
    </row>
    <row r="98" spans="8:10">
      <c r="H98" s="7" t="s">
        <v>621</v>
      </c>
      <c r="I98" s="1">
        <v>35974</v>
      </c>
      <c r="J98">
        <v>1824</v>
      </c>
    </row>
    <row r="99" spans="8:10">
      <c r="H99" s="7" t="s">
        <v>354</v>
      </c>
      <c r="I99" s="1">
        <v>42915</v>
      </c>
      <c r="J99">
        <v>833</v>
      </c>
    </row>
    <row r="100" spans="8:10">
      <c r="H100" s="7" t="s">
        <v>318</v>
      </c>
      <c r="I100" s="1">
        <v>4175</v>
      </c>
      <c r="J100">
        <v>167</v>
      </c>
    </row>
    <row r="101" spans="8:10">
      <c r="H101" s="7" t="s">
        <v>285</v>
      </c>
      <c r="I101" s="1">
        <v>43114</v>
      </c>
      <c r="J101">
        <v>1598</v>
      </c>
    </row>
    <row r="102" spans="8:10">
      <c r="H102" s="7" t="s">
        <v>54</v>
      </c>
      <c r="I102" s="1">
        <v>32152</v>
      </c>
      <c r="J102">
        <v>216</v>
      </c>
    </row>
    <row r="103" spans="8:10">
      <c r="H103" s="7" t="s">
        <v>293</v>
      </c>
      <c r="I103" s="1">
        <v>37133</v>
      </c>
      <c r="J103">
        <v>454</v>
      </c>
    </row>
    <row r="104" spans="8:10">
      <c r="H104" s="7" t="s">
        <v>684</v>
      </c>
      <c r="I104" s="1">
        <v>22974</v>
      </c>
      <c r="J104">
        <v>1529</v>
      </c>
    </row>
    <row r="105" spans="8:10">
      <c r="H105" s="7" t="s">
        <v>126</v>
      </c>
      <c r="I105" s="1">
        <v>36835</v>
      </c>
      <c r="J105">
        <v>1766</v>
      </c>
    </row>
    <row r="106" spans="8:10">
      <c r="H106" s="7" t="s">
        <v>919</v>
      </c>
      <c r="I106" s="1">
        <v>29695</v>
      </c>
      <c r="J106">
        <v>1919</v>
      </c>
    </row>
    <row r="107" spans="8:10">
      <c r="H107" s="7" t="s">
        <v>908</v>
      </c>
      <c r="I107" s="1">
        <v>10346</v>
      </c>
      <c r="J107">
        <v>509</v>
      </c>
    </row>
    <row r="108" spans="8:10">
      <c r="H108" s="7" t="s">
        <v>563</v>
      </c>
      <c r="I108" s="1">
        <v>4075</v>
      </c>
      <c r="J108">
        <v>403</v>
      </c>
    </row>
    <row r="109" spans="8:10">
      <c r="H109" s="7" t="s">
        <v>569</v>
      </c>
      <c r="I109" s="1">
        <v>35920</v>
      </c>
      <c r="J109">
        <v>1553</v>
      </c>
    </row>
    <row r="110" spans="8:10">
      <c r="H110" s="7" t="s">
        <v>123</v>
      </c>
      <c r="I110" s="1">
        <v>37132</v>
      </c>
      <c r="J110">
        <v>1227</v>
      </c>
    </row>
    <row r="111" spans="8:10">
      <c r="H111" s="7" t="s">
        <v>402</v>
      </c>
      <c r="I111" s="1">
        <v>45452</v>
      </c>
      <c r="J111">
        <v>1494</v>
      </c>
    </row>
    <row r="112" spans="8:10">
      <c r="H112" s="7" t="s">
        <v>766</v>
      </c>
      <c r="I112" s="1">
        <v>43589</v>
      </c>
      <c r="J112">
        <v>1143</v>
      </c>
    </row>
    <row r="113" spans="8:10">
      <c r="H113" s="7" t="s">
        <v>514</v>
      </c>
      <c r="I113" s="1">
        <v>28423</v>
      </c>
      <c r="J113">
        <v>1330</v>
      </c>
    </row>
    <row r="114" spans="8:10">
      <c r="H114" s="7" t="s">
        <v>103</v>
      </c>
      <c r="I114" s="1">
        <v>48415</v>
      </c>
      <c r="J114">
        <v>1219</v>
      </c>
    </row>
    <row r="115" spans="8:10">
      <c r="H115" s="7" t="s">
        <v>962</v>
      </c>
      <c r="I115" s="1">
        <v>34888</v>
      </c>
      <c r="J115">
        <v>997</v>
      </c>
    </row>
    <row r="116" spans="8:10">
      <c r="H116" s="7" t="s">
        <v>159</v>
      </c>
      <c r="I116" s="1">
        <v>7516</v>
      </c>
      <c r="J116">
        <v>472</v>
      </c>
    </row>
    <row r="117" spans="8:10">
      <c r="H117" s="7" t="s">
        <v>337</v>
      </c>
      <c r="I117" s="1">
        <v>20215</v>
      </c>
      <c r="J117">
        <v>297</v>
      </c>
    </row>
    <row r="118" spans="8:10">
      <c r="H118" s="7" t="s">
        <v>437</v>
      </c>
      <c r="I118" s="1">
        <v>2858</v>
      </c>
      <c r="J118">
        <v>764</v>
      </c>
    </row>
    <row r="119" spans="8:10">
      <c r="H119" s="7" t="s">
        <v>137</v>
      </c>
      <c r="I119" s="1">
        <v>29950</v>
      </c>
      <c r="J119">
        <v>1702</v>
      </c>
    </row>
    <row r="120" spans="8:10">
      <c r="H120" s="7" t="s">
        <v>632</v>
      </c>
      <c r="I120" s="1">
        <v>11455</v>
      </c>
      <c r="J120">
        <v>946</v>
      </c>
    </row>
    <row r="121" spans="8:10">
      <c r="H121" s="7" t="s">
        <v>509</v>
      </c>
      <c r="I121" s="1">
        <v>45151</v>
      </c>
      <c r="J121">
        <v>849</v>
      </c>
    </row>
    <row r="122" spans="8:10">
      <c r="H122" s="7" t="s">
        <v>698</v>
      </c>
      <c r="I122" s="1">
        <v>6810</v>
      </c>
      <c r="J122">
        <v>879</v>
      </c>
    </row>
    <row r="123" spans="8:10">
      <c r="H123" s="7" t="s">
        <v>219</v>
      </c>
      <c r="I123" s="1">
        <v>46407</v>
      </c>
      <c r="J123">
        <v>1132</v>
      </c>
    </row>
    <row r="124" spans="8:10">
      <c r="H124" s="7" t="s">
        <v>83</v>
      </c>
      <c r="I124" s="1">
        <v>34028</v>
      </c>
      <c r="J124">
        <v>1904</v>
      </c>
    </row>
    <row r="125" spans="8:10">
      <c r="H125" s="7" t="s">
        <v>574</v>
      </c>
      <c r="I125" s="1">
        <v>6165</v>
      </c>
      <c r="J125">
        <v>776</v>
      </c>
    </row>
    <row r="126" spans="8:10">
      <c r="H126" s="7" t="s">
        <v>861</v>
      </c>
      <c r="I126" s="1">
        <v>21030</v>
      </c>
      <c r="J126">
        <v>578</v>
      </c>
    </row>
    <row r="127" spans="8:10">
      <c r="H127" s="7" t="s">
        <v>114</v>
      </c>
      <c r="I127" s="1">
        <v>23785</v>
      </c>
      <c r="J127">
        <v>798</v>
      </c>
    </row>
    <row r="128" spans="8:10">
      <c r="H128" s="7" t="s">
        <v>746</v>
      </c>
      <c r="I128" s="1">
        <v>24056</v>
      </c>
      <c r="J128">
        <v>1514</v>
      </c>
    </row>
    <row r="129" spans="8:10">
      <c r="H129" s="7" t="s">
        <v>479</v>
      </c>
      <c r="I129" s="1">
        <v>28930</v>
      </c>
      <c r="J129">
        <v>634</v>
      </c>
    </row>
    <row r="130" spans="8:10">
      <c r="H130" s="7" t="s">
        <v>771</v>
      </c>
      <c r="I130" s="1">
        <v>19968</v>
      </c>
      <c r="J130">
        <v>751</v>
      </c>
    </row>
    <row r="131" spans="8:10">
      <c r="H131" s="7" t="s">
        <v>198</v>
      </c>
      <c r="I131" s="1">
        <v>49381</v>
      </c>
      <c r="J131">
        <v>1446</v>
      </c>
    </row>
    <row r="132" spans="8:10">
      <c r="H132" s="7" t="s">
        <v>459</v>
      </c>
      <c r="I132" s="1">
        <v>10434</v>
      </c>
      <c r="J132">
        <v>483</v>
      </c>
    </row>
    <row r="133" spans="8:10">
      <c r="H133" s="7" t="s">
        <v>628</v>
      </c>
      <c r="I133" s="1">
        <v>32636</v>
      </c>
      <c r="J133">
        <v>1258</v>
      </c>
    </row>
    <row r="134" spans="8:10">
      <c r="H134" s="7" t="s">
        <v>485</v>
      </c>
      <c r="I134" s="1">
        <v>28254</v>
      </c>
      <c r="J134">
        <v>1480</v>
      </c>
    </row>
    <row r="135" spans="8:10">
      <c r="H135" s="7" t="s">
        <v>651</v>
      </c>
      <c r="I135" s="1">
        <v>13939</v>
      </c>
      <c r="J135">
        <v>347</v>
      </c>
    </row>
    <row r="136" spans="8:10">
      <c r="H136" s="7" t="s">
        <v>116</v>
      </c>
      <c r="I136" s="1">
        <v>45096</v>
      </c>
      <c r="J136">
        <v>1280</v>
      </c>
    </row>
    <row r="137" spans="8:10">
      <c r="H137" s="7" t="s">
        <v>164</v>
      </c>
      <c r="I137" s="1">
        <v>14169</v>
      </c>
      <c r="J137">
        <v>1296</v>
      </c>
    </row>
    <row r="138" spans="8:10">
      <c r="H138" s="7" t="s">
        <v>342</v>
      </c>
      <c r="I138" s="1">
        <v>25596</v>
      </c>
      <c r="J138">
        <v>371</v>
      </c>
    </row>
    <row r="139" spans="8:10">
      <c r="H139" s="7" t="s">
        <v>436</v>
      </c>
      <c r="I139" s="1">
        <v>3098</v>
      </c>
      <c r="J139">
        <v>389</v>
      </c>
    </row>
    <row r="140" spans="8:10">
      <c r="H140" s="7" t="s">
        <v>443</v>
      </c>
      <c r="I140" s="1">
        <v>1770</v>
      </c>
      <c r="J140">
        <v>429</v>
      </c>
    </row>
    <row r="141" spans="8:10">
      <c r="H141" s="7" t="s">
        <v>343</v>
      </c>
      <c r="I141" s="1">
        <v>20214</v>
      </c>
      <c r="J141">
        <v>1663</v>
      </c>
    </row>
    <row r="142" spans="8:10">
      <c r="H142" s="7" t="s">
        <v>183</v>
      </c>
      <c r="I142" s="1">
        <v>32650</v>
      </c>
      <c r="J142">
        <v>181</v>
      </c>
    </row>
    <row r="143" spans="8:10">
      <c r="H143" s="7" t="s">
        <v>547</v>
      </c>
      <c r="I143" s="1">
        <v>38415</v>
      </c>
      <c r="J143">
        <v>177</v>
      </c>
    </row>
    <row r="144" spans="8:10">
      <c r="H144" s="7" t="s">
        <v>427</v>
      </c>
      <c r="I144" s="1">
        <v>26352</v>
      </c>
      <c r="J144">
        <v>1729</v>
      </c>
    </row>
    <row r="145" spans="8:10">
      <c r="H145" s="7" t="s">
        <v>599</v>
      </c>
      <c r="I145" s="1">
        <v>42637</v>
      </c>
      <c r="J145">
        <v>1943</v>
      </c>
    </row>
    <row r="146" spans="8:10">
      <c r="H146" s="7" t="s">
        <v>406</v>
      </c>
      <c r="I146" s="1">
        <v>4900</v>
      </c>
      <c r="J146">
        <v>1075</v>
      </c>
    </row>
    <row r="147" spans="8:10">
      <c r="H147" s="7" t="s">
        <v>627</v>
      </c>
      <c r="I147" s="1">
        <v>19627</v>
      </c>
      <c r="J147">
        <v>380</v>
      </c>
    </row>
    <row r="148" spans="8:10">
      <c r="H148" s="7" t="s">
        <v>96</v>
      </c>
      <c r="I148" s="1">
        <v>40547</v>
      </c>
      <c r="J148">
        <v>1768</v>
      </c>
    </row>
    <row r="149" spans="8:10">
      <c r="H149" s="7" t="s">
        <v>562</v>
      </c>
      <c r="I149" s="1">
        <v>18899</v>
      </c>
      <c r="J149">
        <v>451</v>
      </c>
    </row>
    <row r="150" spans="8:10">
      <c r="H150" s="7" t="s">
        <v>214</v>
      </c>
      <c r="I150" s="1">
        <v>23680</v>
      </c>
      <c r="J150">
        <v>1262</v>
      </c>
    </row>
    <row r="151" spans="8:10">
      <c r="H151" s="7" t="s">
        <v>867</v>
      </c>
      <c r="I151" s="1">
        <v>22796</v>
      </c>
      <c r="J151">
        <v>1585</v>
      </c>
    </row>
    <row r="152" spans="8:10">
      <c r="H152" s="7" t="s">
        <v>706</v>
      </c>
      <c r="I152" s="1">
        <v>10114</v>
      </c>
      <c r="J152">
        <v>105</v>
      </c>
    </row>
    <row r="153" spans="8:10">
      <c r="H153" s="7" t="s">
        <v>166</v>
      </c>
      <c r="I153" s="1">
        <v>3721</v>
      </c>
      <c r="J153">
        <v>930</v>
      </c>
    </row>
    <row r="154" spans="8:10">
      <c r="H154" s="7" t="s">
        <v>294</v>
      </c>
      <c r="I154" s="1">
        <v>45767</v>
      </c>
      <c r="J154">
        <v>1550</v>
      </c>
    </row>
    <row r="155" spans="8:10">
      <c r="H155" s="7" t="s">
        <v>449</v>
      </c>
      <c r="I155" s="1">
        <v>49962</v>
      </c>
      <c r="J155">
        <v>1148</v>
      </c>
    </row>
    <row r="156" spans="8:10">
      <c r="H156" s="7" t="s">
        <v>154</v>
      </c>
      <c r="I156" s="1">
        <v>35477</v>
      </c>
      <c r="J156">
        <v>679</v>
      </c>
    </row>
    <row r="157" spans="8:10">
      <c r="H157" s="7" t="s">
        <v>613</v>
      </c>
      <c r="I157" s="1">
        <v>46351</v>
      </c>
      <c r="J157">
        <v>987</v>
      </c>
    </row>
    <row r="158" spans="8:10">
      <c r="H158" s="7" t="s">
        <v>694</v>
      </c>
      <c r="I158" s="1">
        <v>41269</v>
      </c>
      <c r="J158">
        <v>1508</v>
      </c>
    </row>
    <row r="159" spans="8:10">
      <c r="H159" s="7" t="s">
        <v>225</v>
      </c>
      <c r="I159" s="1">
        <v>27787</v>
      </c>
      <c r="J159">
        <v>574</v>
      </c>
    </row>
    <row r="160" spans="8:10">
      <c r="H160" s="7" t="s">
        <v>413</v>
      </c>
      <c r="I160" s="1">
        <v>15607</v>
      </c>
      <c r="J160">
        <v>770</v>
      </c>
    </row>
    <row r="161" spans="8:10">
      <c r="H161" s="7" t="s">
        <v>510</v>
      </c>
      <c r="I161" s="1">
        <v>39729</v>
      </c>
      <c r="J161">
        <v>849</v>
      </c>
    </row>
    <row r="162" spans="8:10">
      <c r="H162" s="7" t="s">
        <v>444</v>
      </c>
      <c r="I162" s="1">
        <v>24712</v>
      </c>
      <c r="J162">
        <v>149</v>
      </c>
    </row>
    <row r="163" spans="8:10">
      <c r="H163" s="7" t="s">
        <v>144</v>
      </c>
      <c r="I163" s="1">
        <v>40809</v>
      </c>
      <c r="J163">
        <v>1999</v>
      </c>
    </row>
    <row r="164" spans="8:10">
      <c r="H164" s="7" t="s">
        <v>146</v>
      </c>
      <c r="I164" s="1">
        <v>2237</v>
      </c>
      <c r="J164">
        <v>846</v>
      </c>
    </row>
    <row r="165" spans="8:10">
      <c r="H165" s="7" t="s">
        <v>946</v>
      </c>
      <c r="I165" s="1">
        <v>37678</v>
      </c>
      <c r="J165">
        <v>740</v>
      </c>
    </row>
    <row r="166" spans="8:10">
      <c r="H166" s="7" t="s">
        <v>61</v>
      </c>
      <c r="I166" s="1">
        <v>48016</v>
      </c>
      <c r="J166">
        <v>783</v>
      </c>
    </row>
    <row r="167" spans="8:10">
      <c r="H167" s="7" t="s">
        <v>310</v>
      </c>
      <c r="I167" s="1">
        <v>25573</v>
      </c>
      <c r="J167">
        <v>1664</v>
      </c>
    </row>
    <row r="168" spans="8:10">
      <c r="H168" s="7" t="s">
        <v>78</v>
      </c>
      <c r="I168" s="1">
        <v>41604</v>
      </c>
      <c r="J168">
        <v>1880</v>
      </c>
    </row>
    <row r="169" spans="8:10">
      <c r="H169" s="7" t="s">
        <v>995</v>
      </c>
      <c r="I169" s="1">
        <v>6514</v>
      </c>
      <c r="J169">
        <v>582</v>
      </c>
    </row>
    <row r="170" spans="8:10">
      <c r="H170" s="7" t="s">
        <v>601</v>
      </c>
      <c r="I170" s="1">
        <v>7096</v>
      </c>
      <c r="J170">
        <v>601</v>
      </c>
    </row>
    <row r="171" spans="8:10">
      <c r="H171" s="7" t="s">
        <v>197</v>
      </c>
      <c r="I171" s="1">
        <v>8678</v>
      </c>
      <c r="J171">
        <v>1661</v>
      </c>
    </row>
    <row r="172" spans="8:10">
      <c r="H172" s="7" t="s">
        <v>644</v>
      </c>
      <c r="I172" s="1">
        <v>43230</v>
      </c>
      <c r="J172">
        <v>1154</v>
      </c>
    </row>
    <row r="173" spans="8:10">
      <c r="H173" s="7" t="s">
        <v>440</v>
      </c>
      <c r="I173" s="1">
        <v>15965</v>
      </c>
      <c r="J173">
        <v>1201</v>
      </c>
    </row>
    <row r="174" spans="8:10">
      <c r="H174" s="7" t="s">
        <v>607</v>
      </c>
      <c r="I174" s="1">
        <v>5404</v>
      </c>
      <c r="J174">
        <v>1922</v>
      </c>
    </row>
    <row r="175" spans="8:10">
      <c r="H175" s="7" t="s">
        <v>882</v>
      </c>
      <c r="I175" s="1">
        <v>40534</v>
      </c>
      <c r="J175">
        <v>1661</v>
      </c>
    </row>
    <row r="176" spans="8:10">
      <c r="H176" s="7" t="s">
        <v>271</v>
      </c>
      <c r="I176" s="1">
        <v>17302</v>
      </c>
      <c r="J176">
        <v>109</v>
      </c>
    </row>
    <row r="177" spans="8:10">
      <c r="H177" s="7" t="s">
        <v>838</v>
      </c>
      <c r="I177" s="1">
        <v>5964</v>
      </c>
      <c r="J177">
        <v>1834</v>
      </c>
    </row>
    <row r="178" spans="8:10">
      <c r="H178" s="7" t="s">
        <v>939</v>
      </c>
      <c r="I178" s="1">
        <v>33741</v>
      </c>
      <c r="J178">
        <v>1964</v>
      </c>
    </row>
    <row r="179" spans="8:10">
      <c r="H179" s="7" t="s">
        <v>996</v>
      </c>
      <c r="I179" s="1">
        <v>7865</v>
      </c>
      <c r="J179">
        <v>716</v>
      </c>
    </row>
    <row r="180" spans="8:10">
      <c r="H180" s="7" t="s">
        <v>796</v>
      </c>
      <c r="I180" s="1">
        <v>25162</v>
      </c>
      <c r="J180">
        <v>483</v>
      </c>
    </row>
    <row r="181" spans="8:10">
      <c r="H181" s="7" t="s">
        <v>696</v>
      </c>
      <c r="I181" s="1">
        <v>47763</v>
      </c>
      <c r="J181">
        <v>255</v>
      </c>
    </row>
    <row r="182" spans="8:10">
      <c r="H182" s="7" t="s">
        <v>1013</v>
      </c>
      <c r="I182" s="1">
        <v>36990</v>
      </c>
      <c r="J182">
        <v>274</v>
      </c>
    </row>
    <row r="183" spans="8:10">
      <c r="H183" s="7" t="s">
        <v>79</v>
      </c>
      <c r="I183" s="1">
        <v>21024</v>
      </c>
      <c r="J183">
        <v>383</v>
      </c>
    </row>
    <row r="184" spans="8:10">
      <c r="H184" s="7" t="s">
        <v>281</v>
      </c>
      <c r="I184" s="1">
        <v>32593</v>
      </c>
      <c r="J184">
        <v>620</v>
      </c>
    </row>
    <row r="185" spans="8:10">
      <c r="H185" s="7" t="s">
        <v>900</v>
      </c>
      <c r="I185" s="1">
        <v>17111</v>
      </c>
      <c r="J185">
        <v>961</v>
      </c>
    </row>
    <row r="186" spans="8:10">
      <c r="H186" s="7" t="s">
        <v>152</v>
      </c>
      <c r="I186" s="1">
        <v>14086</v>
      </c>
      <c r="J186">
        <v>820</v>
      </c>
    </row>
    <row r="187" spans="8:10">
      <c r="H187" s="7" t="s">
        <v>777</v>
      </c>
      <c r="I187" s="1">
        <v>30738</v>
      </c>
      <c r="J187">
        <v>970</v>
      </c>
    </row>
    <row r="188" spans="8:10">
      <c r="H188" s="7" t="s">
        <v>629</v>
      </c>
      <c r="I188" s="1">
        <v>42665</v>
      </c>
      <c r="J188">
        <v>271</v>
      </c>
    </row>
    <row r="189" spans="8:10">
      <c r="H189" s="7" t="s">
        <v>257</v>
      </c>
      <c r="I189" s="1">
        <v>2719</v>
      </c>
      <c r="J189">
        <v>1826</v>
      </c>
    </row>
    <row r="190" spans="8:10">
      <c r="H190" s="7" t="s">
        <v>218</v>
      </c>
      <c r="I190" s="1">
        <v>45637</v>
      </c>
      <c r="J190">
        <v>189</v>
      </c>
    </row>
    <row r="191" spans="8:10">
      <c r="H191" s="7" t="s">
        <v>794</v>
      </c>
      <c r="I191" s="1">
        <v>16223</v>
      </c>
      <c r="J191">
        <v>1918</v>
      </c>
    </row>
    <row r="192" spans="8:10">
      <c r="H192" s="7" t="s">
        <v>713</v>
      </c>
      <c r="I192" s="1">
        <v>49748</v>
      </c>
      <c r="J192">
        <v>1633</v>
      </c>
    </row>
    <row r="193" spans="8:10">
      <c r="H193" s="7" t="s">
        <v>1010</v>
      </c>
      <c r="I193" s="1">
        <v>37974</v>
      </c>
      <c r="J193">
        <v>676</v>
      </c>
    </row>
    <row r="194" spans="8:10">
      <c r="H194" s="7" t="s">
        <v>178</v>
      </c>
      <c r="I194" s="1">
        <v>14645</v>
      </c>
      <c r="J194">
        <v>1294</v>
      </c>
    </row>
    <row r="195" spans="8:10">
      <c r="H195" s="7" t="s">
        <v>916</v>
      </c>
      <c r="I195" s="1">
        <v>49128</v>
      </c>
      <c r="J195">
        <v>1501</v>
      </c>
    </row>
    <row r="196" spans="8:10">
      <c r="H196" s="7" t="s">
        <v>122</v>
      </c>
      <c r="I196" s="1">
        <v>44797</v>
      </c>
      <c r="J196">
        <v>873</v>
      </c>
    </row>
    <row r="197" spans="8:10">
      <c r="H197" s="7" t="s">
        <v>351</v>
      </c>
      <c r="I197" s="1">
        <v>41228</v>
      </c>
      <c r="J197">
        <v>868</v>
      </c>
    </row>
    <row r="198" spans="8:10">
      <c r="H198" s="7" t="s">
        <v>716</v>
      </c>
      <c r="I198" s="1">
        <v>14925</v>
      </c>
      <c r="J198">
        <v>1141</v>
      </c>
    </row>
    <row r="199" spans="8:10">
      <c r="H199" s="7" t="s">
        <v>732</v>
      </c>
      <c r="I199" s="1">
        <v>27188</v>
      </c>
      <c r="J199">
        <v>1155</v>
      </c>
    </row>
    <row r="200" spans="8:10">
      <c r="H200" s="7" t="s">
        <v>33</v>
      </c>
      <c r="I200" s="1">
        <v>25321</v>
      </c>
      <c r="J200">
        <v>1455</v>
      </c>
    </row>
    <row r="201" spans="8:10">
      <c r="H201" s="7" t="s">
        <v>630</v>
      </c>
      <c r="I201" s="1">
        <v>41272</v>
      </c>
      <c r="J201">
        <v>1450</v>
      </c>
    </row>
    <row r="202" spans="8:10">
      <c r="H202" s="7" t="s">
        <v>850</v>
      </c>
      <c r="I202" s="1">
        <v>43213</v>
      </c>
      <c r="J202">
        <v>984</v>
      </c>
    </row>
    <row r="203" spans="8:10">
      <c r="H203" s="7" t="s">
        <v>382</v>
      </c>
      <c r="I203" s="1">
        <v>16636</v>
      </c>
      <c r="J203">
        <v>709</v>
      </c>
    </row>
    <row r="204" spans="8:10">
      <c r="H204" s="7" t="s">
        <v>736</v>
      </c>
      <c r="I204" s="1">
        <v>41328</v>
      </c>
      <c r="J204">
        <v>1430</v>
      </c>
    </row>
    <row r="205" spans="8:10">
      <c r="H205" s="7" t="s">
        <v>77</v>
      </c>
      <c r="I205" s="1">
        <v>47682</v>
      </c>
      <c r="J205">
        <v>1574</v>
      </c>
    </row>
    <row r="206" spans="8:10">
      <c r="H206" s="7" t="s">
        <v>65</v>
      </c>
      <c r="I206" s="1">
        <v>28543</v>
      </c>
      <c r="J206">
        <v>147</v>
      </c>
    </row>
    <row r="207" spans="8:10">
      <c r="H207" s="7" t="s">
        <v>750</v>
      </c>
      <c r="I207" s="1">
        <v>3858</v>
      </c>
      <c r="J207">
        <v>1100</v>
      </c>
    </row>
    <row r="208" spans="8:10">
      <c r="H208" s="7" t="s">
        <v>653</v>
      </c>
      <c r="I208" s="1">
        <v>35744</v>
      </c>
      <c r="J208">
        <v>1415</v>
      </c>
    </row>
    <row r="209" spans="8:10">
      <c r="H209" s="7" t="s">
        <v>74</v>
      </c>
      <c r="I209" s="1">
        <v>35645</v>
      </c>
      <c r="J209">
        <v>1523</v>
      </c>
    </row>
    <row r="210" spans="8:10">
      <c r="H210" s="7" t="s">
        <v>251</v>
      </c>
      <c r="I210" s="1">
        <v>41156</v>
      </c>
      <c r="J210">
        <v>626</v>
      </c>
    </row>
    <row r="211" spans="8:10">
      <c r="H211" s="7" t="s">
        <v>652</v>
      </c>
      <c r="I211" s="1">
        <v>29077</v>
      </c>
      <c r="J211">
        <v>884</v>
      </c>
    </row>
    <row r="212" spans="8:10">
      <c r="H212" s="7" t="s">
        <v>129</v>
      </c>
      <c r="I212" s="1">
        <v>46398</v>
      </c>
      <c r="J212">
        <v>1088</v>
      </c>
    </row>
    <row r="213" spans="8:10">
      <c r="H213" s="7" t="s">
        <v>891</v>
      </c>
      <c r="I213" s="1">
        <v>48538</v>
      </c>
      <c r="J213">
        <v>1236</v>
      </c>
    </row>
    <row r="214" spans="8:10">
      <c r="H214" s="7" t="s">
        <v>221</v>
      </c>
      <c r="I214" s="1">
        <v>26575</v>
      </c>
      <c r="J214">
        <v>165</v>
      </c>
    </row>
    <row r="215" spans="8:10">
      <c r="H215" s="7" t="s">
        <v>639</v>
      </c>
      <c r="I215" s="1">
        <v>22125</v>
      </c>
      <c r="J215">
        <v>1991</v>
      </c>
    </row>
    <row r="216" spans="8:10">
      <c r="H216" s="7" t="s">
        <v>762</v>
      </c>
      <c r="I216" s="1">
        <v>28594</v>
      </c>
      <c r="J216">
        <v>873</v>
      </c>
    </row>
    <row r="217" spans="8:10">
      <c r="H217" s="7" t="s">
        <v>535</v>
      </c>
      <c r="I217" s="1">
        <v>14108</v>
      </c>
      <c r="J217">
        <v>621</v>
      </c>
    </row>
    <row r="218" spans="8:10">
      <c r="H218" s="7" t="s">
        <v>311</v>
      </c>
      <c r="I218" s="1">
        <v>31956</v>
      </c>
      <c r="J218">
        <v>1402</v>
      </c>
    </row>
    <row r="219" spans="8:10">
      <c r="H219" s="7" t="s">
        <v>953</v>
      </c>
      <c r="I219" s="1">
        <v>21517</v>
      </c>
      <c r="J219">
        <v>1600</v>
      </c>
    </row>
    <row r="220" spans="8:10">
      <c r="H220" s="7" t="s">
        <v>481</v>
      </c>
      <c r="I220" s="1">
        <v>40612</v>
      </c>
      <c r="J220">
        <v>653</v>
      </c>
    </row>
    <row r="221" spans="8:10">
      <c r="H221" s="7" t="s">
        <v>334</v>
      </c>
      <c r="I221" s="1">
        <v>36514</v>
      </c>
      <c r="J221">
        <v>1650</v>
      </c>
    </row>
    <row r="222" spans="8:10">
      <c r="H222" s="7" t="s">
        <v>942</v>
      </c>
      <c r="I222" s="1">
        <v>4074</v>
      </c>
      <c r="J222">
        <v>1598</v>
      </c>
    </row>
    <row r="223" spans="8:10">
      <c r="H223" s="7" t="s">
        <v>869</v>
      </c>
      <c r="I223" s="1">
        <v>41761</v>
      </c>
      <c r="J223">
        <v>1322</v>
      </c>
    </row>
    <row r="224" spans="8:10">
      <c r="H224" s="7" t="s">
        <v>188</v>
      </c>
      <c r="I224" s="1">
        <v>28574</v>
      </c>
      <c r="J224">
        <v>1222</v>
      </c>
    </row>
    <row r="225" spans="8:10">
      <c r="H225" s="7" t="s">
        <v>416</v>
      </c>
      <c r="I225" s="1">
        <v>33631</v>
      </c>
      <c r="J225">
        <v>1248</v>
      </c>
    </row>
    <row r="226" spans="8:10">
      <c r="H226" s="7" t="s">
        <v>654</v>
      </c>
      <c r="I226" s="1">
        <v>22592</v>
      </c>
      <c r="J226">
        <v>600</v>
      </c>
    </row>
    <row r="227" spans="8:10">
      <c r="H227" s="7" t="s">
        <v>433</v>
      </c>
      <c r="I227" s="1">
        <v>12823</v>
      </c>
      <c r="J227">
        <v>1609</v>
      </c>
    </row>
    <row r="228" spans="8:10">
      <c r="H228" s="7" t="s">
        <v>739</v>
      </c>
      <c r="I228" s="1">
        <v>1367</v>
      </c>
      <c r="J228">
        <v>1085</v>
      </c>
    </row>
    <row r="229" spans="8:10">
      <c r="H229" s="7" t="s">
        <v>237</v>
      </c>
      <c r="I229" s="1">
        <v>8859</v>
      </c>
      <c r="J229">
        <v>654</v>
      </c>
    </row>
    <row r="230" spans="8:10">
      <c r="H230" s="7" t="s">
        <v>631</v>
      </c>
      <c r="I230" s="1">
        <v>41888</v>
      </c>
      <c r="J230">
        <v>880</v>
      </c>
    </row>
    <row r="231" spans="8:10">
      <c r="H231" s="7" t="s">
        <v>403</v>
      </c>
      <c r="I231" s="1">
        <v>32754</v>
      </c>
      <c r="J231">
        <v>279</v>
      </c>
    </row>
    <row r="232" spans="8:10">
      <c r="H232" s="7" t="s">
        <v>313</v>
      </c>
      <c r="I232" s="1">
        <v>21160</v>
      </c>
      <c r="J232">
        <v>399</v>
      </c>
    </row>
    <row r="233" spans="8:10">
      <c r="H233" s="7" t="s">
        <v>983</v>
      </c>
      <c r="I233" s="1">
        <v>41492</v>
      </c>
      <c r="J233">
        <v>1352</v>
      </c>
    </row>
    <row r="234" spans="8:10">
      <c r="H234" s="7" t="s">
        <v>182</v>
      </c>
      <c r="I234" s="1">
        <v>28042</v>
      </c>
      <c r="J234">
        <v>532</v>
      </c>
    </row>
    <row r="235" spans="8:10">
      <c r="H235" s="7" t="s">
        <v>377</v>
      </c>
      <c r="I235" s="1">
        <v>8953</v>
      </c>
      <c r="J235">
        <v>1927</v>
      </c>
    </row>
    <row r="236" spans="8:10">
      <c r="H236" s="7" t="s">
        <v>224</v>
      </c>
      <c r="I236" s="1">
        <v>34603</v>
      </c>
      <c r="J236">
        <v>1084</v>
      </c>
    </row>
    <row r="237" spans="8:10">
      <c r="H237" s="7" t="s">
        <v>538</v>
      </c>
      <c r="I237" s="1">
        <v>43294</v>
      </c>
      <c r="J237">
        <v>651</v>
      </c>
    </row>
    <row r="238" spans="8:10">
      <c r="H238" s="7" t="s">
        <v>971</v>
      </c>
      <c r="I238" s="1">
        <v>23908</v>
      </c>
      <c r="J238">
        <v>1644</v>
      </c>
    </row>
    <row r="239" spans="8:10">
      <c r="H239" s="7" t="s">
        <v>149</v>
      </c>
      <c r="I239" s="1">
        <v>29700</v>
      </c>
      <c r="J239">
        <v>1017</v>
      </c>
    </row>
    <row r="240" spans="8:10">
      <c r="H240" s="7" t="s">
        <v>1032</v>
      </c>
      <c r="I240" s="1">
        <v>35793</v>
      </c>
      <c r="J240">
        <v>1619</v>
      </c>
    </row>
    <row r="241" spans="8:10">
      <c r="H241" s="7" t="s">
        <v>275</v>
      </c>
      <c r="I241" s="1">
        <v>25748</v>
      </c>
      <c r="J241">
        <v>1869</v>
      </c>
    </row>
    <row r="242" spans="8:10">
      <c r="H242" s="7" t="s">
        <v>430</v>
      </c>
      <c r="I242" s="1">
        <v>46966</v>
      </c>
      <c r="J242">
        <v>1572</v>
      </c>
    </row>
    <row r="243" spans="8:10">
      <c r="H243" s="7" t="s">
        <v>380</v>
      </c>
      <c r="I243" s="1">
        <v>20916</v>
      </c>
      <c r="J243">
        <v>677</v>
      </c>
    </row>
    <row r="244" spans="8:10">
      <c r="H244" s="7" t="s">
        <v>528</v>
      </c>
      <c r="I244" s="1">
        <v>14892</v>
      </c>
      <c r="J244">
        <v>1232</v>
      </c>
    </row>
    <row r="245" spans="8:10">
      <c r="H245" s="7" t="s">
        <v>43</v>
      </c>
      <c r="I245" s="1">
        <v>13672</v>
      </c>
      <c r="J245">
        <v>1727</v>
      </c>
    </row>
    <row r="246" spans="8:10">
      <c r="H246" s="7" t="s">
        <v>328</v>
      </c>
      <c r="I246" s="1">
        <v>33170</v>
      </c>
      <c r="J246">
        <v>392</v>
      </c>
    </row>
    <row r="247" spans="8:10">
      <c r="H247" s="7" t="s">
        <v>859</v>
      </c>
      <c r="I247" s="1">
        <v>2928</v>
      </c>
      <c r="J247">
        <v>254</v>
      </c>
    </row>
    <row r="248" spans="8:10">
      <c r="H248" s="7" t="s">
        <v>747</v>
      </c>
      <c r="I248" s="1">
        <v>14104</v>
      </c>
      <c r="J248">
        <v>160</v>
      </c>
    </row>
    <row r="249" spans="8:10">
      <c r="H249" s="7" t="s">
        <v>749</v>
      </c>
      <c r="I249" s="1">
        <v>3487</v>
      </c>
      <c r="J249">
        <v>348</v>
      </c>
    </row>
    <row r="250" spans="8:10">
      <c r="H250" s="7" t="s">
        <v>559</v>
      </c>
      <c r="I250" s="1">
        <v>21861</v>
      </c>
      <c r="J250">
        <v>1476</v>
      </c>
    </row>
    <row r="251" spans="8:10">
      <c r="H251" s="7" t="s">
        <v>970</v>
      </c>
      <c r="I251" s="1">
        <v>25494</v>
      </c>
      <c r="J251">
        <v>1566</v>
      </c>
    </row>
    <row r="252" spans="8:10">
      <c r="H252" s="7" t="s">
        <v>616</v>
      </c>
      <c r="I252" s="1">
        <v>38824</v>
      </c>
      <c r="J252">
        <v>1406</v>
      </c>
    </row>
    <row r="253" spans="8:10">
      <c r="H253" s="7" t="s">
        <v>355</v>
      </c>
      <c r="I253" s="1">
        <v>26634</v>
      </c>
      <c r="J253">
        <v>1134</v>
      </c>
    </row>
    <row r="254" spans="8:10">
      <c r="H254" s="7" t="s">
        <v>37</v>
      </c>
      <c r="I254" s="1">
        <v>13669</v>
      </c>
      <c r="J254">
        <v>130</v>
      </c>
    </row>
    <row r="255" spans="8:10">
      <c r="H255" s="7" t="s">
        <v>748</v>
      </c>
      <c r="I255" s="1">
        <v>21572</v>
      </c>
      <c r="J255">
        <v>1386</v>
      </c>
    </row>
    <row r="256" spans="8:10">
      <c r="H256" s="7" t="s">
        <v>451</v>
      </c>
      <c r="I256" s="1">
        <v>26394</v>
      </c>
      <c r="J256">
        <v>1944</v>
      </c>
    </row>
    <row r="257" spans="8:10">
      <c r="H257" s="7" t="s">
        <v>489</v>
      </c>
      <c r="I257" s="1">
        <v>24252</v>
      </c>
      <c r="J257">
        <v>1484</v>
      </c>
    </row>
    <row r="258" spans="8:10">
      <c r="H258" s="7" t="s">
        <v>476</v>
      </c>
      <c r="I258" s="1">
        <v>4119</v>
      </c>
      <c r="J258">
        <v>992</v>
      </c>
    </row>
    <row r="259" spans="8:10">
      <c r="H259" s="7" t="s">
        <v>223</v>
      </c>
      <c r="I259" s="1">
        <v>43392</v>
      </c>
      <c r="J259">
        <v>526</v>
      </c>
    </row>
    <row r="260" spans="8:10">
      <c r="H260" s="7" t="s">
        <v>827</v>
      </c>
      <c r="I260" s="1">
        <v>18147</v>
      </c>
      <c r="J260">
        <v>1467</v>
      </c>
    </row>
    <row r="261" spans="8:10">
      <c r="H261" s="7" t="s">
        <v>191</v>
      </c>
      <c r="I261" s="1">
        <v>42407</v>
      </c>
      <c r="J261">
        <v>560</v>
      </c>
    </row>
    <row r="262" spans="8:10">
      <c r="H262" s="7" t="s">
        <v>978</v>
      </c>
      <c r="I262" s="1">
        <v>22950</v>
      </c>
      <c r="J262">
        <v>872</v>
      </c>
    </row>
    <row r="263" spans="8:10">
      <c r="H263" s="7" t="s">
        <v>640</v>
      </c>
      <c r="I263" s="1">
        <v>3341</v>
      </c>
      <c r="J263">
        <v>1847</v>
      </c>
    </row>
    <row r="264" spans="8:10">
      <c r="H264" s="7" t="s">
        <v>329</v>
      </c>
      <c r="I264" s="1">
        <v>22000</v>
      </c>
      <c r="J264">
        <v>786</v>
      </c>
    </row>
    <row r="265" spans="8:10">
      <c r="H265" s="7" t="s">
        <v>951</v>
      </c>
      <c r="I265" s="1">
        <v>42870</v>
      </c>
      <c r="J265">
        <v>913</v>
      </c>
    </row>
    <row r="266" spans="8:10">
      <c r="H266" s="7" t="s">
        <v>414</v>
      </c>
      <c r="I266" s="1">
        <v>3436</v>
      </c>
      <c r="J266">
        <v>727</v>
      </c>
    </row>
    <row r="267" spans="8:10">
      <c r="H267" s="7" t="s">
        <v>994</v>
      </c>
      <c r="I267" s="1">
        <v>1292</v>
      </c>
      <c r="J267">
        <v>1660</v>
      </c>
    </row>
    <row r="268" spans="8:10">
      <c r="H268" s="7" t="s">
        <v>53</v>
      </c>
      <c r="I268" s="1">
        <v>36459</v>
      </c>
      <c r="J268">
        <v>504</v>
      </c>
    </row>
    <row r="269" spans="8:10">
      <c r="H269" s="7" t="s">
        <v>929</v>
      </c>
      <c r="I269" s="1">
        <v>8379</v>
      </c>
      <c r="J269">
        <v>427</v>
      </c>
    </row>
    <row r="270" spans="8:10">
      <c r="H270" s="7" t="s">
        <v>735</v>
      </c>
      <c r="I270" s="1">
        <v>22675</v>
      </c>
      <c r="J270">
        <v>1337</v>
      </c>
    </row>
    <row r="271" spans="8:10">
      <c r="H271" s="7" t="s">
        <v>853</v>
      </c>
      <c r="I271" s="1">
        <v>30785</v>
      </c>
      <c r="J271">
        <v>415</v>
      </c>
    </row>
    <row r="272" spans="8:10">
      <c r="H272" s="7" t="s">
        <v>301</v>
      </c>
      <c r="I272" s="1">
        <v>1329</v>
      </c>
      <c r="J272">
        <v>1437</v>
      </c>
    </row>
    <row r="273" spans="8:10">
      <c r="H273" s="7" t="s">
        <v>751</v>
      </c>
      <c r="I273" s="1">
        <v>39240</v>
      </c>
      <c r="J273">
        <v>514</v>
      </c>
    </row>
    <row r="274" spans="8:10">
      <c r="H274" s="7" t="s">
        <v>94</v>
      </c>
      <c r="I274" s="1">
        <v>29042</v>
      </c>
      <c r="J274">
        <v>1044</v>
      </c>
    </row>
    <row r="275" spans="8:10">
      <c r="H275" s="7" t="s">
        <v>304</v>
      </c>
      <c r="I275" s="1">
        <v>1492</v>
      </c>
      <c r="J275">
        <v>1882</v>
      </c>
    </row>
    <row r="276" spans="8:10">
      <c r="H276" s="7" t="s">
        <v>324</v>
      </c>
      <c r="I276" s="1">
        <v>30313</v>
      </c>
      <c r="J276">
        <v>1238</v>
      </c>
    </row>
    <row r="277" spans="8:10">
      <c r="H277" s="7" t="s">
        <v>101</v>
      </c>
      <c r="I277" s="1">
        <v>7678</v>
      </c>
      <c r="J277">
        <v>1703</v>
      </c>
    </row>
    <row r="278" spans="8:10">
      <c r="H278" s="7" t="s">
        <v>319</v>
      </c>
      <c r="I278" s="1">
        <v>26976</v>
      </c>
      <c r="J278">
        <v>1696</v>
      </c>
    </row>
    <row r="279" spans="8:10">
      <c r="H279" s="7" t="s">
        <v>532</v>
      </c>
      <c r="I279" s="1">
        <v>30359</v>
      </c>
      <c r="J279">
        <v>1496</v>
      </c>
    </row>
    <row r="280" spans="8:10">
      <c r="H280" s="7" t="s">
        <v>278</v>
      </c>
      <c r="I280" s="1">
        <v>30214</v>
      </c>
      <c r="J280">
        <v>828</v>
      </c>
    </row>
    <row r="281" spans="8:10">
      <c r="H281" s="7" t="s">
        <v>269</v>
      </c>
      <c r="I281" s="1">
        <v>1486</v>
      </c>
      <c r="J281">
        <v>1048</v>
      </c>
    </row>
    <row r="282" spans="8:10">
      <c r="H282" s="7" t="s">
        <v>338</v>
      </c>
      <c r="I282" s="1">
        <v>23543</v>
      </c>
      <c r="J282">
        <v>1095</v>
      </c>
    </row>
    <row r="283" spans="8:10">
      <c r="H283" s="7" t="s">
        <v>511</v>
      </c>
      <c r="I283" s="1">
        <v>11137</v>
      </c>
      <c r="J283">
        <v>1743</v>
      </c>
    </row>
    <row r="284" spans="8:10">
      <c r="H284" s="7" t="s">
        <v>575</v>
      </c>
      <c r="I284" s="1">
        <v>3760</v>
      </c>
      <c r="J284">
        <v>1071</v>
      </c>
    </row>
    <row r="285" spans="8:10">
      <c r="H285" s="7" t="s">
        <v>207</v>
      </c>
      <c r="I285" s="1">
        <v>19752</v>
      </c>
      <c r="J285">
        <v>1267</v>
      </c>
    </row>
    <row r="286" spans="8:10">
      <c r="H286" s="7" t="s">
        <v>265</v>
      </c>
      <c r="I286" s="1">
        <v>32783</v>
      </c>
      <c r="J286">
        <v>522</v>
      </c>
    </row>
    <row r="287" spans="8:10">
      <c r="H287" s="7" t="s">
        <v>886</v>
      </c>
      <c r="I287" s="1">
        <v>21795</v>
      </c>
      <c r="J287">
        <v>249</v>
      </c>
    </row>
    <row r="288" spans="8:10">
      <c r="H288" s="7" t="s">
        <v>140</v>
      </c>
      <c r="I288" s="1">
        <v>35016</v>
      </c>
      <c r="J288">
        <v>848</v>
      </c>
    </row>
    <row r="289" spans="8:10">
      <c r="H289" s="7" t="s">
        <v>375</v>
      </c>
      <c r="I289" s="1">
        <v>5489</v>
      </c>
      <c r="J289">
        <v>1532</v>
      </c>
    </row>
    <row r="290" spans="8:10">
      <c r="H290" s="7" t="s">
        <v>848</v>
      </c>
      <c r="I290" s="1">
        <v>17817</v>
      </c>
      <c r="J290">
        <v>729</v>
      </c>
    </row>
    <row r="291" spans="8:10">
      <c r="H291" s="7" t="s">
        <v>992</v>
      </c>
      <c r="I291" s="1">
        <v>25909</v>
      </c>
      <c r="J291">
        <v>1128</v>
      </c>
    </row>
    <row r="292" spans="8:10">
      <c r="H292" s="7" t="s">
        <v>209</v>
      </c>
      <c r="I292" s="1">
        <v>7794</v>
      </c>
      <c r="J292">
        <v>667</v>
      </c>
    </row>
    <row r="293" spans="8:10">
      <c r="H293" s="7" t="s">
        <v>133</v>
      </c>
      <c r="I293" s="1">
        <v>28304</v>
      </c>
      <c r="J293">
        <v>1423</v>
      </c>
    </row>
    <row r="294" spans="8:10">
      <c r="H294" s="7" t="s">
        <v>156</v>
      </c>
      <c r="I294" s="1">
        <v>37244</v>
      </c>
      <c r="J294">
        <v>1913</v>
      </c>
    </row>
    <row r="295" spans="8:10">
      <c r="H295" s="7" t="s">
        <v>793</v>
      </c>
      <c r="I295" s="1">
        <v>24265</v>
      </c>
      <c r="J295">
        <v>201</v>
      </c>
    </row>
    <row r="296" spans="8:10">
      <c r="H296" s="7" t="s">
        <v>145</v>
      </c>
      <c r="I296" s="1">
        <v>39757</v>
      </c>
      <c r="J296">
        <v>1192</v>
      </c>
    </row>
    <row r="297" spans="8:10">
      <c r="H297" s="7" t="s">
        <v>243</v>
      </c>
      <c r="I297" s="1">
        <v>45953</v>
      </c>
      <c r="J297">
        <v>379</v>
      </c>
    </row>
    <row r="298" spans="8:10">
      <c r="H298" s="7" t="s">
        <v>641</v>
      </c>
      <c r="I298" s="1">
        <v>30721</v>
      </c>
      <c r="J298">
        <v>1902</v>
      </c>
    </row>
    <row r="299" spans="8:10">
      <c r="H299" s="7" t="s">
        <v>429</v>
      </c>
      <c r="I299" s="1">
        <v>21133</v>
      </c>
      <c r="J299">
        <v>1657</v>
      </c>
    </row>
    <row r="300" spans="8:10">
      <c r="H300" s="7" t="s">
        <v>710</v>
      </c>
      <c r="I300" s="1">
        <v>24977</v>
      </c>
      <c r="J300">
        <v>1271</v>
      </c>
    </row>
    <row r="301" spans="8:10">
      <c r="H301" s="7" t="s">
        <v>973</v>
      </c>
      <c r="I301" s="1">
        <v>40826</v>
      </c>
      <c r="J301">
        <v>946</v>
      </c>
    </row>
    <row r="302" spans="8:10">
      <c r="H302" s="7" t="s">
        <v>819</v>
      </c>
      <c r="I302" s="1">
        <v>45168</v>
      </c>
      <c r="J302">
        <v>854</v>
      </c>
    </row>
    <row r="303" spans="8:10">
      <c r="H303" s="7" t="s">
        <v>298</v>
      </c>
      <c r="I303" s="1">
        <v>44954</v>
      </c>
      <c r="J303">
        <v>1388</v>
      </c>
    </row>
    <row r="304" spans="8:10">
      <c r="H304" s="7" t="s">
        <v>1021</v>
      </c>
      <c r="I304" s="1">
        <v>39318</v>
      </c>
      <c r="J304">
        <v>868</v>
      </c>
    </row>
    <row r="305" spans="8:10">
      <c r="H305" s="7" t="s">
        <v>428</v>
      </c>
      <c r="I305" s="1">
        <v>39952</v>
      </c>
      <c r="J305">
        <v>1208</v>
      </c>
    </row>
    <row r="306" spans="8:10">
      <c r="H306" s="7" t="s">
        <v>941</v>
      </c>
      <c r="I306" s="1">
        <v>35441</v>
      </c>
      <c r="J306">
        <v>247</v>
      </c>
    </row>
    <row r="307" spans="8:10">
      <c r="H307" s="7" t="s">
        <v>279</v>
      </c>
      <c r="I307" s="1">
        <v>10749</v>
      </c>
      <c r="J307">
        <v>453</v>
      </c>
    </row>
    <row r="308" spans="8:10">
      <c r="H308" s="7" t="s">
        <v>247</v>
      </c>
      <c r="I308" s="1">
        <v>5040</v>
      </c>
      <c r="J308">
        <v>982</v>
      </c>
    </row>
    <row r="309" spans="8:10">
      <c r="H309" s="7" t="s">
        <v>986</v>
      </c>
      <c r="I309" s="1">
        <v>22075</v>
      </c>
      <c r="J309">
        <v>971</v>
      </c>
    </row>
    <row r="310" spans="8:10">
      <c r="H310" s="7" t="s">
        <v>680</v>
      </c>
      <c r="I310" s="1">
        <v>35394</v>
      </c>
      <c r="J310">
        <v>1888</v>
      </c>
    </row>
    <row r="311" spans="8:10">
      <c r="H311" s="7" t="s">
        <v>808</v>
      </c>
      <c r="I311" s="1">
        <v>28361</v>
      </c>
      <c r="J311">
        <v>1709</v>
      </c>
    </row>
    <row r="312" spans="8:10">
      <c r="H312" s="7" t="s">
        <v>561</v>
      </c>
      <c r="I312" s="1">
        <v>27570</v>
      </c>
      <c r="J312">
        <v>1191</v>
      </c>
    </row>
    <row r="313" spans="8:10">
      <c r="H313" s="7" t="s">
        <v>888</v>
      </c>
      <c r="I313" s="1">
        <v>18265</v>
      </c>
      <c r="J313">
        <v>1951</v>
      </c>
    </row>
    <row r="314" spans="8:10">
      <c r="H314" s="7" t="s">
        <v>68</v>
      </c>
      <c r="I314" s="1">
        <v>23153</v>
      </c>
      <c r="J314">
        <v>223</v>
      </c>
    </row>
    <row r="315" spans="8:10">
      <c r="H315" s="7" t="s">
        <v>322</v>
      </c>
      <c r="I315" s="1">
        <v>25953</v>
      </c>
      <c r="J315">
        <v>609</v>
      </c>
    </row>
    <row r="316" spans="8:10">
      <c r="H316" s="7" t="s">
        <v>1011</v>
      </c>
      <c r="I316" s="1">
        <v>37893</v>
      </c>
      <c r="J316">
        <v>1529</v>
      </c>
    </row>
    <row r="317" spans="8:10">
      <c r="H317" s="7" t="s">
        <v>765</v>
      </c>
      <c r="I317" s="1">
        <v>29645</v>
      </c>
      <c r="J317">
        <v>1683</v>
      </c>
    </row>
    <row r="318" spans="8:10">
      <c r="H318" s="7" t="s">
        <v>936</v>
      </c>
      <c r="I318" s="1">
        <v>45734</v>
      </c>
      <c r="J318">
        <v>1367</v>
      </c>
    </row>
    <row r="319" spans="8:10">
      <c r="H319" s="7" t="s">
        <v>626</v>
      </c>
      <c r="I319" s="1">
        <v>24007</v>
      </c>
      <c r="J319">
        <v>1818</v>
      </c>
    </row>
    <row r="320" spans="8:10">
      <c r="H320" s="7" t="s">
        <v>190</v>
      </c>
      <c r="I320" s="1">
        <v>42397</v>
      </c>
      <c r="J320">
        <v>1811</v>
      </c>
    </row>
    <row r="321" spans="8:10">
      <c r="H321" s="7" t="s">
        <v>305</v>
      </c>
      <c r="I321" s="1">
        <v>40432</v>
      </c>
      <c r="J321">
        <v>1247</v>
      </c>
    </row>
    <row r="322" spans="8:10">
      <c r="H322" s="7" t="s">
        <v>910</v>
      </c>
      <c r="I322" s="1">
        <v>39197</v>
      </c>
      <c r="J322">
        <v>517</v>
      </c>
    </row>
    <row r="323" spans="8:10">
      <c r="H323" s="7" t="s">
        <v>208</v>
      </c>
      <c r="I323" s="1">
        <v>37074</v>
      </c>
      <c r="J323">
        <v>1834</v>
      </c>
    </row>
    <row r="324" spans="8:10">
      <c r="H324" s="7" t="s">
        <v>314</v>
      </c>
      <c r="I324" s="1">
        <v>43409</v>
      </c>
      <c r="J324">
        <v>314</v>
      </c>
    </row>
    <row r="325" spans="8:10">
      <c r="H325" s="7" t="s">
        <v>1023</v>
      </c>
      <c r="I325" s="1">
        <v>39173</v>
      </c>
      <c r="J325">
        <v>624</v>
      </c>
    </row>
    <row r="326" spans="8:10">
      <c r="H326" s="7" t="s">
        <v>233</v>
      </c>
      <c r="I326" s="1">
        <v>24090</v>
      </c>
      <c r="J326">
        <v>1180</v>
      </c>
    </row>
    <row r="327" spans="8:10">
      <c r="H327" s="7" t="s">
        <v>980</v>
      </c>
      <c r="I327" s="1">
        <v>49562</v>
      </c>
      <c r="J327">
        <v>696</v>
      </c>
    </row>
    <row r="328" spans="8:10">
      <c r="H328" s="7" t="s">
        <v>284</v>
      </c>
      <c r="I328" s="1">
        <v>29993</v>
      </c>
      <c r="J328">
        <v>460</v>
      </c>
    </row>
    <row r="329" spans="8:10">
      <c r="H329" s="7" t="s">
        <v>660</v>
      </c>
      <c r="I329" s="1">
        <v>15290</v>
      </c>
      <c r="J329">
        <v>1796</v>
      </c>
    </row>
    <row r="330" spans="8:10">
      <c r="H330" s="7" t="s">
        <v>638</v>
      </c>
      <c r="I330" s="1">
        <v>38948</v>
      </c>
      <c r="J330">
        <v>826</v>
      </c>
    </row>
    <row r="331" spans="8:10">
      <c r="H331" s="7" t="s">
        <v>350</v>
      </c>
      <c r="I331" s="1">
        <v>41442</v>
      </c>
      <c r="J331">
        <v>1075</v>
      </c>
    </row>
    <row r="332" spans="8:10">
      <c r="H332" s="7" t="s">
        <v>904</v>
      </c>
      <c r="I332" s="1">
        <v>47839</v>
      </c>
      <c r="J332">
        <v>465</v>
      </c>
    </row>
    <row r="333" spans="8:10">
      <c r="H333" s="7" t="s">
        <v>363</v>
      </c>
      <c r="I333" s="1">
        <v>37249</v>
      </c>
      <c r="J333">
        <v>1691</v>
      </c>
    </row>
    <row r="334" spans="8:10">
      <c r="H334" s="7" t="s">
        <v>204</v>
      </c>
      <c r="I334" s="1">
        <v>46339</v>
      </c>
      <c r="J334">
        <v>390</v>
      </c>
    </row>
    <row r="335" spans="8:10">
      <c r="H335" s="7" t="s">
        <v>464</v>
      </c>
      <c r="I335" s="1">
        <v>20986</v>
      </c>
      <c r="J335">
        <v>440</v>
      </c>
    </row>
    <row r="336" spans="8:10">
      <c r="H336" s="7" t="s">
        <v>580</v>
      </c>
      <c r="I336" s="1">
        <v>45836</v>
      </c>
      <c r="J336">
        <v>470</v>
      </c>
    </row>
    <row r="337" spans="8:10">
      <c r="H337" s="7" t="s">
        <v>555</v>
      </c>
      <c r="I337" s="1">
        <v>6130</v>
      </c>
      <c r="J337">
        <v>954</v>
      </c>
    </row>
    <row r="338" spans="8:10">
      <c r="H338" s="7" t="s">
        <v>200</v>
      </c>
      <c r="I338" s="1">
        <v>21818</v>
      </c>
      <c r="J338">
        <v>1623</v>
      </c>
    </row>
    <row r="339" spans="8:10">
      <c r="H339" s="7" t="s">
        <v>135</v>
      </c>
      <c r="I339" s="1">
        <v>34115</v>
      </c>
      <c r="J339">
        <v>1908</v>
      </c>
    </row>
    <row r="340" spans="8:10">
      <c r="H340" s="7" t="s">
        <v>1015</v>
      </c>
      <c r="I340" s="1">
        <v>30037</v>
      </c>
      <c r="J340">
        <v>1169</v>
      </c>
    </row>
    <row r="341" spans="8:10">
      <c r="H341" s="7" t="s">
        <v>598</v>
      </c>
      <c r="I341" s="1">
        <v>42076</v>
      </c>
      <c r="J341">
        <v>1696</v>
      </c>
    </row>
    <row r="342" spans="8:10">
      <c r="H342" s="7" t="s">
        <v>549</v>
      </c>
      <c r="I342" s="1">
        <v>28332</v>
      </c>
      <c r="J342">
        <v>539</v>
      </c>
    </row>
    <row r="343" spans="8:10">
      <c r="H343" s="7" t="s">
        <v>315</v>
      </c>
      <c r="I343" s="1">
        <v>46392</v>
      </c>
      <c r="J343">
        <v>504</v>
      </c>
    </row>
    <row r="344" spans="8:10">
      <c r="H344" s="7" t="s">
        <v>839</v>
      </c>
      <c r="I344" s="1">
        <v>33901</v>
      </c>
      <c r="J344">
        <v>737</v>
      </c>
    </row>
    <row r="345" spans="8:10">
      <c r="H345" s="7" t="s">
        <v>163</v>
      </c>
      <c r="I345" s="1">
        <v>9657</v>
      </c>
      <c r="J345">
        <v>469</v>
      </c>
    </row>
    <row r="346" spans="8:10">
      <c r="H346" s="7" t="s">
        <v>1000</v>
      </c>
      <c r="I346" s="1">
        <v>27023</v>
      </c>
      <c r="J346">
        <v>369</v>
      </c>
    </row>
    <row r="347" spans="8:10">
      <c r="H347" s="7" t="s">
        <v>591</v>
      </c>
      <c r="I347" s="1">
        <v>19148</v>
      </c>
      <c r="J347">
        <v>1503</v>
      </c>
    </row>
    <row r="348" spans="8:10">
      <c r="H348" s="7" t="s">
        <v>742</v>
      </c>
      <c r="I348" s="1">
        <v>49986</v>
      </c>
      <c r="J348">
        <v>1665</v>
      </c>
    </row>
    <row r="349" spans="8:10">
      <c r="H349" s="7" t="s">
        <v>856</v>
      </c>
      <c r="I349" s="1">
        <v>39307</v>
      </c>
      <c r="J349">
        <v>983</v>
      </c>
    </row>
    <row r="350" spans="8:10">
      <c r="H350" s="7" t="s">
        <v>148</v>
      </c>
      <c r="I350" s="1">
        <v>44592</v>
      </c>
      <c r="J350">
        <v>1943</v>
      </c>
    </row>
    <row r="351" spans="8:10">
      <c r="H351" s="7" t="s">
        <v>174</v>
      </c>
      <c r="I351" s="1">
        <v>5211</v>
      </c>
      <c r="J351">
        <v>206</v>
      </c>
    </row>
    <row r="352" spans="8:10">
      <c r="H352" s="7" t="s">
        <v>968</v>
      </c>
      <c r="I352" s="1">
        <v>9606</v>
      </c>
      <c r="J352">
        <v>1705</v>
      </c>
    </row>
    <row r="353" spans="8:10">
      <c r="H353" s="7" t="s">
        <v>23</v>
      </c>
      <c r="I353" s="1">
        <v>48717</v>
      </c>
      <c r="J353">
        <v>1194</v>
      </c>
    </row>
    <row r="354" spans="8:10">
      <c r="H354" s="7" t="s">
        <v>425</v>
      </c>
      <c r="I354" s="1">
        <v>45719</v>
      </c>
      <c r="J354">
        <v>1394</v>
      </c>
    </row>
    <row r="355" spans="8:10">
      <c r="H355" s="7" t="s">
        <v>113</v>
      </c>
      <c r="I355" s="1">
        <v>18797</v>
      </c>
      <c r="J355">
        <v>151</v>
      </c>
    </row>
    <row r="356" spans="8:10">
      <c r="H356" s="7" t="s">
        <v>253</v>
      </c>
      <c r="I356" s="1">
        <v>46616</v>
      </c>
      <c r="J356">
        <v>1540</v>
      </c>
    </row>
    <row r="357" spans="8:10">
      <c r="H357" s="7" t="s">
        <v>306</v>
      </c>
      <c r="I357" s="1">
        <v>14261</v>
      </c>
      <c r="J357">
        <v>1989</v>
      </c>
    </row>
    <row r="358" spans="8:10">
      <c r="H358" s="7" t="s">
        <v>711</v>
      </c>
      <c r="I358" s="1">
        <v>3422</v>
      </c>
      <c r="J358">
        <v>255</v>
      </c>
    </row>
    <row r="359" spans="8:10">
      <c r="H359" s="7" t="s">
        <v>745</v>
      </c>
      <c r="I359" s="1">
        <v>45903</v>
      </c>
      <c r="J359">
        <v>1397</v>
      </c>
    </row>
    <row r="360" spans="8:10">
      <c r="H360" s="7" t="s">
        <v>189</v>
      </c>
      <c r="I360" s="1">
        <v>38185</v>
      </c>
      <c r="J360">
        <v>604</v>
      </c>
    </row>
    <row r="361" spans="8:10">
      <c r="H361" s="7" t="s">
        <v>255</v>
      </c>
      <c r="I361" s="1">
        <v>26054</v>
      </c>
      <c r="J361">
        <v>428</v>
      </c>
    </row>
    <row r="362" spans="8:10">
      <c r="H362" s="7" t="s">
        <v>773</v>
      </c>
      <c r="I362" s="1">
        <v>13102</v>
      </c>
      <c r="J362">
        <v>302</v>
      </c>
    </row>
    <row r="363" spans="8:10">
      <c r="H363" s="7" t="s">
        <v>217</v>
      </c>
      <c r="I363" s="1">
        <v>42355</v>
      </c>
      <c r="J363">
        <v>575</v>
      </c>
    </row>
    <row r="364" spans="8:10">
      <c r="H364" s="7" t="s">
        <v>788</v>
      </c>
      <c r="I364" s="1">
        <v>49452</v>
      </c>
      <c r="J364">
        <v>938</v>
      </c>
    </row>
    <row r="365" spans="8:10">
      <c r="H365" s="7" t="s">
        <v>854</v>
      </c>
      <c r="I365" s="1">
        <v>32408</v>
      </c>
      <c r="J365">
        <v>1507</v>
      </c>
    </row>
    <row r="366" spans="8:10">
      <c r="H366" s="7" t="s">
        <v>524</v>
      </c>
      <c r="I366" s="1">
        <v>49772</v>
      </c>
      <c r="J366">
        <v>1821</v>
      </c>
    </row>
    <row r="367" spans="8:10">
      <c r="H367" s="7" t="s">
        <v>818</v>
      </c>
      <c r="I367" s="1">
        <v>18160</v>
      </c>
      <c r="J367">
        <v>1578</v>
      </c>
    </row>
    <row r="368" spans="8:10">
      <c r="H368" s="7" t="s">
        <v>376</v>
      </c>
      <c r="I368" s="1">
        <v>11345</v>
      </c>
      <c r="J368">
        <v>1786</v>
      </c>
    </row>
    <row r="369" spans="8:10">
      <c r="H369" s="7" t="s">
        <v>604</v>
      </c>
      <c r="I369" s="1">
        <v>34565</v>
      </c>
      <c r="J369">
        <v>648</v>
      </c>
    </row>
    <row r="370" spans="8:10">
      <c r="H370" s="7" t="s">
        <v>259</v>
      </c>
      <c r="I370" s="1">
        <v>36153</v>
      </c>
      <c r="J370">
        <v>105</v>
      </c>
    </row>
    <row r="371" spans="8:10">
      <c r="H371" s="7" t="s">
        <v>815</v>
      </c>
      <c r="I371" s="1">
        <v>3961</v>
      </c>
      <c r="J371">
        <v>519</v>
      </c>
    </row>
    <row r="372" spans="8:10">
      <c r="H372" s="7" t="s">
        <v>593</v>
      </c>
      <c r="I372" s="1">
        <v>12727</v>
      </c>
      <c r="J372">
        <v>1215</v>
      </c>
    </row>
    <row r="373" spans="8:10">
      <c r="H373" s="7" t="s">
        <v>291</v>
      </c>
      <c r="I373" s="1">
        <v>30761</v>
      </c>
      <c r="J373">
        <v>1713</v>
      </c>
    </row>
    <row r="374" spans="8:10">
      <c r="H374" s="7" t="s">
        <v>1025</v>
      </c>
      <c r="I374" s="1">
        <v>3950</v>
      </c>
      <c r="J374">
        <v>1705</v>
      </c>
    </row>
    <row r="375" spans="8:10">
      <c r="H375" s="7" t="s">
        <v>896</v>
      </c>
      <c r="I375" s="1">
        <v>33794</v>
      </c>
      <c r="J375">
        <v>1131</v>
      </c>
    </row>
    <row r="376" spans="8:10">
      <c r="H376" s="7" t="s">
        <v>899</v>
      </c>
      <c r="I376" s="1">
        <v>19199</v>
      </c>
      <c r="J376">
        <v>689</v>
      </c>
    </row>
    <row r="377" spans="8:10">
      <c r="H377" s="7" t="s">
        <v>691</v>
      </c>
      <c r="I377" s="1">
        <v>13155</v>
      </c>
      <c r="J377">
        <v>319</v>
      </c>
    </row>
    <row r="378" spans="8:10">
      <c r="H378" s="7" t="s">
        <v>160</v>
      </c>
      <c r="I378" s="1">
        <v>19413</v>
      </c>
      <c r="J378">
        <v>405</v>
      </c>
    </row>
    <row r="379" spans="8:10">
      <c r="H379" s="7" t="s">
        <v>252</v>
      </c>
      <c r="I379" s="1">
        <v>80353</v>
      </c>
      <c r="J379">
        <v>2781</v>
      </c>
    </row>
    <row r="380" spans="8:10">
      <c r="H380" s="7" t="s">
        <v>865</v>
      </c>
      <c r="I380" s="1">
        <v>28115</v>
      </c>
      <c r="J380">
        <v>174</v>
      </c>
    </row>
    <row r="381" spans="8:10">
      <c r="H381" s="7" t="s">
        <v>776</v>
      </c>
      <c r="I381" s="1">
        <v>29008</v>
      </c>
      <c r="J381">
        <v>1325</v>
      </c>
    </row>
    <row r="382" spans="8:10">
      <c r="H382" s="7" t="s">
        <v>266</v>
      </c>
      <c r="I382" s="1">
        <v>9722</v>
      </c>
      <c r="J382">
        <v>302</v>
      </c>
    </row>
    <row r="383" spans="8:10">
      <c r="H383" s="7" t="s">
        <v>832</v>
      </c>
      <c r="I383" s="1">
        <v>3639</v>
      </c>
      <c r="J383">
        <v>130</v>
      </c>
    </row>
    <row r="384" spans="8:10">
      <c r="H384" s="7" t="s">
        <v>394</v>
      </c>
      <c r="I384" s="1">
        <v>15799</v>
      </c>
      <c r="J384">
        <v>1221</v>
      </c>
    </row>
    <row r="385" spans="8:10">
      <c r="H385" s="7" t="s">
        <v>423</v>
      </c>
      <c r="I385" s="1">
        <v>22277</v>
      </c>
      <c r="J385">
        <v>1120</v>
      </c>
    </row>
    <row r="386" spans="8:10">
      <c r="H386" s="7" t="s">
        <v>885</v>
      </c>
      <c r="I386" s="1">
        <v>43247</v>
      </c>
      <c r="J386">
        <v>1432</v>
      </c>
    </row>
    <row r="387" spans="8:10">
      <c r="H387" s="7" t="s">
        <v>272</v>
      </c>
      <c r="I387" s="1">
        <v>19153</v>
      </c>
      <c r="J387">
        <v>141</v>
      </c>
    </row>
    <row r="388" spans="8:10">
      <c r="H388" s="7" t="s">
        <v>587</v>
      </c>
      <c r="I388" s="1">
        <v>30566</v>
      </c>
      <c r="J388">
        <v>1334</v>
      </c>
    </row>
    <row r="389" spans="8:10">
      <c r="H389" s="7" t="s">
        <v>401</v>
      </c>
      <c r="I389" s="1">
        <v>12514</v>
      </c>
      <c r="J389">
        <v>1135</v>
      </c>
    </row>
    <row r="390" spans="8:10">
      <c r="H390" s="7" t="s">
        <v>806</v>
      </c>
      <c r="I390" s="1">
        <v>41566</v>
      </c>
      <c r="J390">
        <v>580</v>
      </c>
    </row>
    <row r="391" spans="8:10">
      <c r="H391" s="7" t="s">
        <v>128</v>
      </c>
      <c r="I391" s="1">
        <v>22945</v>
      </c>
      <c r="J391">
        <v>1738</v>
      </c>
    </row>
    <row r="392" spans="8:10">
      <c r="H392" s="7" t="s">
        <v>634</v>
      </c>
      <c r="I392" s="1">
        <v>42968</v>
      </c>
      <c r="J392">
        <v>662</v>
      </c>
    </row>
    <row r="393" spans="8:10">
      <c r="H393" s="7" t="s">
        <v>105</v>
      </c>
      <c r="I393" s="1">
        <v>17900</v>
      </c>
      <c r="J393">
        <v>995</v>
      </c>
    </row>
    <row r="394" spans="8:10">
      <c r="H394" s="7" t="s">
        <v>791</v>
      </c>
      <c r="I394" s="1">
        <v>3735</v>
      </c>
      <c r="J394">
        <v>1358</v>
      </c>
    </row>
    <row r="395" spans="8:10">
      <c r="H395" s="7" t="s">
        <v>176</v>
      </c>
      <c r="I395" s="1">
        <v>24284</v>
      </c>
      <c r="J395">
        <v>1503</v>
      </c>
    </row>
    <row r="396" spans="8:10">
      <c r="H396" s="7" t="s">
        <v>168</v>
      </c>
      <c r="I396" s="1">
        <v>37526</v>
      </c>
      <c r="J396">
        <v>179</v>
      </c>
    </row>
    <row r="397" spans="8:10">
      <c r="H397" s="7" t="s">
        <v>897</v>
      </c>
      <c r="I397" s="1">
        <v>40903</v>
      </c>
      <c r="J397">
        <v>1415</v>
      </c>
    </row>
    <row r="398" spans="8:10">
      <c r="H398" s="7" t="s">
        <v>474</v>
      </c>
      <c r="I398" s="1">
        <v>43000</v>
      </c>
      <c r="J398">
        <v>1434</v>
      </c>
    </row>
    <row r="399" spans="8:10">
      <c r="H399" s="7" t="s">
        <v>124</v>
      </c>
      <c r="I399" s="1">
        <v>8234</v>
      </c>
      <c r="J399">
        <v>1921</v>
      </c>
    </row>
    <row r="400" spans="8:10">
      <c r="H400" s="7" t="s">
        <v>938</v>
      </c>
      <c r="I400" s="1">
        <v>49294</v>
      </c>
      <c r="J400">
        <v>824</v>
      </c>
    </row>
    <row r="401" spans="8:10">
      <c r="H401" s="7" t="s">
        <v>1003</v>
      </c>
      <c r="I401" s="1">
        <v>5852</v>
      </c>
      <c r="J401">
        <v>433</v>
      </c>
    </row>
    <row r="402" spans="8:10">
      <c r="H402" s="7" t="s">
        <v>87</v>
      </c>
      <c r="I402" s="1">
        <v>16211</v>
      </c>
      <c r="J402">
        <v>1741</v>
      </c>
    </row>
    <row r="403" spans="8:10">
      <c r="H403" s="7" t="s">
        <v>323</v>
      </c>
      <c r="I403" s="1">
        <v>4779</v>
      </c>
      <c r="J403">
        <v>1199</v>
      </c>
    </row>
    <row r="404" spans="8:10">
      <c r="H404" s="7" t="s">
        <v>637</v>
      </c>
      <c r="I404" s="1">
        <v>45203</v>
      </c>
      <c r="J404">
        <v>1174</v>
      </c>
    </row>
    <row r="405" spans="8:10">
      <c r="H405" s="7" t="s">
        <v>125</v>
      </c>
      <c r="I405" s="1">
        <v>11906</v>
      </c>
      <c r="J405">
        <v>1907</v>
      </c>
    </row>
    <row r="406" spans="8:10">
      <c r="H406" s="7" t="s">
        <v>681</v>
      </c>
      <c r="I406" s="1">
        <v>26804</v>
      </c>
      <c r="J406">
        <v>1623</v>
      </c>
    </row>
    <row r="407" spans="8:10">
      <c r="H407" s="7" t="s">
        <v>669</v>
      </c>
      <c r="I407" s="1">
        <v>3690</v>
      </c>
      <c r="J407">
        <v>973</v>
      </c>
    </row>
    <row r="408" spans="8:10">
      <c r="H408" s="7" t="s">
        <v>704</v>
      </c>
      <c r="I408" s="1">
        <v>48696</v>
      </c>
      <c r="J408">
        <v>488</v>
      </c>
    </row>
    <row r="409" spans="8:10">
      <c r="H409" s="7" t="s">
        <v>781</v>
      </c>
      <c r="I409" s="1">
        <v>37678</v>
      </c>
      <c r="J409">
        <v>1032</v>
      </c>
    </row>
    <row r="410" spans="8:10">
      <c r="H410" s="7" t="s">
        <v>523</v>
      </c>
      <c r="I410" s="1">
        <v>26345</v>
      </c>
      <c r="J410">
        <v>1028</v>
      </c>
    </row>
    <row r="411" spans="8:10">
      <c r="H411" s="7" t="s">
        <v>862</v>
      </c>
      <c r="I411" s="1">
        <v>40997</v>
      </c>
      <c r="J411">
        <v>1284</v>
      </c>
    </row>
    <row r="412" spans="8:10">
      <c r="H412" s="7" t="s">
        <v>775</v>
      </c>
      <c r="I412" s="1">
        <v>10837</v>
      </c>
      <c r="J412">
        <v>507</v>
      </c>
    </row>
    <row r="413" spans="8:10">
      <c r="H413" s="7" t="s">
        <v>950</v>
      </c>
      <c r="I413" s="1">
        <v>38333</v>
      </c>
      <c r="J413">
        <v>413</v>
      </c>
    </row>
    <row r="414" spans="8:10">
      <c r="H414" s="7" t="s">
        <v>578</v>
      </c>
      <c r="I414" s="1">
        <v>33505</v>
      </c>
      <c r="J414">
        <v>1479</v>
      </c>
    </row>
    <row r="415" spans="8:10">
      <c r="H415" s="7" t="s">
        <v>109</v>
      </c>
      <c r="I415" s="1">
        <v>25411</v>
      </c>
      <c r="J415">
        <v>814</v>
      </c>
    </row>
    <row r="416" spans="8:10">
      <c r="H416" s="7" t="s">
        <v>785</v>
      </c>
      <c r="I416" s="1">
        <v>6442</v>
      </c>
      <c r="J416">
        <v>1915</v>
      </c>
    </row>
    <row r="417" spans="8:10">
      <c r="H417" s="7" t="s">
        <v>579</v>
      </c>
      <c r="I417" s="1">
        <v>23360</v>
      </c>
      <c r="J417">
        <v>405</v>
      </c>
    </row>
    <row r="418" spans="8:10">
      <c r="H418" s="7" t="s">
        <v>143</v>
      </c>
      <c r="I418" s="1">
        <v>12572</v>
      </c>
      <c r="J418">
        <v>536</v>
      </c>
    </row>
    <row r="419" spans="8:10">
      <c r="H419" s="7" t="s">
        <v>162</v>
      </c>
      <c r="I419" s="1">
        <v>35677</v>
      </c>
      <c r="J419">
        <v>1863</v>
      </c>
    </row>
    <row r="420" spans="8:10">
      <c r="H420" s="7" t="s">
        <v>688</v>
      </c>
      <c r="I420" s="1">
        <v>48095</v>
      </c>
      <c r="J420">
        <v>1689</v>
      </c>
    </row>
    <row r="421" spans="8:10">
      <c r="H421" s="7" t="s">
        <v>902</v>
      </c>
      <c r="I421" s="1">
        <v>17741</v>
      </c>
      <c r="J421">
        <v>124</v>
      </c>
    </row>
    <row r="422" spans="8:10">
      <c r="H422" s="7" t="s">
        <v>784</v>
      </c>
      <c r="I422" s="1">
        <v>37206</v>
      </c>
      <c r="J422">
        <v>585</v>
      </c>
    </row>
    <row r="423" spans="8:10">
      <c r="H423" s="7" t="s">
        <v>309</v>
      </c>
      <c r="I423" s="1">
        <v>40651</v>
      </c>
      <c r="J423">
        <v>135</v>
      </c>
    </row>
    <row r="424" spans="8:10">
      <c r="H424" s="7" t="s">
        <v>960</v>
      </c>
      <c r="I424" s="1">
        <v>13847</v>
      </c>
      <c r="J424">
        <v>375</v>
      </c>
    </row>
    <row r="425" spans="8:10">
      <c r="H425" s="7" t="s">
        <v>473</v>
      </c>
      <c r="I425" s="1">
        <v>34127</v>
      </c>
      <c r="J425">
        <v>755</v>
      </c>
    </row>
    <row r="426" spans="8:10">
      <c r="H426" s="7" t="s">
        <v>91</v>
      </c>
      <c r="I426" s="1">
        <v>3801</v>
      </c>
      <c r="J426">
        <v>1315</v>
      </c>
    </row>
    <row r="427" spans="8:10">
      <c r="H427" s="7" t="s">
        <v>40</v>
      </c>
      <c r="I427" s="1">
        <v>7552</v>
      </c>
      <c r="J427">
        <v>619</v>
      </c>
    </row>
    <row r="428" spans="8:10">
      <c r="H428" s="7" t="s">
        <v>787</v>
      </c>
      <c r="I428" s="1">
        <v>17927</v>
      </c>
      <c r="J428">
        <v>728</v>
      </c>
    </row>
    <row r="429" spans="8:10">
      <c r="H429" s="7" t="s">
        <v>816</v>
      </c>
      <c r="I429" s="1">
        <v>9822</v>
      </c>
      <c r="J429">
        <v>1355</v>
      </c>
    </row>
    <row r="430" spans="8:10">
      <c r="H430" s="7" t="s">
        <v>248</v>
      </c>
      <c r="I430" s="1">
        <v>33003</v>
      </c>
      <c r="J430">
        <v>401</v>
      </c>
    </row>
    <row r="431" spans="8:10">
      <c r="H431" s="7" t="s">
        <v>181</v>
      </c>
      <c r="I431" s="1">
        <v>30435</v>
      </c>
      <c r="J431">
        <v>1872</v>
      </c>
    </row>
    <row r="432" spans="8:10">
      <c r="H432" s="7" t="s">
        <v>898</v>
      </c>
      <c r="I432" s="1">
        <v>27260</v>
      </c>
      <c r="J432">
        <v>1737</v>
      </c>
    </row>
    <row r="433" spans="8:10">
      <c r="H433" s="7" t="s">
        <v>374</v>
      </c>
      <c r="I433" s="1">
        <v>10708</v>
      </c>
      <c r="J433">
        <v>799</v>
      </c>
    </row>
    <row r="434" spans="8:10">
      <c r="H434" s="7" t="s">
        <v>381</v>
      </c>
      <c r="I434" s="1">
        <v>30905</v>
      </c>
      <c r="J434">
        <v>1728</v>
      </c>
    </row>
    <row r="435" spans="8:10">
      <c r="H435" s="7" t="s">
        <v>585</v>
      </c>
      <c r="I435" s="1">
        <v>11558</v>
      </c>
      <c r="J435">
        <v>1064</v>
      </c>
    </row>
    <row r="436" spans="8:10">
      <c r="H436" s="7" t="s">
        <v>605</v>
      </c>
      <c r="I436" s="1">
        <v>9190</v>
      </c>
      <c r="J436">
        <v>508</v>
      </c>
    </row>
    <row r="437" spans="8:10">
      <c r="H437" s="7" t="s">
        <v>744</v>
      </c>
      <c r="I437" s="1">
        <v>37823</v>
      </c>
      <c r="J437">
        <v>1348</v>
      </c>
    </row>
    <row r="438" spans="8:10">
      <c r="H438" s="7" t="s">
        <v>482</v>
      </c>
      <c r="I438" s="1">
        <v>12763</v>
      </c>
      <c r="J438">
        <v>924</v>
      </c>
    </row>
    <row r="439" spans="8:10">
      <c r="H439" s="7" t="s">
        <v>216</v>
      </c>
      <c r="I439" s="1">
        <v>49694</v>
      </c>
      <c r="J439">
        <v>1159</v>
      </c>
    </row>
    <row r="440" spans="8:10">
      <c r="H440" s="7" t="s">
        <v>226</v>
      </c>
      <c r="I440" s="1">
        <v>41152</v>
      </c>
      <c r="J440">
        <v>1915</v>
      </c>
    </row>
    <row r="441" spans="8:10">
      <c r="H441" s="7" t="s">
        <v>239</v>
      </c>
      <c r="I441" s="1">
        <v>4821</v>
      </c>
      <c r="J441">
        <v>565</v>
      </c>
    </row>
    <row r="442" spans="8:10">
      <c r="H442" s="7" t="s">
        <v>1035</v>
      </c>
      <c r="I442" s="1">
        <v>11238</v>
      </c>
      <c r="J442">
        <v>1552</v>
      </c>
    </row>
    <row r="443" spans="8:10">
      <c r="H443" s="7" t="s">
        <v>602</v>
      </c>
      <c r="I443" s="1">
        <v>14676</v>
      </c>
      <c r="J443">
        <v>1954</v>
      </c>
    </row>
    <row r="444" spans="8:10">
      <c r="H444" s="7" t="s">
        <v>308</v>
      </c>
      <c r="I444" s="1">
        <v>33782</v>
      </c>
      <c r="J444">
        <v>815</v>
      </c>
    </row>
    <row r="445" spans="8:10">
      <c r="H445" s="7" t="s">
        <v>234</v>
      </c>
      <c r="I445" s="1">
        <v>10545</v>
      </c>
      <c r="J445">
        <v>898</v>
      </c>
    </row>
    <row r="446" spans="8:10">
      <c r="H446" s="7" t="s">
        <v>110</v>
      </c>
      <c r="I446" s="1">
        <v>3809</v>
      </c>
      <c r="J446">
        <v>157</v>
      </c>
    </row>
    <row r="447" spans="8:10">
      <c r="H447" s="7" t="s">
        <v>790</v>
      </c>
      <c r="I447" s="1">
        <v>37610</v>
      </c>
      <c r="J447">
        <v>493</v>
      </c>
    </row>
    <row r="448" spans="8:10">
      <c r="H448" s="7" t="s">
        <v>439</v>
      </c>
      <c r="I448" s="1">
        <v>17960</v>
      </c>
      <c r="J448">
        <v>229</v>
      </c>
    </row>
    <row r="449" spans="8:10">
      <c r="H449" s="7" t="s">
        <v>203</v>
      </c>
      <c r="I449" s="1">
        <v>24941</v>
      </c>
      <c r="J449">
        <v>1466</v>
      </c>
    </row>
    <row r="450" spans="8:10">
      <c r="H450" s="7" t="s">
        <v>398</v>
      </c>
      <c r="I450" s="1">
        <v>15266</v>
      </c>
      <c r="J450">
        <v>902</v>
      </c>
    </row>
    <row r="451" spans="8:10">
      <c r="H451" s="7" t="s">
        <v>236</v>
      </c>
      <c r="I451" s="1">
        <v>12714</v>
      </c>
      <c r="J451">
        <v>909</v>
      </c>
    </row>
    <row r="452" spans="8:10">
      <c r="H452" s="7" t="s">
        <v>504</v>
      </c>
      <c r="I452" s="1">
        <v>39611</v>
      </c>
      <c r="J452">
        <v>1589</v>
      </c>
    </row>
    <row r="453" spans="8:10">
      <c r="H453" s="7" t="s">
        <v>573</v>
      </c>
      <c r="I453" s="1">
        <v>41305</v>
      </c>
      <c r="J453">
        <v>230</v>
      </c>
    </row>
    <row r="454" spans="8:10">
      <c r="H454" s="7" t="s">
        <v>1006</v>
      </c>
      <c r="I454" s="1">
        <v>14747</v>
      </c>
      <c r="J454">
        <v>700</v>
      </c>
    </row>
    <row r="455" spans="8:10">
      <c r="H455" s="7" t="s">
        <v>72</v>
      </c>
      <c r="I455" s="1">
        <v>23815</v>
      </c>
      <c r="J455">
        <v>1473</v>
      </c>
    </row>
    <row r="456" spans="8:10">
      <c r="H456" s="7" t="s">
        <v>830</v>
      </c>
      <c r="I456" s="1">
        <v>22816</v>
      </c>
      <c r="J456">
        <v>814</v>
      </c>
    </row>
    <row r="457" spans="8:10">
      <c r="H457" s="7" t="s">
        <v>1018</v>
      </c>
      <c r="I457" s="1">
        <v>1790</v>
      </c>
      <c r="J457">
        <v>999</v>
      </c>
    </row>
    <row r="458" spans="8:10">
      <c r="H458" s="7" t="s">
        <v>387</v>
      </c>
      <c r="I458" s="1">
        <v>25684</v>
      </c>
      <c r="J458">
        <v>1944</v>
      </c>
    </row>
    <row r="459" spans="8:10">
      <c r="H459" s="7" t="s">
        <v>399</v>
      </c>
      <c r="I459" s="1">
        <v>5128</v>
      </c>
      <c r="J459">
        <v>447</v>
      </c>
    </row>
    <row r="460" spans="8:10">
      <c r="H460" s="7" t="s">
        <v>299</v>
      </c>
      <c r="I460" s="1">
        <v>59917</v>
      </c>
      <c r="J460">
        <v>2018</v>
      </c>
    </row>
    <row r="461" spans="8:10">
      <c r="H461" s="7" t="s">
        <v>757</v>
      </c>
      <c r="I461" s="1">
        <v>26712</v>
      </c>
      <c r="J461">
        <v>483</v>
      </c>
    </row>
    <row r="462" spans="8:10">
      <c r="H462" s="7" t="s">
        <v>424</v>
      </c>
      <c r="I462" s="1">
        <v>22108</v>
      </c>
      <c r="J462">
        <v>323</v>
      </c>
    </row>
    <row r="463" spans="8:10">
      <c r="H463" s="7" t="s">
        <v>674</v>
      </c>
      <c r="I463" s="1">
        <v>23476</v>
      </c>
      <c r="J463">
        <v>1257</v>
      </c>
    </row>
    <row r="464" spans="8:10">
      <c r="H464" s="7" t="s">
        <v>870</v>
      </c>
      <c r="I464" s="1">
        <v>22547</v>
      </c>
      <c r="J464">
        <v>1258</v>
      </c>
    </row>
    <row r="465" spans="8:10">
      <c r="H465" s="7" t="s">
        <v>185</v>
      </c>
      <c r="I465" s="1">
        <v>9396</v>
      </c>
      <c r="J465">
        <v>892</v>
      </c>
    </row>
    <row r="466" spans="8:10">
      <c r="H466" s="7" t="s">
        <v>534</v>
      </c>
      <c r="I466" s="1">
        <v>39963</v>
      </c>
      <c r="J466">
        <v>103</v>
      </c>
    </row>
    <row r="467" spans="8:10">
      <c r="H467" s="7" t="s">
        <v>759</v>
      </c>
      <c r="I467" s="1">
        <v>40658</v>
      </c>
      <c r="J467">
        <v>735</v>
      </c>
    </row>
    <row r="468" spans="8:10">
      <c r="H468" s="7" t="s">
        <v>434</v>
      </c>
      <c r="I468" s="1">
        <v>39016</v>
      </c>
      <c r="J468">
        <v>846</v>
      </c>
    </row>
    <row r="469" spans="8:10">
      <c r="H469" s="7" t="s">
        <v>408</v>
      </c>
      <c r="I469" s="1">
        <v>42474</v>
      </c>
      <c r="J469">
        <v>1872</v>
      </c>
    </row>
    <row r="470" spans="8:10">
      <c r="H470" s="7" t="s">
        <v>254</v>
      </c>
      <c r="I470" s="1">
        <v>9133</v>
      </c>
      <c r="J470">
        <v>1352</v>
      </c>
    </row>
    <row r="471" spans="8:10">
      <c r="H471" s="7" t="s">
        <v>783</v>
      </c>
      <c r="I471" s="1">
        <v>11533</v>
      </c>
      <c r="J471">
        <v>107</v>
      </c>
    </row>
    <row r="472" spans="8:10">
      <c r="H472" s="7" t="s">
        <v>307</v>
      </c>
      <c r="I472" s="1">
        <v>26182</v>
      </c>
      <c r="J472">
        <v>1725</v>
      </c>
    </row>
    <row r="473" spans="8:10">
      <c r="H473" s="7" t="s">
        <v>1036</v>
      </c>
      <c r="I473" s="1">
        <v>39119</v>
      </c>
      <c r="J473">
        <v>1152</v>
      </c>
    </row>
    <row r="474" spans="8:10">
      <c r="H474" s="7" t="s">
        <v>676</v>
      </c>
      <c r="I474" s="1">
        <v>3153</v>
      </c>
      <c r="J474">
        <v>428</v>
      </c>
    </row>
    <row r="475" spans="8:10">
      <c r="H475" s="7" t="s">
        <v>665</v>
      </c>
      <c r="I475" s="1">
        <v>8357</v>
      </c>
      <c r="J475">
        <v>635</v>
      </c>
    </row>
    <row r="476" spans="8:10">
      <c r="H476" s="7" t="s">
        <v>138</v>
      </c>
      <c r="I476" s="1">
        <v>30714</v>
      </c>
      <c r="J476">
        <v>1367</v>
      </c>
    </row>
    <row r="477" spans="8:10">
      <c r="H477" s="7" t="s">
        <v>956</v>
      </c>
      <c r="I477" s="1">
        <v>6114</v>
      </c>
      <c r="J477">
        <v>529</v>
      </c>
    </row>
    <row r="478" spans="8:10">
      <c r="H478" s="7" t="s">
        <v>1001</v>
      </c>
      <c r="I478" s="1">
        <v>42571</v>
      </c>
      <c r="J478">
        <v>1689</v>
      </c>
    </row>
    <row r="479" spans="8:10">
      <c r="H479" s="7" t="s">
        <v>963</v>
      </c>
      <c r="I479" s="1">
        <v>35098</v>
      </c>
      <c r="J479">
        <v>1718</v>
      </c>
    </row>
    <row r="480" spans="8:10">
      <c r="H480" s="7" t="s">
        <v>725</v>
      </c>
      <c r="I480" s="1">
        <v>6288</v>
      </c>
      <c r="J480">
        <v>997</v>
      </c>
    </row>
    <row r="481" spans="8:10">
      <c r="H481" s="7" t="s">
        <v>212</v>
      </c>
      <c r="I481" s="1">
        <v>46906</v>
      </c>
      <c r="J481">
        <v>236</v>
      </c>
    </row>
    <row r="482" spans="8:10">
      <c r="H482" s="7" t="s">
        <v>477</v>
      </c>
      <c r="I482" s="1">
        <v>37525</v>
      </c>
      <c r="J482">
        <v>130</v>
      </c>
    </row>
    <row r="483" spans="8:10">
      <c r="H483" s="7" t="s">
        <v>620</v>
      </c>
      <c r="I483" s="1">
        <v>19299</v>
      </c>
      <c r="J483">
        <v>606</v>
      </c>
    </row>
    <row r="484" spans="8:10">
      <c r="H484" s="7" t="s">
        <v>741</v>
      </c>
      <c r="I484" s="1">
        <v>17373</v>
      </c>
      <c r="J484">
        <v>157</v>
      </c>
    </row>
    <row r="485" spans="8:10">
      <c r="H485" s="7" t="s">
        <v>822</v>
      </c>
      <c r="I485" s="1">
        <v>28974</v>
      </c>
      <c r="J485">
        <v>503</v>
      </c>
    </row>
    <row r="486" spans="8:10">
      <c r="H486" s="7" t="s">
        <v>925</v>
      </c>
      <c r="I486" s="1">
        <v>35872</v>
      </c>
      <c r="J486">
        <v>676</v>
      </c>
    </row>
    <row r="487" spans="8:10">
      <c r="H487" s="7" t="s">
        <v>432</v>
      </c>
      <c r="I487" s="1">
        <v>11345</v>
      </c>
      <c r="J487">
        <v>814</v>
      </c>
    </row>
    <row r="488" spans="8:10">
      <c r="H488" s="7" t="s">
        <v>493</v>
      </c>
      <c r="I488" s="1">
        <v>22742</v>
      </c>
      <c r="J488">
        <v>1465</v>
      </c>
    </row>
    <row r="489" spans="8:10">
      <c r="H489" s="7" t="s">
        <v>758</v>
      </c>
      <c r="I489" s="1">
        <v>23635</v>
      </c>
      <c r="J489">
        <v>1884</v>
      </c>
    </row>
    <row r="490" spans="8:10">
      <c r="H490" s="7" t="s">
        <v>368</v>
      </c>
      <c r="I490" s="1">
        <v>33113</v>
      </c>
      <c r="J490">
        <v>578</v>
      </c>
    </row>
    <row r="491" spans="8:10">
      <c r="H491" s="7" t="s">
        <v>804</v>
      </c>
      <c r="I491" s="1">
        <v>15777</v>
      </c>
      <c r="J491">
        <v>1616</v>
      </c>
    </row>
    <row r="492" spans="8:10">
      <c r="H492" s="7" t="s">
        <v>332</v>
      </c>
      <c r="I492" s="1">
        <v>25559</v>
      </c>
      <c r="J492">
        <v>489</v>
      </c>
    </row>
    <row r="493" spans="8:10">
      <c r="H493" s="7" t="s">
        <v>583</v>
      </c>
      <c r="I493" s="1">
        <v>23054</v>
      </c>
      <c r="J493">
        <v>1247</v>
      </c>
    </row>
    <row r="494" spans="8:10">
      <c r="H494" s="7" t="s">
        <v>333</v>
      </c>
      <c r="I494" s="1">
        <v>24965</v>
      </c>
      <c r="J494">
        <v>963</v>
      </c>
    </row>
    <row r="495" spans="8:10">
      <c r="H495" s="7" t="s">
        <v>347</v>
      </c>
      <c r="I495" s="1">
        <v>37594</v>
      </c>
      <c r="J495">
        <v>1611</v>
      </c>
    </row>
    <row r="496" spans="8:10">
      <c r="H496" s="7" t="s">
        <v>1022</v>
      </c>
      <c r="I496" s="1">
        <v>7230</v>
      </c>
      <c r="J496">
        <v>783</v>
      </c>
    </row>
    <row r="497" spans="8:10">
      <c r="H497" s="7" t="s">
        <v>743</v>
      </c>
      <c r="I497" s="1">
        <v>35133</v>
      </c>
      <c r="J497">
        <v>206</v>
      </c>
    </row>
    <row r="498" spans="8:10">
      <c r="H498" s="7" t="s">
        <v>831</v>
      </c>
      <c r="I498" s="1">
        <v>4782</v>
      </c>
      <c r="J498">
        <v>1056</v>
      </c>
    </row>
    <row r="499" spans="8:10">
      <c r="H499" s="7" t="s">
        <v>718</v>
      </c>
      <c r="I499" s="1">
        <v>27122</v>
      </c>
      <c r="J499">
        <v>125</v>
      </c>
    </row>
    <row r="500" spans="8:10">
      <c r="H500" s="7" t="s">
        <v>258</v>
      </c>
      <c r="I500" s="1">
        <v>11887</v>
      </c>
      <c r="J500">
        <v>594</v>
      </c>
    </row>
    <row r="501" spans="8:10">
      <c r="H501" s="7" t="s">
        <v>453</v>
      </c>
      <c r="I501" s="1">
        <v>38835</v>
      </c>
      <c r="J501">
        <v>1156</v>
      </c>
    </row>
    <row r="502" spans="8:10">
      <c r="H502" s="7" t="s">
        <v>597</v>
      </c>
      <c r="I502" s="1">
        <v>1788</v>
      </c>
      <c r="J502">
        <v>809</v>
      </c>
    </row>
    <row r="503" spans="8:10">
      <c r="H503" s="7" t="s">
        <v>675</v>
      </c>
      <c r="I503" s="1">
        <v>35390</v>
      </c>
      <c r="J503">
        <v>1082</v>
      </c>
    </row>
    <row r="504" spans="8:10">
      <c r="H504" s="7" t="s">
        <v>63</v>
      </c>
      <c r="I504" s="1">
        <v>16952</v>
      </c>
      <c r="J504">
        <v>1820</v>
      </c>
    </row>
    <row r="505" spans="8:10">
      <c r="H505" s="7" t="s">
        <v>989</v>
      </c>
      <c r="I505" s="1">
        <v>36531</v>
      </c>
      <c r="J505">
        <v>163</v>
      </c>
    </row>
    <row r="506" spans="8:10">
      <c r="H506" s="7" t="s">
        <v>525</v>
      </c>
      <c r="I506" s="1">
        <v>33824</v>
      </c>
      <c r="J506">
        <v>187</v>
      </c>
    </row>
    <row r="507" spans="8:10">
      <c r="H507" s="7" t="s">
        <v>606</v>
      </c>
      <c r="I507" s="1">
        <v>21505</v>
      </c>
      <c r="J507">
        <v>1259</v>
      </c>
    </row>
    <row r="508" spans="8:10">
      <c r="H508" s="7" t="s">
        <v>67</v>
      </c>
      <c r="I508" s="1">
        <v>5766</v>
      </c>
      <c r="J508">
        <v>990</v>
      </c>
    </row>
    <row r="509" spans="8:10">
      <c r="H509" s="7" t="s">
        <v>420</v>
      </c>
      <c r="I509" s="1">
        <v>3360</v>
      </c>
      <c r="J509">
        <v>1394</v>
      </c>
    </row>
    <row r="510" spans="8:10">
      <c r="H510" s="7" t="s">
        <v>513</v>
      </c>
      <c r="I510" s="1">
        <v>4115</v>
      </c>
      <c r="J510">
        <v>573</v>
      </c>
    </row>
    <row r="511" spans="8:10">
      <c r="H511" s="7" t="s">
        <v>521</v>
      </c>
      <c r="I511" s="1">
        <v>3802</v>
      </c>
      <c r="J511">
        <v>1215</v>
      </c>
    </row>
    <row r="512" spans="8:10">
      <c r="H512" s="7" t="s">
        <v>906</v>
      </c>
      <c r="I512" s="1">
        <v>33103</v>
      </c>
      <c r="J512">
        <v>129</v>
      </c>
    </row>
    <row r="513" spans="8:10">
      <c r="H513" s="7" t="s">
        <v>541</v>
      </c>
      <c r="I513" s="1">
        <v>33935</v>
      </c>
      <c r="J513">
        <v>979</v>
      </c>
    </row>
    <row r="514" spans="8:10">
      <c r="H514" s="7" t="s">
        <v>577</v>
      </c>
      <c r="I514" s="1">
        <v>47912</v>
      </c>
      <c r="J514">
        <v>787</v>
      </c>
    </row>
    <row r="515" spans="8:10">
      <c r="H515" s="7" t="s">
        <v>608</v>
      </c>
      <c r="I515" s="1">
        <v>49043</v>
      </c>
      <c r="J515">
        <v>1769</v>
      </c>
    </row>
    <row r="516" spans="8:10">
      <c r="H516" s="7" t="s">
        <v>250</v>
      </c>
      <c r="I516" s="1">
        <v>21856</v>
      </c>
      <c r="J516">
        <v>1986</v>
      </c>
    </row>
    <row r="517" spans="8:10">
      <c r="H517" s="7" t="s">
        <v>823</v>
      </c>
      <c r="I517" s="1">
        <v>28539</v>
      </c>
      <c r="J517">
        <v>1354</v>
      </c>
    </row>
    <row r="518" spans="8:10">
      <c r="H518" s="7" t="s">
        <v>947</v>
      </c>
      <c r="I518" s="1">
        <v>10189</v>
      </c>
      <c r="J518">
        <v>872</v>
      </c>
    </row>
    <row r="519" spans="8:10">
      <c r="H519" s="7" t="s">
        <v>475</v>
      </c>
      <c r="I519" s="1">
        <v>1777</v>
      </c>
      <c r="J519">
        <v>1286</v>
      </c>
    </row>
    <row r="520" spans="8:10">
      <c r="H520" s="7" t="s">
        <v>202</v>
      </c>
      <c r="I520" s="1">
        <v>4294</v>
      </c>
      <c r="J520">
        <v>123</v>
      </c>
    </row>
    <row r="521" spans="8:10">
      <c r="H521" s="7" t="s">
        <v>157</v>
      </c>
      <c r="I521" s="1">
        <v>43046</v>
      </c>
      <c r="J521">
        <v>1381</v>
      </c>
    </row>
    <row r="522" spans="8:10">
      <c r="H522" s="7" t="s">
        <v>566</v>
      </c>
      <c r="I522" s="1">
        <v>12836</v>
      </c>
      <c r="J522">
        <v>704</v>
      </c>
    </row>
    <row r="523" spans="8:10">
      <c r="H523" s="7" t="s">
        <v>618</v>
      </c>
      <c r="I523" s="1">
        <v>24517</v>
      </c>
      <c r="J523">
        <v>1806</v>
      </c>
    </row>
    <row r="524" spans="8:10">
      <c r="H524" s="7" t="s">
        <v>712</v>
      </c>
      <c r="I524" s="1">
        <v>40096</v>
      </c>
      <c r="J524">
        <v>1258</v>
      </c>
    </row>
    <row r="525" spans="8:10">
      <c r="H525" s="7" t="s">
        <v>121</v>
      </c>
      <c r="I525" s="1">
        <v>10256</v>
      </c>
      <c r="J525">
        <v>906</v>
      </c>
    </row>
    <row r="526" spans="8:10">
      <c r="H526" s="7" t="s">
        <v>707</v>
      </c>
      <c r="I526" s="1">
        <v>49691</v>
      </c>
      <c r="J526">
        <v>1425</v>
      </c>
    </row>
    <row r="527" spans="8:10">
      <c r="H527" s="7" t="s">
        <v>844</v>
      </c>
      <c r="I527" s="1">
        <v>13397</v>
      </c>
      <c r="J527">
        <v>1880</v>
      </c>
    </row>
    <row r="528" spans="8:10">
      <c r="H528" s="7" t="s">
        <v>905</v>
      </c>
      <c r="I528" s="1">
        <v>16139</v>
      </c>
      <c r="J528">
        <v>106</v>
      </c>
    </row>
    <row r="529" spans="8:10">
      <c r="H529" s="7" t="s">
        <v>81</v>
      </c>
      <c r="I529" s="1">
        <v>2347</v>
      </c>
      <c r="J529">
        <v>1818</v>
      </c>
    </row>
    <row r="530" spans="8:10">
      <c r="H530" s="7" t="s">
        <v>222</v>
      </c>
      <c r="I530" s="1">
        <v>33005</v>
      </c>
      <c r="J530">
        <v>1178</v>
      </c>
    </row>
    <row r="531" spans="8:10">
      <c r="H531" s="7" t="s">
        <v>565</v>
      </c>
      <c r="I531" s="1">
        <v>13865</v>
      </c>
      <c r="J531">
        <v>1448</v>
      </c>
    </row>
    <row r="532" spans="8:10">
      <c r="H532" s="7" t="s">
        <v>235</v>
      </c>
      <c r="I532" s="1">
        <v>37020</v>
      </c>
      <c r="J532">
        <v>967</v>
      </c>
    </row>
    <row r="533" spans="8:10">
      <c r="H533" s="7" t="s">
        <v>205</v>
      </c>
      <c r="I533" s="1">
        <v>9800</v>
      </c>
      <c r="J533">
        <v>1586</v>
      </c>
    </row>
    <row r="534" spans="8:10">
      <c r="H534" s="7" t="s">
        <v>499</v>
      </c>
      <c r="I534" s="1">
        <v>48131</v>
      </c>
      <c r="J534">
        <v>1835</v>
      </c>
    </row>
    <row r="535" spans="8:10">
      <c r="H535" s="7" t="s">
        <v>468</v>
      </c>
      <c r="I535" s="1">
        <v>34019</v>
      </c>
      <c r="J535">
        <v>914</v>
      </c>
    </row>
    <row r="536" spans="8:10">
      <c r="H536" s="7" t="s">
        <v>600</v>
      </c>
      <c r="I536" s="1">
        <v>5918</v>
      </c>
      <c r="J536">
        <v>794</v>
      </c>
    </row>
    <row r="537" spans="8:10">
      <c r="H537" s="7" t="s">
        <v>557</v>
      </c>
      <c r="I537" s="1">
        <v>41256</v>
      </c>
      <c r="J537">
        <v>280</v>
      </c>
    </row>
    <row r="538" spans="8:10">
      <c r="H538" s="7" t="s">
        <v>177</v>
      </c>
      <c r="I538" s="1">
        <v>49653</v>
      </c>
      <c r="J538">
        <v>1473</v>
      </c>
    </row>
    <row r="539" spans="8:10">
      <c r="H539" s="7" t="s">
        <v>277</v>
      </c>
      <c r="I539" s="1">
        <v>8649</v>
      </c>
      <c r="J539">
        <v>1173</v>
      </c>
    </row>
    <row r="540" spans="8:10">
      <c r="H540" s="7" t="s">
        <v>111</v>
      </c>
      <c r="I540" s="1">
        <v>39524</v>
      </c>
      <c r="J540">
        <v>272</v>
      </c>
    </row>
    <row r="541" spans="8:10">
      <c r="H541" s="7" t="s">
        <v>646</v>
      </c>
      <c r="I541" s="1">
        <v>45926</v>
      </c>
      <c r="J541">
        <v>1572</v>
      </c>
    </row>
    <row r="542" spans="8:10">
      <c r="H542" s="7" t="s">
        <v>455</v>
      </c>
      <c r="I542" s="1">
        <v>30997</v>
      </c>
      <c r="J542">
        <v>1706</v>
      </c>
    </row>
    <row r="543" spans="8:10">
      <c r="H543" s="7" t="s">
        <v>623</v>
      </c>
      <c r="I543" s="1">
        <v>46460</v>
      </c>
      <c r="J543">
        <v>1738</v>
      </c>
    </row>
    <row r="544" spans="8:10">
      <c r="H544" s="7" t="s">
        <v>998</v>
      </c>
      <c r="I544" s="1">
        <v>13928</v>
      </c>
      <c r="J544">
        <v>151</v>
      </c>
    </row>
    <row r="545" spans="8:10">
      <c r="H545" s="7" t="s">
        <v>48</v>
      </c>
      <c r="I545" s="1">
        <v>31716</v>
      </c>
      <c r="J545">
        <v>1006</v>
      </c>
    </row>
    <row r="546" spans="8:10">
      <c r="H546" s="7" t="s">
        <v>761</v>
      </c>
      <c r="I546" s="1">
        <v>40381</v>
      </c>
      <c r="J546">
        <v>1805</v>
      </c>
    </row>
    <row r="547" spans="8:10">
      <c r="H547" s="7" t="s">
        <v>369</v>
      </c>
      <c r="I547" s="1">
        <v>42794</v>
      </c>
      <c r="J547">
        <v>1195</v>
      </c>
    </row>
    <row r="548" spans="8:10">
      <c r="H548" s="7" t="s">
        <v>737</v>
      </c>
      <c r="I548" s="1">
        <v>27895</v>
      </c>
      <c r="J548">
        <v>1184</v>
      </c>
    </row>
    <row r="549" spans="8:10">
      <c r="H549" s="7" t="s">
        <v>755</v>
      </c>
      <c r="I549" s="1">
        <v>28072</v>
      </c>
      <c r="J549">
        <v>1938</v>
      </c>
    </row>
    <row r="550" spans="8:10">
      <c r="H550" s="7" t="s">
        <v>496</v>
      </c>
      <c r="I550" s="1">
        <v>28098</v>
      </c>
      <c r="J550">
        <v>1036</v>
      </c>
    </row>
    <row r="551" spans="8:10">
      <c r="H551" s="7" t="s">
        <v>1008</v>
      </c>
      <c r="I551" s="1">
        <v>22505</v>
      </c>
      <c r="J551">
        <v>1697</v>
      </c>
    </row>
    <row r="552" spans="8:10">
      <c r="H552" s="7" t="s">
        <v>256</v>
      </c>
      <c r="I552" s="1">
        <v>41356</v>
      </c>
      <c r="J552">
        <v>1934</v>
      </c>
    </row>
    <row r="553" spans="8:10">
      <c r="H553" s="7" t="s">
        <v>184</v>
      </c>
      <c r="I553" s="1">
        <v>32388</v>
      </c>
      <c r="J553">
        <v>422</v>
      </c>
    </row>
    <row r="554" spans="8:10">
      <c r="H554" s="7" t="s">
        <v>590</v>
      </c>
      <c r="I554" s="1">
        <v>8735</v>
      </c>
      <c r="J554">
        <v>150</v>
      </c>
    </row>
    <row r="555" spans="8:10">
      <c r="H555" s="7" t="s">
        <v>240</v>
      </c>
      <c r="I555" s="1">
        <v>26268</v>
      </c>
      <c r="J555">
        <v>933</v>
      </c>
    </row>
    <row r="556" spans="8:10">
      <c r="H556" s="7" t="s">
        <v>56</v>
      </c>
      <c r="I556" s="1">
        <v>9566</v>
      </c>
      <c r="J556">
        <v>1977</v>
      </c>
    </row>
    <row r="557" spans="8:10">
      <c r="H557" s="7" t="s">
        <v>93</v>
      </c>
      <c r="I557" s="1">
        <v>1053</v>
      </c>
      <c r="J557">
        <v>1427</v>
      </c>
    </row>
    <row r="558" spans="8:10">
      <c r="H558" s="7" t="s">
        <v>379</v>
      </c>
      <c r="I558" s="1">
        <v>16582</v>
      </c>
      <c r="J558">
        <v>290</v>
      </c>
    </row>
    <row r="559" spans="8:10">
      <c r="H559" s="7" t="s">
        <v>84</v>
      </c>
      <c r="I559" s="1">
        <v>6369</v>
      </c>
      <c r="J559">
        <v>1954</v>
      </c>
    </row>
    <row r="560" spans="8:10">
      <c r="H560" s="7" t="s">
        <v>280</v>
      </c>
      <c r="I560" s="1">
        <v>17487</v>
      </c>
      <c r="J560">
        <v>132</v>
      </c>
    </row>
    <row r="561" spans="8:10">
      <c r="H561" s="7" t="s">
        <v>361</v>
      </c>
      <c r="I561" s="1">
        <v>24350</v>
      </c>
      <c r="J561">
        <v>826</v>
      </c>
    </row>
    <row r="562" spans="8:10">
      <c r="H562" s="7" t="s">
        <v>383</v>
      </c>
      <c r="I562" s="1">
        <v>9172</v>
      </c>
      <c r="J562">
        <v>1660</v>
      </c>
    </row>
    <row r="563" spans="8:10">
      <c r="H563" s="7" t="s">
        <v>391</v>
      </c>
      <c r="I563" s="1">
        <v>29966</v>
      </c>
      <c r="J563">
        <v>1414</v>
      </c>
    </row>
    <row r="564" spans="8:10">
      <c r="H564" s="7" t="s">
        <v>901</v>
      </c>
      <c r="I564" s="1">
        <v>39012</v>
      </c>
      <c r="J564">
        <v>523</v>
      </c>
    </row>
    <row r="565" spans="8:10">
      <c r="H565" s="7" t="s">
        <v>442</v>
      </c>
      <c r="I565" s="1">
        <v>1301</v>
      </c>
      <c r="J565">
        <v>1171</v>
      </c>
    </row>
    <row r="566" spans="8:10">
      <c r="H566" s="7" t="s">
        <v>812</v>
      </c>
      <c r="I566" s="1">
        <v>21763</v>
      </c>
      <c r="J566">
        <v>1616</v>
      </c>
    </row>
    <row r="567" spans="8:10">
      <c r="H567" s="7" t="s">
        <v>868</v>
      </c>
      <c r="I567" s="1">
        <v>30821</v>
      </c>
      <c r="J567">
        <v>1212</v>
      </c>
    </row>
    <row r="568" spans="8:10">
      <c r="H568" s="7" t="s">
        <v>876</v>
      </c>
      <c r="I568" s="1">
        <v>1534</v>
      </c>
      <c r="J568">
        <v>1335</v>
      </c>
    </row>
    <row r="569" spans="8:10">
      <c r="H569" s="7" t="s">
        <v>829</v>
      </c>
      <c r="I569" s="1">
        <v>29324</v>
      </c>
      <c r="J569">
        <v>1127</v>
      </c>
    </row>
    <row r="570" spans="8:10">
      <c r="H570" s="7" t="s">
        <v>335</v>
      </c>
      <c r="I570" s="1">
        <v>46602</v>
      </c>
      <c r="J570">
        <v>1826</v>
      </c>
    </row>
    <row r="571" spans="8:10">
      <c r="H571" s="7" t="s">
        <v>974</v>
      </c>
      <c r="I571" s="1">
        <v>2187</v>
      </c>
      <c r="J571">
        <v>399</v>
      </c>
    </row>
    <row r="572" spans="8:10">
      <c r="H572" s="7" t="s">
        <v>490</v>
      </c>
      <c r="I572" s="1">
        <v>39816</v>
      </c>
      <c r="J572">
        <v>646</v>
      </c>
    </row>
    <row r="573" spans="8:10">
      <c r="H573" s="7" t="s">
        <v>807</v>
      </c>
      <c r="I573" s="1">
        <v>42268</v>
      </c>
      <c r="J573">
        <v>561</v>
      </c>
    </row>
    <row r="574" spans="8:10">
      <c r="H574" s="7" t="s">
        <v>851</v>
      </c>
      <c r="I574" s="1">
        <v>40843</v>
      </c>
      <c r="J574">
        <v>1911</v>
      </c>
    </row>
    <row r="575" spans="8:10">
      <c r="H575" s="7" t="s">
        <v>933</v>
      </c>
      <c r="I575" s="1">
        <v>35398</v>
      </c>
      <c r="J575">
        <v>1440</v>
      </c>
    </row>
    <row r="576" spans="8:10">
      <c r="H576" s="7" t="s">
        <v>730</v>
      </c>
      <c r="I576" s="1">
        <v>37875</v>
      </c>
      <c r="J576">
        <v>1767</v>
      </c>
    </row>
    <row r="577" spans="8:10">
      <c r="H577" s="7" t="s">
        <v>106</v>
      </c>
      <c r="I577" s="1">
        <v>37654</v>
      </c>
      <c r="J577">
        <v>1446</v>
      </c>
    </row>
    <row r="578" spans="8:10">
      <c r="H578" s="7" t="s">
        <v>80</v>
      </c>
      <c r="I578" s="1">
        <v>18363</v>
      </c>
      <c r="J578">
        <v>253</v>
      </c>
    </row>
    <row r="579" spans="8:10">
      <c r="H579" s="7" t="s">
        <v>679</v>
      </c>
      <c r="I579" s="1">
        <v>42692</v>
      </c>
      <c r="J579">
        <v>862</v>
      </c>
    </row>
    <row r="580" spans="8:10">
      <c r="H580" s="7" t="s">
        <v>624</v>
      </c>
      <c r="I580" s="1">
        <v>7773</v>
      </c>
      <c r="J580">
        <v>566</v>
      </c>
    </row>
    <row r="581" spans="8:10">
      <c r="H581" s="7" t="s">
        <v>836</v>
      </c>
      <c r="I581" s="1">
        <v>22233</v>
      </c>
      <c r="J581">
        <v>1446</v>
      </c>
    </row>
    <row r="582" spans="8:10">
      <c r="H582" s="7" t="s">
        <v>678</v>
      </c>
      <c r="I582" s="1">
        <v>31617</v>
      </c>
      <c r="J582">
        <v>140</v>
      </c>
    </row>
    <row r="583" spans="8:10">
      <c r="H583" s="7" t="s">
        <v>273</v>
      </c>
      <c r="I583" s="1">
        <v>36616</v>
      </c>
      <c r="J583">
        <v>1239</v>
      </c>
    </row>
    <row r="584" spans="8:10">
      <c r="H584" s="7" t="s">
        <v>142</v>
      </c>
      <c r="I584" s="1">
        <v>49897</v>
      </c>
      <c r="J584">
        <v>1391</v>
      </c>
    </row>
    <row r="585" spans="8:10">
      <c r="H585" s="7" t="s">
        <v>170</v>
      </c>
      <c r="I585" s="1">
        <v>6993</v>
      </c>
      <c r="J585">
        <v>1089</v>
      </c>
    </row>
    <row r="586" spans="8:10">
      <c r="H586" s="7" t="s">
        <v>86</v>
      </c>
      <c r="I586" s="1">
        <v>22868</v>
      </c>
      <c r="J586">
        <v>1564</v>
      </c>
    </row>
    <row r="587" spans="8:10">
      <c r="H587" s="7" t="s">
        <v>69</v>
      </c>
      <c r="I587" s="1">
        <v>22920</v>
      </c>
      <c r="J587">
        <v>855</v>
      </c>
    </row>
    <row r="588" spans="8:10">
      <c r="H588" s="7" t="s">
        <v>903</v>
      </c>
      <c r="I588" s="1">
        <v>29112</v>
      </c>
      <c r="J588">
        <v>1579</v>
      </c>
    </row>
    <row r="589" spans="8:10">
      <c r="H589" s="7" t="s">
        <v>492</v>
      </c>
      <c r="I589" s="1">
        <v>2658</v>
      </c>
      <c r="J589">
        <v>507</v>
      </c>
    </row>
    <row r="590" spans="8:10">
      <c r="H590" s="7" t="s">
        <v>227</v>
      </c>
      <c r="I590" s="1">
        <v>75731</v>
      </c>
      <c r="J590">
        <v>1559</v>
      </c>
    </row>
    <row r="591" spans="8:10">
      <c r="H591" s="7" t="s">
        <v>927</v>
      </c>
      <c r="I591" s="1">
        <v>4688</v>
      </c>
      <c r="J591">
        <v>1870</v>
      </c>
    </row>
    <row r="592" spans="8:10">
      <c r="H592" s="7" t="s">
        <v>959</v>
      </c>
      <c r="I592" s="1">
        <v>33167</v>
      </c>
      <c r="J592">
        <v>1560</v>
      </c>
    </row>
    <row r="593" spans="8:10">
      <c r="H593" s="7" t="s">
        <v>670</v>
      </c>
      <c r="I593" s="1">
        <v>5308</v>
      </c>
      <c r="J593">
        <v>1841</v>
      </c>
    </row>
    <row r="594" spans="8:10">
      <c r="H594" s="7" t="s">
        <v>589</v>
      </c>
      <c r="I594" s="1">
        <v>18665</v>
      </c>
      <c r="J594">
        <v>169</v>
      </c>
    </row>
    <row r="595" spans="8:10">
      <c r="H595" s="7" t="s">
        <v>988</v>
      </c>
      <c r="I595" s="1">
        <v>12807</v>
      </c>
      <c r="J595">
        <v>1134</v>
      </c>
    </row>
    <row r="596" spans="8:10">
      <c r="H596" s="7" t="s">
        <v>803</v>
      </c>
      <c r="I596" s="1">
        <v>15537</v>
      </c>
      <c r="J596">
        <v>958</v>
      </c>
    </row>
    <row r="597" spans="8:10">
      <c r="H597" s="7" t="s">
        <v>622</v>
      </c>
      <c r="I597" s="1">
        <v>1598</v>
      </c>
      <c r="J597">
        <v>1082</v>
      </c>
    </row>
    <row r="598" spans="8:10">
      <c r="H598" s="7" t="s">
        <v>348</v>
      </c>
      <c r="I598" s="1">
        <v>26559</v>
      </c>
      <c r="J598">
        <v>1876</v>
      </c>
    </row>
    <row r="599" spans="8:10">
      <c r="H599" s="7" t="s">
        <v>772</v>
      </c>
      <c r="I599" s="1">
        <v>23292</v>
      </c>
      <c r="J599">
        <v>1257</v>
      </c>
    </row>
    <row r="600" spans="8:10">
      <c r="H600" s="7" t="s">
        <v>609</v>
      </c>
      <c r="I600" s="1">
        <v>40962</v>
      </c>
      <c r="J600">
        <v>348</v>
      </c>
    </row>
    <row r="601" spans="8:10">
      <c r="H601" s="7" t="s">
        <v>537</v>
      </c>
      <c r="I601" s="1">
        <v>12478</v>
      </c>
      <c r="J601">
        <v>528</v>
      </c>
    </row>
    <row r="602" spans="8:10">
      <c r="H602" s="7" t="s">
        <v>435</v>
      </c>
      <c r="I602" s="1">
        <v>49397</v>
      </c>
      <c r="J602">
        <v>859</v>
      </c>
    </row>
    <row r="603" spans="8:10">
      <c r="H603" s="7" t="s">
        <v>975</v>
      </c>
      <c r="I603" s="1">
        <v>37828</v>
      </c>
      <c r="J603">
        <v>1193</v>
      </c>
    </row>
    <row r="604" spans="8:10">
      <c r="H604" s="7" t="s">
        <v>949</v>
      </c>
      <c r="I604" s="1">
        <v>37032</v>
      </c>
      <c r="J604">
        <v>1835</v>
      </c>
    </row>
    <row r="605" spans="8:10">
      <c r="H605" s="7" t="s">
        <v>467</v>
      </c>
      <c r="I605" s="1">
        <v>29949</v>
      </c>
      <c r="J605">
        <v>1484</v>
      </c>
    </row>
    <row r="606" spans="8:10">
      <c r="H606" s="7" t="s">
        <v>462</v>
      </c>
      <c r="I606" s="1">
        <v>16546</v>
      </c>
      <c r="J606">
        <v>368</v>
      </c>
    </row>
    <row r="607" spans="8:10">
      <c r="H607" s="7" t="s">
        <v>312</v>
      </c>
      <c r="I607" s="1">
        <v>30983</v>
      </c>
      <c r="J607">
        <v>153</v>
      </c>
    </row>
    <row r="608" spans="8:10">
      <c r="H608" s="7" t="s">
        <v>789</v>
      </c>
      <c r="I608" s="1">
        <v>37493</v>
      </c>
      <c r="J608">
        <v>1140</v>
      </c>
    </row>
    <row r="609" spans="8:10">
      <c r="H609" s="7" t="s">
        <v>422</v>
      </c>
      <c r="I609" s="1">
        <v>20390</v>
      </c>
      <c r="J609">
        <v>364</v>
      </c>
    </row>
    <row r="610" spans="8:10">
      <c r="H610" s="7" t="s">
        <v>28</v>
      </c>
      <c r="I610" s="1">
        <v>8744</v>
      </c>
      <c r="J610">
        <v>618</v>
      </c>
    </row>
    <row r="611" spans="8:10">
      <c r="H611" s="7" t="s">
        <v>878</v>
      </c>
      <c r="I611" s="1">
        <v>31302</v>
      </c>
      <c r="J611">
        <v>408</v>
      </c>
    </row>
    <row r="612" spans="8:10">
      <c r="H612" s="7" t="s">
        <v>849</v>
      </c>
      <c r="I612" s="1">
        <v>3572</v>
      </c>
      <c r="J612">
        <v>828</v>
      </c>
    </row>
    <row r="613" spans="8:10">
      <c r="H613" s="7" t="s">
        <v>982</v>
      </c>
      <c r="I613" s="1">
        <v>43406</v>
      </c>
      <c r="J613">
        <v>1179</v>
      </c>
    </row>
    <row r="614" spans="8:10">
      <c r="H614" s="7" t="s">
        <v>119</v>
      </c>
      <c r="I614" s="1">
        <v>40605</v>
      </c>
      <c r="J614">
        <v>1936</v>
      </c>
    </row>
    <row r="615" spans="8:10">
      <c r="H615" s="7" t="s">
        <v>316</v>
      </c>
      <c r="I615" s="1">
        <v>10257</v>
      </c>
      <c r="J615">
        <v>214</v>
      </c>
    </row>
    <row r="616" spans="8:10">
      <c r="H616" s="7" t="s">
        <v>1004</v>
      </c>
      <c r="I616" s="1">
        <v>30089</v>
      </c>
      <c r="J616">
        <v>425</v>
      </c>
    </row>
    <row r="617" spans="8:10">
      <c r="H617" s="7" t="s">
        <v>1007</v>
      </c>
      <c r="I617" s="1">
        <v>26612</v>
      </c>
      <c r="J617">
        <v>1290</v>
      </c>
    </row>
    <row r="618" spans="8:10">
      <c r="H618" s="7" t="s">
        <v>409</v>
      </c>
      <c r="I618" s="1">
        <v>45750</v>
      </c>
      <c r="J618">
        <v>1041</v>
      </c>
    </row>
    <row r="619" spans="8:10">
      <c r="H619" s="7" t="s">
        <v>230</v>
      </c>
      <c r="I619" s="1">
        <v>28319</v>
      </c>
      <c r="J619">
        <v>1454</v>
      </c>
    </row>
    <row r="620" spans="8:10">
      <c r="H620" s="7" t="s">
        <v>792</v>
      </c>
      <c r="I620" s="1">
        <v>43198</v>
      </c>
      <c r="J620">
        <v>269</v>
      </c>
    </row>
    <row r="621" spans="8:10">
      <c r="H621" s="7" t="s">
        <v>102</v>
      </c>
      <c r="I621" s="1">
        <v>15878</v>
      </c>
      <c r="J621">
        <v>1639</v>
      </c>
    </row>
    <row r="622" spans="8:10">
      <c r="H622" s="7" t="s">
        <v>685</v>
      </c>
      <c r="I622" s="1">
        <v>14793</v>
      </c>
      <c r="J622">
        <v>1868</v>
      </c>
    </row>
    <row r="623" spans="8:10">
      <c r="H623" s="7" t="s">
        <v>1037</v>
      </c>
      <c r="I623" s="1">
        <v>46219</v>
      </c>
      <c r="J623">
        <v>996</v>
      </c>
    </row>
    <row r="624" spans="8:10">
      <c r="H624" s="7" t="s">
        <v>774</v>
      </c>
      <c r="I624" s="1">
        <v>24617</v>
      </c>
      <c r="J624">
        <v>952</v>
      </c>
    </row>
    <row r="625" spans="8:10">
      <c r="H625" s="7" t="s">
        <v>934</v>
      </c>
      <c r="I625" s="1">
        <v>27927</v>
      </c>
      <c r="J625">
        <v>891</v>
      </c>
    </row>
    <row r="626" spans="8:10">
      <c r="H626" s="7" t="s">
        <v>795</v>
      </c>
      <c r="I626" s="1">
        <v>12997</v>
      </c>
      <c r="J626">
        <v>1337</v>
      </c>
    </row>
    <row r="627" spans="8:10">
      <c r="H627" s="7" t="s">
        <v>657</v>
      </c>
      <c r="I627" s="1">
        <v>30159</v>
      </c>
      <c r="J627">
        <v>1066</v>
      </c>
    </row>
    <row r="628" spans="8:10">
      <c r="H628" s="7" t="s">
        <v>46</v>
      </c>
      <c r="I628" s="1">
        <v>64237</v>
      </c>
      <c r="J628">
        <v>1575</v>
      </c>
    </row>
    <row r="629" spans="8:10">
      <c r="H629" s="7" t="s">
        <v>825</v>
      </c>
      <c r="I629" s="1">
        <v>38392</v>
      </c>
      <c r="J629">
        <v>1268</v>
      </c>
    </row>
    <row r="630" spans="8:10">
      <c r="H630" s="7" t="s">
        <v>985</v>
      </c>
      <c r="I630" s="1">
        <v>37383</v>
      </c>
      <c r="J630">
        <v>680</v>
      </c>
    </row>
    <row r="631" spans="8:10">
      <c r="H631" s="7" t="s">
        <v>107</v>
      </c>
      <c r="I631" s="1">
        <v>22319</v>
      </c>
      <c r="J631">
        <v>1269</v>
      </c>
    </row>
    <row r="632" spans="8:10">
      <c r="H632" s="7" t="s">
        <v>97</v>
      </c>
      <c r="I632" s="1">
        <v>16542</v>
      </c>
      <c r="J632">
        <v>654</v>
      </c>
    </row>
    <row r="633" spans="8:10">
      <c r="H633" s="7" t="s">
        <v>668</v>
      </c>
      <c r="I633" s="1">
        <v>11656</v>
      </c>
      <c r="J633">
        <v>786</v>
      </c>
    </row>
    <row r="634" spans="8:10">
      <c r="H634" s="7" t="s">
        <v>990</v>
      </c>
      <c r="I634" s="1">
        <v>19362</v>
      </c>
      <c r="J634">
        <v>641</v>
      </c>
    </row>
    <row r="635" spans="8:10">
      <c r="H635" s="7" t="s">
        <v>410</v>
      </c>
      <c r="I635" s="1">
        <v>40553</v>
      </c>
      <c r="J635">
        <v>149</v>
      </c>
    </row>
    <row r="636" spans="8:10">
      <c r="H636" s="7" t="s">
        <v>228</v>
      </c>
      <c r="I636" s="1">
        <v>31891</v>
      </c>
      <c r="J636">
        <v>489</v>
      </c>
    </row>
    <row r="637" spans="8:10">
      <c r="H637" s="7" t="s">
        <v>721</v>
      </c>
      <c r="I637" s="1">
        <v>35271</v>
      </c>
      <c r="J637">
        <v>1978</v>
      </c>
    </row>
    <row r="638" spans="8:10">
      <c r="H638" s="7" t="s">
        <v>564</v>
      </c>
      <c r="I638" s="1">
        <v>38835</v>
      </c>
      <c r="J638">
        <v>309</v>
      </c>
    </row>
    <row r="639" spans="8:10">
      <c r="H639" s="7" t="s">
        <v>798</v>
      </c>
      <c r="I639" s="1">
        <v>24924</v>
      </c>
      <c r="J639">
        <v>1760</v>
      </c>
    </row>
    <row r="640" spans="8:10">
      <c r="H640" s="7" t="s">
        <v>965</v>
      </c>
      <c r="I640" s="1">
        <v>15465</v>
      </c>
      <c r="J640">
        <v>1929</v>
      </c>
    </row>
    <row r="641" spans="8:10">
      <c r="H641" s="7" t="s">
        <v>714</v>
      </c>
      <c r="I641" s="1">
        <v>42746</v>
      </c>
      <c r="J641">
        <v>115</v>
      </c>
    </row>
    <row r="642" spans="8:10">
      <c r="H642" s="7" t="s">
        <v>533</v>
      </c>
      <c r="I642" s="1">
        <v>14519</v>
      </c>
      <c r="J642">
        <v>1677</v>
      </c>
    </row>
    <row r="643" spans="8:10">
      <c r="H643" s="7" t="s">
        <v>194</v>
      </c>
      <c r="I643" s="1">
        <v>32204</v>
      </c>
      <c r="J643">
        <v>1468</v>
      </c>
    </row>
    <row r="644" spans="8:10">
      <c r="H644" s="7" t="s">
        <v>695</v>
      </c>
      <c r="I644" s="1">
        <v>26648</v>
      </c>
      <c r="J644">
        <v>774</v>
      </c>
    </row>
    <row r="645" spans="8:10">
      <c r="H645" s="7" t="s">
        <v>809</v>
      </c>
      <c r="I645" s="1">
        <v>43524</v>
      </c>
      <c r="J645">
        <v>1662</v>
      </c>
    </row>
    <row r="646" spans="8:10">
      <c r="H646" s="7" t="s">
        <v>526</v>
      </c>
      <c r="I646" s="1">
        <v>10298</v>
      </c>
      <c r="J646">
        <v>1978</v>
      </c>
    </row>
    <row r="647" spans="8:10">
      <c r="H647" s="7" t="s">
        <v>501</v>
      </c>
      <c r="I647" s="1">
        <v>38134</v>
      </c>
      <c r="J647">
        <v>1701</v>
      </c>
    </row>
    <row r="648" spans="8:10">
      <c r="H648" s="7" t="s">
        <v>76</v>
      </c>
      <c r="I648" s="1">
        <v>13578</v>
      </c>
      <c r="J648">
        <v>440</v>
      </c>
    </row>
    <row r="649" spans="8:10">
      <c r="H649" s="7" t="s">
        <v>821</v>
      </c>
      <c r="I649" s="1">
        <v>16306</v>
      </c>
      <c r="J649">
        <v>1105</v>
      </c>
    </row>
    <row r="650" spans="8:10">
      <c r="H650" s="7" t="s">
        <v>890</v>
      </c>
      <c r="I650" s="1">
        <v>45058</v>
      </c>
      <c r="J650">
        <v>1287</v>
      </c>
    </row>
    <row r="651" spans="8:10">
      <c r="H651" s="7" t="s">
        <v>497</v>
      </c>
      <c r="I651" s="1">
        <v>16758</v>
      </c>
      <c r="J651">
        <v>355</v>
      </c>
    </row>
    <row r="652" spans="8:10">
      <c r="H652" s="7" t="s">
        <v>229</v>
      </c>
      <c r="I652" s="1">
        <v>25257</v>
      </c>
      <c r="J652">
        <v>1995</v>
      </c>
    </row>
    <row r="653" spans="8:10">
      <c r="H653" s="7" t="s">
        <v>1005</v>
      </c>
      <c r="I653" s="1">
        <v>23249</v>
      </c>
      <c r="J653">
        <v>1331</v>
      </c>
    </row>
    <row r="654" spans="8:10">
      <c r="H654" s="7" t="s">
        <v>928</v>
      </c>
      <c r="I654" s="1">
        <v>27443</v>
      </c>
      <c r="J654">
        <v>1810</v>
      </c>
    </row>
    <row r="655" spans="8:10">
      <c r="H655" s="7" t="s">
        <v>186</v>
      </c>
      <c r="I655" s="1">
        <v>11786</v>
      </c>
      <c r="J655">
        <v>1964</v>
      </c>
    </row>
    <row r="656" spans="8:10">
      <c r="H656" s="7" t="s">
        <v>470</v>
      </c>
      <c r="I656" s="1">
        <v>16223</v>
      </c>
      <c r="J656">
        <v>1566</v>
      </c>
    </row>
    <row r="657" spans="8:10">
      <c r="H657" s="7" t="s">
        <v>864</v>
      </c>
      <c r="I657" s="1">
        <v>42700</v>
      </c>
      <c r="J657">
        <v>698</v>
      </c>
    </row>
    <row r="658" spans="8:10">
      <c r="H658" s="7" t="s">
        <v>112</v>
      </c>
      <c r="I658" s="1">
        <v>19740</v>
      </c>
      <c r="J658">
        <v>1222</v>
      </c>
    </row>
    <row r="659" spans="8:10">
      <c r="H659" s="7" t="s">
        <v>880</v>
      </c>
      <c r="I659" s="1">
        <v>41599</v>
      </c>
      <c r="J659">
        <v>1046</v>
      </c>
    </row>
    <row r="660" spans="8:10">
      <c r="H660" s="7" t="s">
        <v>837</v>
      </c>
      <c r="I660" s="1">
        <v>17518</v>
      </c>
      <c r="J660">
        <v>1694</v>
      </c>
    </row>
    <row r="661" spans="8:10">
      <c r="H661" s="7" t="s">
        <v>800</v>
      </c>
      <c r="I661" s="1">
        <v>7349</v>
      </c>
      <c r="J661">
        <v>122</v>
      </c>
    </row>
    <row r="662" spans="8:10">
      <c r="H662" s="7" t="s">
        <v>158</v>
      </c>
      <c r="I662" s="1">
        <v>61582</v>
      </c>
      <c r="J662">
        <v>2917</v>
      </c>
    </row>
    <row r="663" spans="8:10">
      <c r="H663" s="7" t="s">
        <v>879</v>
      </c>
      <c r="I663" s="1">
        <v>49778</v>
      </c>
      <c r="J663">
        <v>1613</v>
      </c>
    </row>
    <row r="664" spans="8:10">
      <c r="H664" s="7" t="s">
        <v>139</v>
      </c>
      <c r="I664" s="1">
        <v>45689</v>
      </c>
      <c r="J664">
        <v>1583</v>
      </c>
    </row>
    <row r="665" spans="8:10">
      <c r="H665" s="7" t="s">
        <v>360</v>
      </c>
      <c r="I665" s="1">
        <v>32910</v>
      </c>
      <c r="J665">
        <v>100</v>
      </c>
    </row>
    <row r="666" spans="8:10">
      <c r="H666" s="7" t="s">
        <v>952</v>
      </c>
      <c r="I666" s="1">
        <v>45857</v>
      </c>
      <c r="J666">
        <v>1075</v>
      </c>
    </row>
    <row r="667" spans="8:10">
      <c r="H667" s="7" t="s">
        <v>852</v>
      </c>
      <c r="I667" s="1">
        <v>18094</v>
      </c>
      <c r="J667">
        <v>846</v>
      </c>
    </row>
    <row r="668" spans="8:10">
      <c r="H668" s="7" t="s">
        <v>581</v>
      </c>
      <c r="I668" s="1">
        <v>26663</v>
      </c>
      <c r="J668">
        <v>1864</v>
      </c>
    </row>
    <row r="669" spans="8:10">
      <c r="H669" s="7" t="s">
        <v>134</v>
      </c>
      <c r="I669" s="1">
        <v>33795</v>
      </c>
      <c r="J669">
        <v>1777</v>
      </c>
    </row>
    <row r="670" spans="8:10">
      <c r="H670" s="7" t="s">
        <v>330</v>
      </c>
      <c r="I670" s="1">
        <v>29744</v>
      </c>
      <c r="J670">
        <v>1347</v>
      </c>
    </row>
    <row r="671" spans="8:10">
      <c r="H671" s="7" t="s">
        <v>648</v>
      </c>
      <c r="I671" s="1">
        <v>28766</v>
      </c>
      <c r="J671">
        <v>994</v>
      </c>
    </row>
    <row r="672" spans="8:10">
      <c r="H672" s="7" t="s">
        <v>922</v>
      </c>
      <c r="I672" s="1">
        <v>13345</v>
      </c>
      <c r="J672">
        <v>1565</v>
      </c>
    </row>
    <row r="673" spans="8:10">
      <c r="H673" s="7" t="s">
        <v>760</v>
      </c>
      <c r="I673" s="1">
        <v>30681</v>
      </c>
      <c r="J673">
        <v>274</v>
      </c>
    </row>
    <row r="674" spans="8:10">
      <c r="H674" s="7" t="s">
        <v>553</v>
      </c>
      <c r="I674" s="1">
        <v>62553</v>
      </c>
      <c r="J674">
        <v>1064</v>
      </c>
    </row>
    <row r="675" spans="8:10">
      <c r="H675" s="7" t="s">
        <v>392</v>
      </c>
      <c r="I675" s="1">
        <v>32047</v>
      </c>
      <c r="J675">
        <v>1782</v>
      </c>
    </row>
    <row r="676" spans="8:10">
      <c r="H676" s="7" t="s">
        <v>814</v>
      </c>
      <c r="I676" s="1">
        <v>29505</v>
      </c>
      <c r="J676">
        <v>280</v>
      </c>
    </row>
    <row r="677" spans="8:10">
      <c r="H677" s="7" t="s">
        <v>288</v>
      </c>
      <c r="I677" s="1">
        <v>37740</v>
      </c>
      <c r="J677">
        <v>1807</v>
      </c>
    </row>
    <row r="678" spans="8:10">
      <c r="H678" s="7" t="s">
        <v>550</v>
      </c>
      <c r="I678" s="1">
        <v>28078</v>
      </c>
      <c r="J678">
        <v>1637</v>
      </c>
    </row>
    <row r="679" spans="8:10">
      <c r="H679" s="7" t="s">
        <v>611</v>
      </c>
      <c r="I679" s="1">
        <v>14813</v>
      </c>
      <c r="J679">
        <v>832</v>
      </c>
    </row>
    <row r="680" spans="8:10">
      <c r="H680" s="7" t="s">
        <v>1034</v>
      </c>
      <c r="I680" s="1">
        <v>12221</v>
      </c>
      <c r="J680">
        <v>1502</v>
      </c>
    </row>
    <row r="681" spans="8:10">
      <c r="H681" s="7" t="s">
        <v>131</v>
      </c>
      <c r="I681" s="1">
        <v>33259</v>
      </c>
      <c r="J681">
        <v>1498</v>
      </c>
    </row>
    <row r="682" spans="8:10">
      <c r="H682" s="7" t="s">
        <v>500</v>
      </c>
      <c r="I682" s="1">
        <v>23783</v>
      </c>
      <c r="J682">
        <v>345</v>
      </c>
    </row>
    <row r="683" spans="8:10">
      <c r="H683" s="7" t="s">
        <v>845</v>
      </c>
      <c r="I683" s="1">
        <v>3071</v>
      </c>
      <c r="J683">
        <v>363</v>
      </c>
    </row>
    <row r="684" spans="8:10">
      <c r="H684" s="7" t="s">
        <v>546</v>
      </c>
      <c r="I684" s="1">
        <v>28942</v>
      </c>
      <c r="J684">
        <v>136</v>
      </c>
    </row>
    <row r="685" spans="8:10">
      <c r="H685" s="7" t="s">
        <v>667</v>
      </c>
      <c r="I685" s="1">
        <v>22964</v>
      </c>
      <c r="J685">
        <v>1428</v>
      </c>
    </row>
    <row r="686" spans="8:10">
      <c r="H686" s="7" t="s">
        <v>840</v>
      </c>
      <c r="I686" s="1">
        <v>9819</v>
      </c>
      <c r="J686">
        <v>1027</v>
      </c>
    </row>
    <row r="687" spans="8:10">
      <c r="H687" s="7" t="s">
        <v>586</v>
      </c>
      <c r="I687" s="1">
        <v>7855</v>
      </c>
      <c r="J687">
        <v>336</v>
      </c>
    </row>
    <row r="688" spans="8:10">
      <c r="H688" s="7" t="s">
        <v>554</v>
      </c>
      <c r="I688" s="1">
        <v>33441</v>
      </c>
      <c r="J688">
        <v>251</v>
      </c>
    </row>
    <row r="689" spans="8:10">
      <c r="H689" s="7" t="s">
        <v>386</v>
      </c>
      <c r="I689" s="1">
        <v>20074</v>
      </c>
      <c r="J689">
        <v>847</v>
      </c>
    </row>
    <row r="690" spans="8:10">
      <c r="H690" s="7" t="s">
        <v>860</v>
      </c>
      <c r="I690" s="1">
        <v>35619</v>
      </c>
      <c r="J690">
        <v>1006</v>
      </c>
    </row>
    <row r="691" spans="8:10">
      <c r="H691" s="7" t="s">
        <v>290</v>
      </c>
      <c r="I691" s="1">
        <v>33004</v>
      </c>
      <c r="J691">
        <v>1169</v>
      </c>
    </row>
    <row r="692" spans="8:10">
      <c r="H692" s="7" t="s">
        <v>508</v>
      </c>
      <c r="I692" s="1">
        <v>49229</v>
      </c>
      <c r="J692">
        <v>1684</v>
      </c>
    </row>
    <row r="693" spans="8:10">
      <c r="H693" s="7" t="s">
        <v>161</v>
      </c>
      <c r="I693" s="1">
        <v>9225</v>
      </c>
      <c r="J693">
        <v>383</v>
      </c>
    </row>
    <row r="694" spans="8:10">
      <c r="H694" s="7" t="s">
        <v>1033</v>
      </c>
      <c r="I694" s="1">
        <v>36979</v>
      </c>
      <c r="J694">
        <v>359</v>
      </c>
    </row>
    <row r="695" spans="8:10">
      <c r="H695" s="7" t="s">
        <v>544</v>
      </c>
      <c r="I695" s="1">
        <v>39809</v>
      </c>
      <c r="J695">
        <v>1575</v>
      </c>
    </row>
    <row r="696" spans="8:10">
      <c r="H696" s="7" t="s">
        <v>699</v>
      </c>
      <c r="I696" s="1">
        <v>15232</v>
      </c>
      <c r="J696">
        <v>634</v>
      </c>
    </row>
    <row r="697" spans="8:10">
      <c r="H697" s="7" t="s">
        <v>731</v>
      </c>
      <c r="I697" s="1">
        <v>37464</v>
      </c>
      <c r="J697">
        <v>1906</v>
      </c>
    </row>
    <row r="698" spans="8:10">
      <c r="H698" s="7" t="s">
        <v>752</v>
      </c>
      <c r="I698" s="1">
        <v>38068</v>
      </c>
      <c r="J698">
        <v>1752</v>
      </c>
    </row>
    <row r="699" spans="8:10">
      <c r="H699" s="7" t="s">
        <v>1029</v>
      </c>
      <c r="I699" s="1">
        <v>40085</v>
      </c>
      <c r="J699">
        <v>1895</v>
      </c>
    </row>
    <row r="700" spans="8:10">
      <c r="H700" s="7" t="s">
        <v>568</v>
      </c>
      <c r="I700" s="1">
        <v>12594</v>
      </c>
      <c r="J700">
        <v>1824</v>
      </c>
    </row>
    <row r="701" spans="8:10">
      <c r="H701" s="7" t="s">
        <v>445</v>
      </c>
      <c r="I701" s="1">
        <v>41916</v>
      </c>
      <c r="J701">
        <v>832</v>
      </c>
    </row>
    <row r="702" spans="8:10">
      <c r="H702" s="7" t="s">
        <v>366</v>
      </c>
      <c r="I702" s="1">
        <v>19148</v>
      </c>
      <c r="J702">
        <v>1503</v>
      </c>
    </row>
    <row r="703" spans="8:10">
      <c r="H703" s="7" t="s">
        <v>517</v>
      </c>
      <c r="I703" s="1">
        <v>4850</v>
      </c>
      <c r="J703">
        <v>1641</v>
      </c>
    </row>
    <row r="704" spans="8:10">
      <c r="H704" s="7" t="s">
        <v>932</v>
      </c>
      <c r="I704" s="1">
        <v>5001</v>
      </c>
      <c r="J704">
        <v>1441</v>
      </c>
    </row>
    <row r="705" spans="8:10">
      <c r="H705" s="7" t="s">
        <v>389</v>
      </c>
      <c r="I705" s="1">
        <v>20905</v>
      </c>
      <c r="J705">
        <v>377</v>
      </c>
    </row>
    <row r="706" spans="8:10">
      <c r="H706" s="7" t="s">
        <v>232</v>
      </c>
      <c r="I706" s="1">
        <v>20979</v>
      </c>
      <c r="J706">
        <v>449</v>
      </c>
    </row>
    <row r="707" spans="8:10">
      <c r="H707" s="7" t="s">
        <v>58</v>
      </c>
      <c r="I707" s="1">
        <v>45608</v>
      </c>
      <c r="J707">
        <v>1766</v>
      </c>
    </row>
    <row r="708" spans="8:10">
      <c r="H708" s="7" t="s">
        <v>719</v>
      </c>
      <c r="I708" s="1">
        <v>9065</v>
      </c>
      <c r="J708">
        <v>1257</v>
      </c>
    </row>
    <row r="709" spans="8:10">
      <c r="H709" s="7" t="s">
        <v>295</v>
      </c>
      <c r="I709" s="1">
        <v>19770</v>
      </c>
      <c r="J709">
        <v>1488</v>
      </c>
    </row>
    <row r="710" spans="8:10">
      <c r="H710" s="7" t="s">
        <v>923</v>
      </c>
      <c r="I710" s="1">
        <v>24713</v>
      </c>
      <c r="J710">
        <v>769</v>
      </c>
    </row>
    <row r="711" spans="8:10">
      <c r="H711" s="7" t="s">
        <v>480</v>
      </c>
      <c r="I711" s="1">
        <v>1592</v>
      </c>
      <c r="J711">
        <v>937</v>
      </c>
    </row>
    <row r="712" spans="8:10">
      <c r="H712" s="7" t="s">
        <v>954</v>
      </c>
      <c r="I712" s="1">
        <v>40961</v>
      </c>
      <c r="J712">
        <v>576</v>
      </c>
    </row>
    <row r="713" spans="8:10">
      <c r="H713" s="7" t="s">
        <v>866</v>
      </c>
      <c r="I713" s="1">
        <v>2564</v>
      </c>
      <c r="J713">
        <v>247</v>
      </c>
    </row>
    <row r="714" spans="8:10">
      <c r="H714" s="7" t="s">
        <v>997</v>
      </c>
      <c r="I714" s="1">
        <v>15045</v>
      </c>
      <c r="J714">
        <v>200</v>
      </c>
    </row>
    <row r="715" spans="8:10">
      <c r="H715" s="7" t="s">
        <v>448</v>
      </c>
      <c r="I715" s="1">
        <v>26167</v>
      </c>
      <c r="J715">
        <v>298</v>
      </c>
    </row>
    <row r="716" spans="8:10">
      <c r="H716" s="7" t="s">
        <v>976</v>
      </c>
      <c r="I716" s="1">
        <v>42709</v>
      </c>
      <c r="J716">
        <v>187</v>
      </c>
    </row>
    <row r="717" spans="8:10">
      <c r="H717" s="7" t="s">
        <v>877</v>
      </c>
      <c r="I717" s="1">
        <v>9353</v>
      </c>
      <c r="J717">
        <v>790</v>
      </c>
    </row>
    <row r="718" spans="8:10">
      <c r="H718" s="7" t="s">
        <v>571</v>
      </c>
      <c r="I718" s="1">
        <v>7097</v>
      </c>
      <c r="J718">
        <v>1746</v>
      </c>
    </row>
    <row r="719" spans="8:10">
      <c r="H719" s="7" t="s">
        <v>858</v>
      </c>
      <c r="I719" s="1">
        <v>12117</v>
      </c>
      <c r="J719">
        <v>965</v>
      </c>
    </row>
    <row r="720" spans="8:10">
      <c r="H720" s="7" t="s">
        <v>873</v>
      </c>
      <c r="I720" s="1">
        <v>22714</v>
      </c>
      <c r="J720">
        <v>888</v>
      </c>
    </row>
    <row r="721" spans="8:10">
      <c r="H721" s="7" t="s">
        <v>913</v>
      </c>
      <c r="I721" s="1">
        <v>14728</v>
      </c>
      <c r="J721">
        <v>1397</v>
      </c>
    </row>
    <row r="722" spans="8:10">
      <c r="H722" s="7" t="s">
        <v>717</v>
      </c>
      <c r="I722" s="1">
        <v>49285</v>
      </c>
      <c r="J722">
        <v>684</v>
      </c>
    </row>
    <row r="723" spans="8:10">
      <c r="H723" s="7" t="s">
        <v>617</v>
      </c>
      <c r="I723" s="1">
        <v>3089</v>
      </c>
      <c r="J723">
        <v>1176</v>
      </c>
    </row>
    <row r="724" spans="8:10">
      <c r="H724" s="7" t="s">
        <v>943</v>
      </c>
      <c r="I724" s="1">
        <v>22164</v>
      </c>
      <c r="J724">
        <v>679</v>
      </c>
    </row>
    <row r="725" spans="8:10">
      <c r="H725" s="7" t="s">
        <v>811</v>
      </c>
      <c r="I725" s="1">
        <v>11577</v>
      </c>
      <c r="J725">
        <v>1618</v>
      </c>
    </row>
    <row r="726" spans="8:10">
      <c r="H726" s="7" t="s">
        <v>700</v>
      </c>
      <c r="I726" s="1">
        <v>28963</v>
      </c>
      <c r="J726">
        <v>1589</v>
      </c>
    </row>
    <row r="727" spans="8:10">
      <c r="H727" s="7" t="s">
        <v>353</v>
      </c>
      <c r="I727" s="1">
        <v>28351</v>
      </c>
      <c r="J727">
        <v>1780</v>
      </c>
    </row>
    <row r="728" spans="8:10">
      <c r="H728" s="7" t="s">
        <v>671</v>
      </c>
      <c r="I728" s="1">
        <v>21947</v>
      </c>
      <c r="J728">
        <v>852</v>
      </c>
    </row>
    <row r="729" spans="8:10">
      <c r="H729" s="7" t="s">
        <v>708</v>
      </c>
      <c r="I729" s="1">
        <v>12202</v>
      </c>
      <c r="J729">
        <v>908</v>
      </c>
    </row>
    <row r="730" spans="8:10">
      <c r="H730" s="7" t="s">
        <v>619</v>
      </c>
      <c r="I730" s="1">
        <v>25578</v>
      </c>
      <c r="J730">
        <v>1187</v>
      </c>
    </row>
    <row r="731" spans="8:10">
      <c r="H731" s="7" t="s">
        <v>979</v>
      </c>
      <c r="I731" s="1">
        <v>44378</v>
      </c>
      <c r="J731">
        <v>537</v>
      </c>
    </row>
    <row r="732" spans="8:10">
      <c r="H732" s="7" t="s">
        <v>506</v>
      </c>
      <c r="I732" s="1">
        <v>19800</v>
      </c>
      <c r="J732">
        <v>406</v>
      </c>
    </row>
    <row r="733" spans="8:10">
      <c r="H733" s="7" t="s">
        <v>701</v>
      </c>
      <c r="I733" s="1">
        <v>10918</v>
      </c>
      <c r="J733">
        <v>288</v>
      </c>
    </row>
    <row r="734" spans="8:10">
      <c r="H734" s="7" t="s">
        <v>824</v>
      </c>
      <c r="I734" s="1">
        <v>40609</v>
      </c>
      <c r="J734">
        <v>1716</v>
      </c>
    </row>
    <row r="735" spans="8:10">
      <c r="H735" s="7" t="s">
        <v>242</v>
      </c>
      <c r="I735" s="1">
        <v>19171</v>
      </c>
      <c r="J735">
        <v>697</v>
      </c>
    </row>
    <row r="736" spans="8:10">
      <c r="H736" s="7" t="s">
        <v>911</v>
      </c>
      <c r="I736" s="1">
        <v>27950</v>
      </c>
      <c r="J736">
        <v>938</v>
      </c>
    </row>
    <row r="737" spans="8:10">
      <c r="H737" s="7" t="s">
        <v>115</v>
      </c>
      <c r="I737" s="1">
        <v>31204</v>
      </c>
      <c r="J737">
        <v>310</v>
      </c>
    </row>
    <row r="738" spans="8:10">
      <c r="H738" s="7" t="s">
        <v>529</v>
      </c>
      <c r="I738" s="1">
        <v>31546</v>
      </c>
      <c r="J738">
        <v>1147</v>
      </c>
    </row>
    <row r="739" spans="8:10">
      <c r="H739" s="7" t="s">
        <v>150</v>
      </c>
      <c r="I739" s="1">
        <v>37018</v>
      </c>
      <c r="J739">
        <v>929</v>
      </c>
    </row>
    <row r="740" spans="8:10">
      <c r="H740" s="7" t="s">
        <v>195</v>
      </c>
      <c r="I740" s="1">
        <v>21201</v>
      </c>
      <c r="J740">
        <v>1647</v>
      </c>
    </row>
    <row r="741" spans="8:10">
      <c r="H741" s="7" t="s">
        <v>633</v>
      </c>
      <c r="I741" s="1">
        <v>5947</v>
      </c>
      <c r="J741">
        <v>1435</v>
      </c>
    </row>
    <row r="742" spans="8:10">
      <c r="H742" s="7" t="s">
        <v>703</v>
      </c>
      <c r="I742" s="1">
        <v>29393</v>
      </c>
      <c r="J742">
        <v>855</v>
      </c>
    </row>
    <row r="743" spans="8:10">
      <c r="H743" s="7" t="s">
        <v>570</v>
      </c>
      <c r="I743" s="1">
        <v>45080</v>
      </c>
      <c r="J743">
        <v>1114</v>
      </c>
    </row>
    <row r="744" spans="8:10">
      <c r="H744" s="7" t="s">
        <v>655</v>
      </c>
      <c r="I744" s="1">
        <v>22730</v>
      </c>
      <c r="J744">
        <v>1568</v>
      </c>
    </row>
    <row r="745" spans="8:10">
      <c r="H745" s="7" t="s">
        <v>740</v>
      </c>
      <c r="I745" s="1">
        <v>23237</v>
      </c>
      <c r="J745">
        <v>1151</v>
      </c>
    </row>
    <row r="746" spans="8:10">
      <c r="H746" s="7" t="s">
        <v>89</v>
      </c>
      <c r="I746" s="1">
        <v>40588</v>
      </c>
      <c r="J746">
        <v>293</v>
      </c>
    </row>
    <row r="747" spans="8:10">
      <c r="H747" s="7" t="s">
        <v>720</v>
      </c>
      <c r="I747" s="1">
        <v>38483</v>
      </c>
      <c r="J747">
        <v>512</v>
      </c>
    </row>
    <row r="748" spans="8:10">
      <c r="H748" s="7" t="s">
        <v>828</v>
      </c>
      <c r="I748" s="1">
        <v>8312</v>
      </c>
      <c r="J748">
        <v>501</v>
      </c>
    </row>
    <row r="749" spans="8:10">
      <c r="H749" s="7" t="s">
        <v>1009</v>
      </c>
      <c r="I749" s="1">
        <v>12698</v>
      </c>
      <c r="J749">
        <v>1435</v>
      </c>
    </row>
    <row r="750" spans="8:10">
      <c r="H750" s="7" t="s">
        <v>801</v>
      </c>
      <c r="I750" s="1">
        <v>41330</v>
      </c>
      <c r="J750">
        <v>1415</v>
      </c>
    </row>
    <row r="751" spans="8:10">
      <c r="H751" s="7" t="s">
        <v>842</v>
      </c>
      <c r="I751" s="1">
        <v>43643</v>
      </c>
      <c r="J751">
        <v>1732</v>
      </c>
    </row>
    <row r="752" spans="8:10">
      <c r="H752" s="7" t="s">
        <v>733</v>
      </c>
      <c r="I752" s="1">
        <v>2969</v>
      </c>
      <c r="J752">
        <v>752</v>
      </c>
    </row>
    <row r="753" spans="8:10">
      <c r="H753" s="7" t="s">
        <v>373</v>
      </c>
      <c r="I753" s="1">
        <v>32269</v>
      </c>
      <c r="J753">
        <v>1957</v>
      </c>
    </row>
    <row r="754" spans="8:10">
      <c r="H754" s="7" t="s">
        <v>778</v>
      </c>
      <c r="I754" s="1">
        <v>9255</v>
      </c>
      <c r="J754">
        <v>1034</v>
      </c>
    </row>
    <row r="755" spans="8:10">
      <c r="H755" s="7" t="s">
        <v>302</v>
      </c>
      <c r="I755" s="1">
        <v>34522</v>
      </c>
      <c r="J755">
        <v>818</v>
      </c>
    </row>
    <row r="756" spans="8:10">
      <c r="H756" s="7" t="s">
        <v>231</v>
      </c>
      <c r="I756" s="1">
        <v>20149</v>
      </c>
      <c r="J756">
        <v>221</v>
      </c>
    </row>
    <row r="757" spans="8:10">
      <c r="H757" s="7" t="s">
        <v>95</v>
      </c>
      <c r="I757" s="1">
        <v>28677</v>
      </c>
      <c r="J757">
        <v>257</v>
      </c>
    </row>
    <row r="758" spans="8:10">
      <c r="H758" s="7" t="s">
        <v>505</v>
      </c>
      <c r="I758" s="1">
        <v>5976</v>
      </c>
      <c r="J758">
        <v>1236</v>
      </c>
    </row>
    <row r="759" spans="8:10">
      <c r="H759" s="7" t="s">
        <v>558</v>
      </c>
      <c r="I759" s="1">
        <v>2350</v>
      </c>
      <c r="J759">
        <v>357</v>
      </c>
    </row>
    <row r="760" spans="8:10">
      <c r="H760" s="7" t="s">
        <v>594</v>
      </c>
      <c r="I760" s="1">
        <v>26479</v>
      </c>
      <c r="J760">
        <v>857</v>
      </c>
    </row>
    <row r="761" spans="8:10">
      <c r="H761" s="7" t="s">
        <v>245</v>
      </c>
      <c r="I761" s="1">
        <v>29056</v>
      </c>
      <c r="J761">
        <v>244</v>
      </c>
    </row>
    <row r="762" spans="8:10">
      <c r="H762" s="7" t="s">
        <v>346</v>
      </c>
      <c r="I762" s="1">
        <v>32199</v>
      </c>
      <c r="J762">
        <v>1474</v>
      </c>
    </row>
    <row r="763" spans="8:10">
      <c r="H763" s="7" t="s">
        <v>370</v>
      </c>
      <c r="I763" s="1">
        <v>29314</v>
      </c>
      <c r="J763">
        <v>485</v>
      </c>
    </row>
    <row r="764" spans="8:10">
      <c r="H764" s="7" t="s">
        <v>551</v>
      </c>
      <c r="I764" s="1">
        <v>1117</v>
      </c>
      <c r="J764">
        <v>895</v>
      </c>
    </row>
    <row r="765" spans="8:10">
      <c r="H765" s="7" t="s">
        <v>981</v>
      </c>
      <c r="I765" s="1">
        <v>35849</v>
      </c>
      <c r="J765">
        <v>357</v>
      </c>
    </row>
    <row r="766" spans="8:10">
      <c r="H766" s="7" t="s">
        <v>412</v>
      </c>
      <c r="I766" s="1">
        <v>35859</v>
      </c>
      <c r="J766">
        <v>1890</v>
      </c>
    </row>
    <row r="767" spans="8:10">
      <c r="H767" s="7" t="s">
        <v>863</v>
      </c>
      <c r="I767" s="1">
        <v>22662</v>
      </c>
      <c r="J767">
        <v>1832</v>
      </c>
    </row>
    <row r="768" spans="8:10">
      <c r="H768" s="7" t="s">
        <v>799</v>
      </c>
      <c r="I768" s="1">
        <v>35184</v>
      </c>
      <c r="J768">
        <v>835</v>
      </c>
    </row>
    <row r="769" spans="8:10">
      <c r="H769" s="7" t="s">
        <v>75</v>
      </c>
      <c r="I769" s="1">
        <v>1820</v>
      </c>
      <c r="J769">
        <v>1214</v>
      </c>
    </row>
    <row r="770" spans="8:10">
      <c r="H770" s="7" t="s">
        <v>431</v>
      </c>
      <c r="I770" s="1">
        <v>37255</v>
      </c>
      <c r="J770">
        <v>901</v>
      </c>
    </row>
    <row r="771" spans="8:10">
      <c r="H771" s="7" t="s">
        <v>843</v>
      </c>
      <c r="I771" s="1">
        <v>38320</v>
      </c>
      <c r="J771">
        <v>1686</v>
      </c>
    </row>
    <row r="772" spans="8:10">
      <c r="H772" s="7" t="s">
        <v>672</v>
      </c>
      <c r="I772" s="1">
        <v>20706</v>
      </c>
      <c r="J772">
        <v>1005</v>
      </c>
    </row>
    <row r="773" spans="8:10">
      <c r="H773" s="7" t="s">
        <v>151</v>
      </c>
      <c r="I773" s="1">
        <v>44885</v>
      </c>
      <c r="J773">
        <v>811</v>
      </c>
    </row>
    <row r="774" spans="8:10">
      <c r="H774" s="7" t="s">
        <v>726</v>
      </c>
      <c r="I774" s="1">
        <v>16995</v>
      </c>
      <c r="J774">
        <v>324</v>
      </c>
    </row>
    <row r="775" spans="8:10">
      <c r="H775" s="7" t="s">
        <v>339</v>
      </c>
      <c r="I775" s="1">
        <v>34365</v>
      </c>
      <c r="J775">
        <v>1585</v>
      </c>
    </row>
    <row r="776" spans="8:10">
      <c r="H776" s="7" t="s">
        <v>930</v>
      </c>
      <c r="I776" s="1">
        <v>32355</v>
      </c>
      <c r="J776">
        <v>1340</v>
      </c>
    </row>
    <row r="777" spans="8:10">
      <c r="H777" s="7" t="s">
        <v>261</v>
      </c>
      <c r="I777" s="1">
        <v>49601</v>
      </c>
      <c r="J777">
        <v>1463</v>
      </c>
    </row>
    <row r="778" spans="8:10">
      <c r="H778" s="7" t="s">
        <v>71</v>
      </c>
      <c r="I778" s="1">
        <v>37523</v>
      </c>
      <c r="J778">
        <v>1378</v>
      </c>
    </row>
    <row r="779" spans="8:10">
      <c r="H779" s="7" t="s">
        <v>441</v>
      </c>
      <c r="I779" s="1">
        <v>17227</v>
      </c>
      <c r="J779">
        <v>498</v>
      </c>
    </row>
    <row r="780" spans="8:10">
      <c r="H780" s="7" t="s">
        <v>498</v>
      </c>
      <c r="I780" s="1">
        <v>10132</v>
      </c>
      <c r="J780">
        <v>159</v>
      </c>
    </row>
    <row r="781" spans="8:10">
      <c r="H781" s="7" t="s">
        <v>596</v>
      </c>
      <c r="I781" s="1">
        <v>16791</v>
      </c>
      <c r="J781">
        <v>1513</v>
      </c>
    </row>
    <row r="782" spans="8:10">
      <c r="H782" s="7" t="s">
        <v>556</v>
      </c>
      <c r="I782" s="1">
        <v>9186</v>
      </c>
      <c r="J782">
        <v>1105</v>
      </c>
    </row>
    <row r="783" spans="8:10">
      <c r="H783" s="7" t="s">
        <v>527</v>
      </c>
      <c r="I783" s="1">
        <v>8780</v>
      </c>
      <c r="J783">
        <v>310</v>
      </c>
    </row>
    <row r="784" spans="8:10">
      <c r="H784" s="7" t="s">
        <v>738</v>
      </c>
      <c r="I784" s="1">
        <v>17762</v>
      </c>
      <c r="J784">
        <v>506</v>
      </c>
    </row>
    <row r="785" spans="8:10">
      <c r="H785" s="7" t="s">
        <v>709</v>
      </c>
      <c r="I785" s="1">
        <v>39296</v>
      </c>
      <c r="J785">
        <v>1479</v>
      </c>
    </row>
    <row r="786" spans="8:10">
      <c r="H786" s="7" t="s">
        <v>889</v>
      </c>
      <c r="I786" s="1">
        <v>10342</v>
      </c>
      <c r="J786">
        <v>1017</v>
      </c>
    </row>
    <row r="787" spans="8:10">
      <c r="H787" s="7" t="s">
        <v>57</v>
      </c>
      <c r="I787" s="1">
        <v>29932</v>
      </c>
      <c r="J787">
        <v>1320</v>
      </c>
    </row>
    <row r="788" spans="8:10">
      <c r="H788" s="7" t="s">
        <v>263</v>
      </c>
      <c r="I788" s="1">
        <v>15353</v>
      </c>
      <c r="J788">
        <v>230</v>
      </c>
    </row>
    <row r="789" spans="8:10">
      <c r="H789" s="7" t="s">
        <v>687</v>
      </c>
      <c r="I789" s="1">
        <v>11932</v>
      </c>
      <c r="J789">
        <v>1140</v>
      </c>
    </row>
    <row r="790" spans="8:10">
      <c r="H790" s="7" t="s">
        <v>270</v>
      </c>
      <c r="I790" s="1">
        <v>17354</v>
      </c>
      <c r="J790">
        <v>1570</v>
      </c>
    </row>
    <row r="791" spans="8:10">
      <c r="H791" s="7" t="s">
        <v>643</v>
      </c>
      <c r="I791" s="1">
        <v>29359</v>
      </c>
      <c r="J791">
        <v>202</v>
      </c>
    </row>
    <row r="792" spans="8:10">
      <c r="H792" s="7" t="s">
        <v>147</v>
      </c>
      <c r="I792" s="1">
        <v>35093</v>
      </c>
      <c r="J792">
        <v>731</v>
      </c>
    </row>
    <row r="793" spans="8:10">
      <c r="H793" s="7" t="s">
        <v>210</v>
      </c>
      <c r="I793" s="1">
        <v>33904</v>
      </c>
      <c r="J793">
        <v>1360</v>
      </c>
    </row>
    <row r="794" spans="8:10">
      <c r="H794" s="7" t="s">
        <v>378</v>
      </c>
      <c r="I794" s="1">
        <v>27251</v>
      </c>
      <c r="J794">
        <v>1475</v>
      </c>
    </row>
    <row r="795" spans="8:10">
      <c r="H795" s="7" t="s">
        <v>682</v>
      </c>
      <c r="I795" s="1">
        <v>7106</v>
      </c>
      <c r="J795">
        <v>1641</v>
      </c>
    </row>
    <row r="796" spans="8:10">
      <c r="H796" s="7" t="s">
        <v>1012</v>
      </c>
      <c r="I796" s="1">
        <v>47774</v>
      </c>
      <c r="J796">
        <v>1904</v>
      </c>
    </row>
    <row r="797" spans="8:10">
      <c r="H797" s="7" t="s">
        <v>206</v>
      </c>
      <c r="I797" s="1">
        <v>48204</v>
      </c>
      <c r="J797">
        <v>739</v>
      </c>
    </row>
    <row r="798" spans="8:10">
      <c r="H798" s="7" t="s">
        <v>645</v>
      </c>
      <c r="I798" s="1">
        <v>44423</v>
      </c>
      <c r="J798">
        <v>1979</v>
      </c>
    </row>
    <row r="799" spans="8:10">
      <c r="H799" s="7" t="s">
        <v>165</v>
      </c>
      <c r="I799" s="1">
        <v>24407</v>
      </c>
      <c r="J799">
        <v>1350</v>
      </c>
    </row>
    <row r="800" spans="8:10">
      <c r="H800" s="7" t="s">
        <v>241</v>
      </c>
      <c r="I800" s="1">
        <v>12451</v>
      </c>
      <c r="J800">
        <v>1793</v>
      </c>
    </row>
    <row r="801" spans="8:10">
      <c r="H801" s="7" t="s">
        <v>419</v>
      </c>
      <c r="I801" s="1">
        <v>28471</v>
      </c>
      <c r="J801">
        <v>626</v>
      </c>
    </row>
    <row r="802" spans="8:10">
      <c r="H802" s="7" t="s">
        <v>724</v>
      </c>
      <c r="I802" s="1">
        <v>34258</v>
      </c>
      <c r="J802">
        <v>1259</v>
      </c>
    </row>
    <row r="803" spans="8:10">
      <c r="H803" s="7" t="s">
        <v>969</v>
      </c>
      <c r="I803" s="1">
        <v>21278</v>
      </c>
      <c r="J803">
        <v>938</v>
      </c>
    </row>
    <row r="804" spans="8:10">
      <c r="H804" s="7" t="s">
        <v>268</v>
      </c>
      <c r="I804" s="1">
        <v>36720</v>
      </c>
      <c r="J804">
        <v>1701</v>
      </c>
    </row>
    <row r="805" spans="8:10">
      <c r="H805" s="7" t="s">
        <v>610</v>
      </c>
      <c r="I805" s="1">
        <v>17536</v>
      </c>
      <c r="J805">
        <v>317</v>
      </c>
    </row>
    <row r="806" spans="8:10">
      <c r="H806" s="7" t="s">
        <v>697</v>
      </c>
      <c r="I806" s="1">
        <v>22865</v>
      </c>
      <c r="J806">
        <v>1460</v>
      </c>
    </row>
    <row r="807" spans="8:10">
      <c r="H807" s="7" t="s">
        <v>244</v>
      </c>
      <c r="I807" s="1">
        <v>18487</v>
      </c>
      <c r="J807">
        <v>1640</v>
      </c>
    </row>
    <row r="808" spans="8:10">
      <c r="H808" s="7" t="s">
        <v>127</v>
      </c>
      <c r="I808" s="1">
        <v>45468</v>
      </c>
      <c r="J808">
        <v>793</v>
      </c>
    </row>
    <row r="809" spans="8:10">
      <c r="H809" s="7" t="s">
        <v>356</v>
      </c>
      <c r="I809" s="1">
        <v>21681</v>
      </c>
      <c r="J809">
        <v>1706</v>
      </c>
    </row>
    <row r="810" spans="8:10">
      <c r="H810" s="7" t="s">
        <v>664</v>
      </c>
      <c r="I810" s="1">
        <v>30409</v>
      </c>
      <c r="J810">
        <v>1283</v>
      </c>
    </row>
    <row r="811" spans="8:10">
      <c r="H811" s="7" t="s">
        <v>909</v>
      </c>
      <c r="I811" s="1">
        <v>28043</v>
      </c>
      <c r="J811">
        <v>1543</v>
      </c>
    </row>
    <row r="812" spans="8:10">
      <c r="H812" s="7" t="s">
        <v>636</v>
      </c>
      <c r="I812" s="1">
        <v>48490</v>
      </c>
      <c r="J812">
        <v>375</v>
      </c>
    </row>
    <row r="813" spans="8:10">
      <c r="H813" s="7" t="s">
        <v>663</v>
      </c>
      <c r="I813" s="1">
        <v>3737</v>
      </c>
      <c r="J813">
        <v>1793</v>
      </c>
    </row>
    <row r="814" spans="8:10">
      <c r="H814" s="7" t="s">
        <v>884</v>
      </c>
      <c r="I814" s="1">
        <v>30863</v>
      </c>
      <c r="J814">
        <v>286</v>
      </c>
    </row>
    <row r="815" spans="8:10">
      <c r="H815" s="7" t="s">
        <v>365</v>
      </c>
      <c r="I815" s="1">
        <v>5856</v>
      </c>
      <c r="J815">
        <v>1134</v>
      </c>
    </row>
    <row r="816" spans="8:10">
      <c r="H816" s="7" t="s">
        <v>769</v>
      </c>
      <c r="I816" s="1">
        <v>24534</v>
      </c>
      <c r="J816">
        <v>194</v>
      </c>
    </row>
    <row r="817" spans="8:10">
      <c r="H817" s="7" t="s">
        <v>516</v>
      </c>
      <c r="I817" s="1">
        <v>8798</v>
      </c>
      <c r="J817">
        <v>404</v>
      </c>
    </row>
    <row r="818" spans="8:10">
      <c r="H818" s="7" t="s">
        <v>132</v>
      </c>
      <c r="I818" s="1">
        <v>8553</v>
      </c>
      <c r="J818">
        <v>1558</v>
      </c>
    </row>
    <row r="819" spans="8:10">
      <c r="H819" s="7" t="s">
        <v>595</v>
      </c>
      <c r="I819" s="1">
        <v>28345</v>
      </c>
      <c r="J819">
        <v>914</v>
      </c>
    </row>
    <row r="820" spans="8:10">
      <c r="H820" s="7" t="s">
        <v>179</v>
      </c>
      <c r="I820" s="1">
        <v>21269</v>
      </c>
      <c r="J820">
        <v>1337</v>
      </c>
    </row>
    <row r="821" spans="8:10">
      <c r="H821" s="7" t="s">
        <v>483</v>
      </c>
      <c r="I821" s="1">
        <v>22509</v>
      </c>
      <c r="J821">
        <v>1480</v>
      </c>
    </row>
    <row r="822" spans="8:10">
      <c r="H822" s="7" t="s">
        <v>987</v>
      </c>
      <c r="I822" s="1">
        <v>26875</v>
      </c>
      <c r="J822">
        <v>1321</v>
      </c>
    </row>
    <row r="823" spans="8:10">
      <c r="H823" s="7" t="s">
        <v>478</v>
      </c>
      <c r="I823" s="1">
        <v>15314</v>
      </c>
      <c r="J823">
        <v>1575</v>
      </c>
    </row>
    <row r="824" spans="8:10">
      <c r="H824" s="7" t="s">
        <v>104</v>
      </c>
      <c r="I824" s="1">
        <v>41051</v>
      </c>
      <c r="J824">
        <v>871</v>
      </c>
    </row>
    <row r="825" spans="8:10">
      <c r="H825" s="7" t="s">
        <v>340</v>
      </c>
      <c r="I825" s="1">
        <v>13462</v>
      </c>
      <c r="J825">
        <v>749</v>
      </c>
    </row>
    <row r="826" spans="8:10">
      <c r="H826" s="7" t="s">
        <v>411</v>
      </c>
      <c r="I826" s="1">
        <v>6016</v>
      </c>
      <c r="J826">
        <v>996</v>
      </c>
    </row>
    <row r="827" spans="8:10">
      <c r="H827" s="7" t="s">
        <v>907</v>
      </c>
      <c r="I827" s="1">
        <v>44121</v>
      </c>
      <c r="J827">
        <v>179</v>
      </c>
    </row>
    <row r="828" spans="8:10">
      <c r="H828" s="7" t="s">
        <v>320</v>
      </c>
      <c r="I828" s="1">
        <v>32615</v>
      </c>
      <c r="J828">
        <v>1216</v>
      </c>
    </row>
    <row r="829" spans="8:10">
      <c r="H829" s="7" t="s">
        <v>642</v>
      </c>
      <c r="I829" s="1">
        <v>44406</v>
      </c>
      <c r="J829">
        <v>1565</v>
      </c>
    </row>
    <row r="830" spans="8:10">
      <c r="H830" s="7" t="s">
        <v>576</v>
      </c>
      <c r="I830" s="1">
        <v>1699</v>
      </c>
      <c r="J830">
        <v>1137</v>
      </c>
    </row>
    <row r="831" spans="8:10">
      <c r="H831" s="7" t="s">
        <v>635</v>
      </c>
      <c r="I831" s="1">
        <v>1233</v>
      </c>
      <c r="J831">
        <v>974</v>
      </c>
    </row>
    <row r="832" spans="8:10">
      <c r="H832" s="7" t="s">
        <v>407</v>
      </c>
      <c r="I832" s="1">
        <v>17179</v>
      </c>
      <c r="J832">
        <v>862</v>
      </c>
    </row>
    <row r="833" spans="8:10">
      <c r="H833" s="7" t="s">
        <v>647</v>
      </c>
      <c r="I833" s="1">
        <v>15706</v>
      </c>
      <c r="J833">
        <v>1732</v>
      </c>
    </row>
    <row r="834" spans="8:10">
      <c r="H834" s="7" t="s">
        <v>797</v>
      </c>
      <c r="I834" s="1">
        <v>31985</v>
      </c>
      <c r="J834">
        <v>105</v>
      </c>
    </row>
    <row r="835" spans="8:10">
      <c r="H835" s="7" t="s">
        <v>977</v>
      </c>
      <c r="I835" s="1">
        <v>35945</v>
      </c>
      <c r="J835">
        <v>1360</v>
      </c>
    </row>
    <row r="836" spans="8:10">
      <c r="H836" s="7" t="s">
        <v>924</v>
      </c>
      <c r="I836" s="1">
        <v>13764</v>
      </c>
      <c r="J836">
        <v>1624</v>
      </c>
    </row>
    <row r="837" spans="8:10">
      <c r="H837" s="7" t="s">
        <v>99</v>
      </c>
      <c r="I837" s="1">
        <v>38821</v>
      </c>
      <c r="J837">
        <v>739</v>
      </c>
    </row>
    <row r="838" spans="8:10">
      <c r="H838" s="7" t="s">
        <v>276</v>
      </c>
      <c r="I838" s="1">
        <v>27880</v>
      </c>
      <c r="J838">
        <v>1355</v>
      </c>
    </row>
    <row r="839" spans="8:10">
      <c r="H839" s="7" t="s">
        <v>522</v>
      </c>
      <c r="I839" s="1">
        <v>30473</v>
      </c>
      <c r="J839">
        <v>1206</v>
      </c>
    </row>
    <row r="840" spans="8:10">
      <c r="H840" s="7" t="s">
        <v>560</v>
      </c>
      <c r="I840" s="1">
        <v>37724</v>
      </c>
      <c r="J840">
        <v>1448</v>
      </c>
    </row>
    <row r="841" spans="8:10">
      <c r="H841" s="7" t="s">
        <v>1002</v>
      </c>
      <c r="I841" s="1">
        <v>33459</v>
      </c>
      <c r="J841">
        <v>1435</v>
      </c>
    </row>
    <row r="842" spans="8:10">
      <c r="H842" s="7" t="s">
        <v>484</v>
      </c>
      <c r="I842" s="1">
        <v>20868</v>
      </c>
      <c r="J842">
        <v>1069</v>
      </c>
    </row>
    <row r="843" spans="8:10">
      <c r="H843" s="7" t="s">
        <v>400</v>
      </c>
      <c r="I843" s="1">
        <v>39113</v>
      </c>
      <c r="J843">
        <v>646</v>
      </c>
    </row>
    <row r="844" spans="8:10">
      <c r="H844" s="7" t="s">
        <v>426</v>
      </c>
      <c r="I844" s="1">
        <v>10882</v>
      </c>
      <c r="J844">
        <v>515</v>
      </c>
    </row>
    <row r="845" spans="8:10">
      <c r="H845" s="7" t="s">
        <v>539</v>
      </c>
      <c r="I845" s="1">
        <v>41727</v>
      </c>
      <c r="J845">
        <v>213</v>
      </c>
    </row>
    <row r="846" spans="8:10">
      <c r="H846" s="7" t="s">
        <v>260</v>
      </c>
      <c r="I846" s="1">
        <v>21685</v>
      </c>
      <c r="J846">
        <v>1169</v>
      </c>
    </row>
    <row r="847" spans="8:10">
      <c r="H847" s="7" t="s">
        <v>421</v>
      </c>
      <c r="I847" s="1">
        <v>25685</v>
      </c>
      <c r="J847">
        <v>1699</v>
      </c>
    </row>
    <row r="848" spans="8:10">
      <c r="H848" s="7" t="s">
        <v>518</v>
      </c>
      <c r="I848" s="1">
        <v>38304</v>
      </c>
      <c r="J848">
        <v>1013</v>
      </c>
    </row>
    <row r="849" spans="8:10">
      <c r="H849" s="7" t="s">
        <v>438</v>
      </c>
      <c r="I849" s="1">
        <v>20696</v>
      </c>
      <c r="J849">
        <v>1326</v>
      </c>
    </row>
    <row r="850" spans="8:10">
      <c r="H850" s="7" t="s">
        <v>659</v>
      </c>
      <c r="I850" s="1">
        <v>45896</v>
      </c>
      <c r="J850">
        <v>1040</v>
      </c>
    </row>
    <row r="851" spans="8:10">
      <c r="H851" s="7" t="s">
        <v>935</v>
      </c>
      <c r="I851" s="1">
        <v>27940</v>
      </c>
      <c r="J851">
        <v>1718</v>
      </c>
    </row>
    <row r="852" spans="8:10">
      <c r="H852" s="7" t="s">
        <v>540</v>
      </c>
      <c r="I852" s="1">
        <v>18900</v>
      </c>
      <c r="J852">
        <v>1808</v>
      </c>
    </row>
    <row r="853" spans="8:10">
      <c r="H853" s="7" t="s">
        <v>582</v>
      </c>
      <c r="I853" s="1">
        <v>22700</v>
      </c>
      <c r="J853">
        <v>1610</v>
      </c>
    </row>
    <row r="854" spans="8:10">
      <c r="H854" s="7" t="s">
        <v>73</v>
      </c>
      <c r="I854" s="1">
        <v>40754</v>
      </c>
      <c r="J854">
        <v>791</v>
      </c>
    </row>
    <row r="855" spans="8:10">
      <c r="H855" s="7" t="s">
        <v>1031</v>
      </c>
      <c r="I855" s="1">
        <v>44610</v>
      </c>
      <c r="J855">
        <v>598</v>
      </c>
    </row>
    <row r="856" spans="8:10">
      <c r="H856" s="7" t="s">
        <v>813</v>
      </c>
      <c r="I856" s="1">
        <v>36872</v>
      </c>
      <c r="J856">
        <v>1817</v>
      </c>
    </row>
    <row r="857" spans="8:10">
      <c r="H857" s="7" t="s">
        <v>918</v>
      </c>
      <c r="I857" s="1">
        <v>49839</v>
      </c>
      <c r="J857">
        <v>1984</v>
      </c>
    </row>
    <row r="858" spans="8:10">
      <c r="H858" s="7" t="s">
        <v>92</v>
      </c>
      <c r="I858" s="1">
        <v>18175</v>
      </c>
      <c r="J858">
        <v>1499</v>
      </c>
    </row>
    <row r="859" spans="8:10">
      <c r="H859" s="7" t="s">
        <v>358</v>
      </c>
      <c r="I859" s="1">
        <v>31240</v>
      </c>
      <c r="J859">
        <v>1693</v>
      </c>
    </row>
    <row r="860" spans="8:10">
      <c r="H860" s="7" t="s">
        <v>415</v>
      </c>
      <c r="I860" s="1">
        <v>14001</v>
      </c>
      <c r="J860">
        <v>190</v>
      </c>
    </row>
    <row r="861" spans="8:10">
      <c r="H861" s="7" t="s">
        <v>780</v>
      </c>
      <c r="I861" s="1">
        <v>46219</v>
      </c>
      <c r="J861">
        <v>347</v>
      </c>
    </row>
    <row r="862" spans="8:10">
      <c r="H862" s="7" t="s">
        <v>723</v>
      </c>
      <c r="I862" s="1">
        <v>13450</v>
      </c>
      <c r="J862">
        <v>1464</v>
      </c>
    </row>
    <row r="863" spans="8:10">
      <c r="H863" s="7" t="s">
        <v>283</v>
      </c>
      <c r="I863" s="1">
        <v>16623</v>
      </c>
      <c r="J863">
        <v>1308</v>
      </c>
    </row>
    <row r="864" spans="8:10">
      <c r="H864" s="7" t="s">
        <v>543</v>
      </c>
      <c r="I864" s="1">
        <v>47958</v>
      </c>
      <c r="J864">
        <v>1873</v>
      </c>
    </row>
    <row r="865" spans="8:10">
      <c r="H865" s="7" t="s">
        <v>488</v>
      </c>
      <c r="I865" s="1">
        <v>36442</v>
      </c>
      <c r="J865">
        <v>1448</v>
      </c>
    </row>
    <row r="866" spans="8:10">
      <c r="H866" s="7" t="s">
        <v>52</v>
      </c>
      <c r="I866" s="1">
        <v>35258</v>
      </c>
      <c r="J866">
        <v>128</v>
      </c>
    </row>
    <row r="867" spans="8:10">
      <c r="H867" s="7" t="s">
        <v>192</v>
      </c>
      <c r="I867" s="1">
        <v>49311</v>
      </c>
      <c r="J867">
        <v>862</v>
      </c>
    </row>
    <row r="868" spans="8:10">
      <c r="H868" s="7" t="s">
        <v>447</v>
      </c>
      <c r="I868" s="1">
        <v>34645</v>
      </c>
      <c r="J868">
        <v>244</v>
      </c>
    </row>
    <row r="869" spans="8:10">
      <c r="H869" s="7" t="s">
        <v>458</v>
      </c>
      <c r="I869" s="1">
        <v>1231</v>
      </c>
      <c r="J869">
        <v>1337</v>
      </c>
    </row>
    <row r="870" spans="8:10">
      <c r="H870" s="7" t="s">
        <v>779</v>
      </c>
      <c r="I870" s="1">
        <v>3828</v>
      </c>
      <c r="J870">
        <v>1127</v>
      </c>
    </row>
    <row r="871" spans="8:10">
      <c r="H871" s="7" t="s">
        <v>418</v>
      </c>
      <c r="I871" s="1">
        <v>13808</v>
      </c>
      <c r="J871">
        <v>1394</v>
      </c>
    </row>
    <row r="872" spans="8:10">
      <c r="H872" s="7" t="s">
        <v>572</v>
      </c>
      <c r="I872" s="1">
        <v>32272</v>
      </c>
      <c r="J872">
        <v>1468</v>
      </c>
    </row>
    <row r="873" spans="8:10">
      <c r="H873" s="7" t="s">
        <v>85</v>
      </c>
      <c r="I873" s="1">
        <v>18788</v>
      </c>
      <c r="J873">
        <v>1042</v>
      </c>
    </row>
    <row r="874" spans="8:10">
      <c r="H874" s="7" t="s">
        <v>1017</v>
      </c>
      <c r="I874" s="1">
        <v>2052</v>
      </c>
      <c r="J874">
        <v>1656</v>
      </c>
    </row>
    <row r="875" spans="8:10">
      <c r="H875" s="7" t="s">
        <v>931</v>
      </c>
      <c r="I875" s="1">
        <v>40033</v>
      </c>
      <c r="J875">
        <v>1084</v>
      </c>
    </row>
    <row r="876" spans="8:10">
      <c r="H876" s="7" t="s">
        <v>303</v>
      </c>
      <c r="I876" s="1">
        <v>34972</v>
      </c>
      <c r="J876">
        <v>1094</v>
      </c>
    </row>
    <row r="877" spans="8:10">
      <c r="H877" s="7" t="s">
        <v>173</v>
      </c>
      <c r="I877" s="1">
        <v>44138</v>
      </c>
      <c r="J877">
        <v>1670</v>
      </c>
    </row>
    <row r="878" spans="8:10">
      <c r="H878" s="7" t="s">
        <v>460</v>
      </c>
      <c r="I878" s="1">
        <v>4538</v>
      </c>
      <c r="J878">
        <v>1562</v>
      </c>
    </row>
    <row r="879" spans="8:10">
      <c r="H879" s="7" t="s">
        <v>82</v>
      </c>
      <c r="I879" s="1">
        <v>41781</v>
      </c>
      <c r="J879">
        <v>1351</v>
      </c>
    </row>
    <row r="880" spans="8:10">
      <c r="H880" s="7" t="s">
        <v>297</v>
      </c>
      <c r="I880" s="1">
        <v>46620</v>
      </c>
      <c r="J880">
        <v>751</v>
      </c>
    </row>
    <row r="881" spans="8:10">
      <c r="H881" s="7" t="s">
        <v>892</v>
      </c>
      <c r="I881" s="1">
        <v>6205</v>
      </c>
      <c r="J881">
        <v>1368</v>
      </c>
    </row>
    <row r="882" spans="8:10">
      <c r="H882" s="7" t="s">
        <v>545</v>
      </c>
      <c r="I882" s="1">
        <v>26564</v>
      </c>
      <c r="J882">
        <v>1178</v>
      </c>
    </row>
    <row r="883" spans="8:10">
      <c r="H883" s="7" t="s">
        <v>199</v>
      </c>
      <c r="I883" s="1">
        <v>48645</v>
      </c>
      <c r="J883">
        <v>936</v>
      </c>
    </row>
    <row r="884" spans="8:10">
      <c r="H884" s="7" t="s">
        <v>754</v>
      </c>
      <c r="I884" s="1">
        <v>28350</v>
      </c>
      <c r="J884">
        <v>506</v>
      </c>
    </row>
    <row r="885" spans="8:10">
      <c r="H885" s="7" t="s">
        <v>1024</v>
      </c>
      <c r="I885" s="1">
        <v>31678</v>
      </c>
      <c r="J885">
        <v>144</v>
      </c>
    </row>
    <row r="886" spans="8:10">
      <c r="H886" s="7" t="s">
        <v>955</v>
      </c>
      <c r="I886" s="1">
        <v>32484</v>
      </c>
      <c r="J886">
        <v>1265</v>
      </c>
    </row>
    <row r="887" spans="8:10">
      <c r="H887" s="7" t="s">
        <v>169</v>
      </c>
      <c r="I887" s="1">
        <v>27781</v>
      </c>
      <c r="J887">
        <v>1859</v>
      </c>
    </row>
    <row r="888" spans="8:10">
      <c r="H888" s="7" t="s">
        <v>108</v>
      </c>
      <c r="I888" s="1">
        <v>19247</v>
      </c>
      <c r="J888">
        <v>1232</v>
      </c>
    </row>
    <row r="889" spans="8:10">
      <c r="H889" s="7" t="s">
        <v>249</v>
      </c>
      <c r="I889" s="1">
        <v>13838</v>
      </c>
      <c r="J889">
        <v>1315</v>
      </c>
    </row>
    <row r="890" spans="8:10">
      <c r="H890" s="7" t="s">
        <v>702</v>
      </c>
      <c r="I890" s="1">
        <v>15335</v>
      </c>
      <c r="J890">
        <v>161</v>
      </c>
    </row>
    <row r="891" spans="8:10">
      <c r="H891" s="7" t="s">
        <v>282</v>
      </c>
      <c r="I891" s="1">
        <v>21911</v>
      </c>
      <c r="J891">
        <v>1423</v>
      </c>
    </row>
    <row r="892" spans="8:10">
      <c r="H892" s="7" t="s">
        <v>141</v>
      </c>
      <c r="I892" s="1">
        <v>11515</v>
      </c>
      <c r="J892">
        <v>1886</v>
      </c>
    </row>
    <row r="893" spans="8:10">
      <c r="H893" s="7" t="s">
        <v>486</v>
      </c>
      <c r="I893" s="1">
        <v>47553</v>
      </c>
      <c r="J893">
        <v>1744</v>
      </c>
    </row>
    <row r="894" spans="8:10">
      <c r="H894" s="7" t="s">
        <v>846</v>
      </c>
      <c r="I894" s="1">
        <v>27219</v>
      </c>
      <c r="J894">
        <v>152</v>
      </c>
    </row>
    <row r="895" spans="8:10">
      <c r="H895" s="7" t="s">
        <v>926</v>
      </c>
      <c r="I895" s="1">
        <v>12431</v>
      </c>
      <c r="J895">
        <v>906</v>
      </c>
    </row>
    <row r="896" spans="8:10">
      <c r="H896" s="7" t="s">
        <v>993</v>
      </c>
      <c r="I896" s="1">
        <v>19258</v>
      </c>
      <c r="J896">
        <v>455</v>
      </c>
    </row>
    <row r="897" spans="8:10">
      <c r="H897" s="7" t="s">
        <v>55</v>
      </c>
      <c r="I897" s="1">
        <v>13538</v>
      </c>
      <c r="J897">
        <v>1986</v>
      </c>
    </row>
    <row r="898" spans="8:10">
      <c r="H898" s="7" t="s">
        <v>686</v>
      </c>
      <c r="I898" s="1">
        <v>11743</v>
      </c>
      <c r="J898">
        <v>421</v>
      </c>
    </row>
    <row r="899" spans="8:10">
      <c r="H899" s="7" t="s">
        <v>948</v>
      </c>
      <c r="I899" s="1">
        <v>18843</v>
      </c>
      <c r="J899">
        <v>449</v>
      </c>
    </row>
    <row r="900" spans="8:10">
      <c r="H900" s="7" t="s">
        <v>17</v>
      </c>
      <c r="I900" s="1">
        <v>43833</v>
      </c>
      <c r="J900">
        <v>1500</v>
      </c>
    </row>
    <row r="901" spans="8:10">
      <c r="H901" s="7" t="s">
        <v>855</v>
      </c>
      <c r="I901" s="1">
        <v>4285</v>
      </c>
      <c r="J901">
        <v>889</v>
      </c>
    </row>
    <row r="902" spans="8:10">
      <c r="H902" s="7" t="s">
        <v>201</v>
      </c>
      <c r="I902" s="1">
        <v>7513</v>
      </c>
      <c r="J902">
        <v>1318</v>
      </c>
    </row>
    <row r="903" spans="8:10">
      <c r="H903" s="7" t="s">
        <v>515</v>
      </c>
      <c r="I903" s="1">
        <v>15485</v>
      </c>
      <c r="J903">
        <v>1087</v>
      </c>
    </row>
    <row r="904" spans="8:10">
      <c r="H904" s="7" t="s">
        <v>767</v>
      </c>
      <c r="I904" s="1">
        <v>2979</v>
      </c>
      <c r="J904">
        <v>223</v>
      </c>
    </row>
    <row r="905" spans="8:10">
      <c r="H905" s="7" t="s">
        <v>656</v>
      </c>
      <c r="I905" s="1">
        <v>7696</v>
      </c>
      <c r="J905">
        <v>1383</v>
      </c>
    </row>
    <row r="906" spans="8:10">
      <c r="H906" s="7" t="s">
        <v>1016</v>
      </c>
      <c r="I906" s="1">
        <v>30322</v>
      </c>
      <c r="J906">
        <v>1922</v>
      </c>
    </row>
    <row r="907" spans="8:10">
      <c r="H907" s="7" t="s">
        <v>491</v>
      </c>
      <c r="I907" s="1">
        <v>19598</v>
      </c>
      <c r="J907">
        <v>873</v>
      </c>
    </row>
    <row r="908" spans="8:10">
      <c r="H908" s="7" t="s">
        <v>531</v>
      </c>
      <c r="I908" s="1">
        <v>48715</v>
      </c>
      <c r="J908">
        <v>110</v>
      </c>
    </row>
    <row r="909" spans="8:10">
      <c r="H909" s="7" t="s">
        <v>503</v>
      </c>
      <c r="I909" s="1">
        <v>35523</v>
      </c>
      <c r="J909">
        <v>1876</v>
      </c>
    </row>
    <row r="910" spans="8:10">
      <c r="H910" s="7" t="s">
        <v>722</v>
      </c>
      <c r="I910" s="1">
        <v>27833</v>
      </c>
      <c r="J910">
        <v>452</v>
      </c>
    </row>
    <row r="911" spans="8:10">
      <c r="H911" s="7" t="s">
        <v>100</v>
      </c>
      <c r="I911" s="1">
        <v>5779</v>
      </c>
      <c r="J911">
        <v>1610</v>
      </c>
    </row>
    <row r="912" spans="8:10">
      <c r="H912" s="7" t="s">
        <v>690</v>
      </c>
      <c r="I912" s="1">
        <v>1499</v>
      </c>
      <c r="J912">
        <v>1631</v>
      </c>
    </row>
    <row r="913" spans="8:10">
      <c r="H913" s="7" t="s">
        <v>213</v>
      </c>
      <c r="I913" s="1">
        <v>13081</v>
      </c>
      <c r="J913">
        <v>1134</v>
      </c>
    </row>
    <row r="914" spans="8:10">
      <c r="H914" s="7" t="s">
        <v>1026</v>
      </c>
      <c r="I914" s="1">
        <v>11503</v>
      </c>
      <c r="J914">
        <v>1435</v>
      </c>
    </row>
    <row r="915" spans="8:10">
      <c r="H915" s="7" t="s">
        <v>883</v>
      </c>
      <c r="I915" s="1">
        <v>36377</v>
      </c>
      <c r="J915">
        <v>1541</v>
      </c>
    </row>
    <row r="916" spans="8:10">
      <c r="H916" s="7" t="s">
        <v>196</v>
      </c>
      <c r="I916" s="1">
        <v>43256</v>
      </c>
      <c r="J916">
        <v>254</v>
      </c>
    </row>
    <row r="917" spans="8:10">
      <c r="H917" s="7" t="s">
        <v>834</v>
      </c>
      <c r="I917" s="1">
        <v>47213</v>
      </c>
      <c r="J917">
        <v>961</v>
      </c>
    </row>
    <row r="918" spans="8:10">
      <c r="H918" s="7" t="s">
        <v>826</v>
      </c>
      <c r="I918" s="1">
        <v>38994</v>
      </c>
      <c r="J918">
        <v>716</v>
      </c>
    </row>
    <row r="919" spans="8:10">
      <c r="H919" s="7" t="s">
        <v>944</v>
      </c>
      <c r="I919" s="1">
        <v>35865</v>
      </c>
      <c r="J919">
        <v>1521</v>
      </c>
    </row>
    <row r="920" spans="8:10">
      <c r="H920" s="7" t="s">
        <v>220</v>
      </c>
      <c r="I920" s="1">
        <v>37320</v>
      </c>
      <c r="J920">
        <v>411</v>
      </c>
    </row>
    <row r="921" spans="8:10">
      <c r="H921" s="7" t="s">
        <v>625</v>
      </c>
      <c r="I921" s="1">
        <v>18211</v>
      </c>
      <c r="J921">
        <v>1542</v>
      </c>
    </row>
    <row r="922" spans="8:10">
      <c r="H922" s="7" t="s">
        <v>88</v>
      </c>
      <c r="I922" s="1">
        <v>32496</v>
      </c>
      <c r="J922">
        <v>565</v>
      </c>
    </row>
    <row r="923" spans="8:10">
      <c r="H923" s="7" t="s">
        <v>567</v>
      </c>
      <c r="I923" s="1">
        <v>32484</v>
      </c>
      <c r="J923">
        <v>165</v>
      </c>
    </row>
    <row r="924" spans="8:10">
      <c r="H924" s="7" t="s">
        <v>187</v>
      </c>
      <c r="I924" s="1">
        <v>19170</v>
      </c>
      <c r="J924">
        <v>1698</v>
      </c>
    </row>
    <row r="925" spans="8:10">
      <c r="H925" s="7" t="s">
        <v>895</v>
      </c>
      <c r="I925" s="1">
        <v>11276</v>
      </c>
      <c r="J925">
        <v>338</v>
      </c>
    </row>
    <row r="926" spans="8:10">
      <c r="H926" s="7" t="s">
        <v>327</v>
      </c>
      <c r="I926" s="1">
        <v>34649</v>
      </c>
      <c r="J926">
        <v>1042</v>
      </c>
    </row>
    <row r="927" spans="8:10">
      <c r="H927" s="7" t="s">
        <v>770</v>
      </c>
      <c r="I927" s="1">
        <v>23684</v>
      </c>
      <c r="J927">
        <v>661</v>
      </c>
    </row>
    <row r="928" spans="8:10">
      <c r="H928" s="7" t="s">
        <v>782</v>
      </c>
      <c r="I928" s="1">
        <v>35389</v>
      </c>
      <c r="J928">
        <v>1105</v>
      </c>
    </row>
    <row r="929" spans="8:10">
      <c r="H929" s="7" t="s">
        <v>520</v>
      </c>
      <c r="I929" s="1">
        <v>25111</v>
      </c>
      <c r="J929">
        <v>857</v>
      </c>
    </row>
    <row r="930" spans="8:10">
      <c r="H930" s="7" t="s">
        <v>507</v>
      </c>
      <c r="I930" s="1">
        <v>42087</v>
      </c>
      <c r="J930">
        <v>1477</v>
      </c>
    </row>
    <row r="931" spans="8:10">
      <c r="H931" s="7" t="s">
        <v>519</v>
      </c>
      <c r="I931" s="1">
        <v>32258</v>
      </c>
      <c r="J931">
        <v>434</v>
      </c>
    </row>
    <row r="932" spans="8:10">
      <c r="H932" s="7" t="s">
        <v>999</v>
      </c>
      <c r="I932" s="1">
        <v>10084</v>
      </c>
      <c r="J932">
        <v>1084</v>
      </c>
    </row>
    <row r="933" spans="8:10">
      <c r="H933" s="7" t="s">
        <v>461</v>
      </c>
      <c r="I933" s="1">
        <v>10971</v>
      </c>
      <c r="J933">
        <v>1893</v>
      </c>
    </row>
    <row r="934" spans="8:10">
      <c r="H934" s="7" t="s">
        <v>359</v>
      </c>
      <c r="I934" s="1">
        <v>9455</v>
      </c>
      <c r="J934">
        <v>1549</v>
      </c>
    </row>
    <row r="935" spans="8:10">
      <c r="H935" s="7" t="s">
        <v>215</v>
      </c>
      <c r="I935" s="1">
        <v>19965</v>
      </c>
      <c r="J935">
        <v>153</v>
      </c>
    </row>
    <row r="936" spans="8:10">
      <c r="H936" s="7" t="s">
        <v>612</v>
      </c>
      <c r="I936" s="1">
        <v>44230</v>
      </c>
      <c r="J936">
        <v>1217</v>
      </c>
    </row>
    <row r="937" spans="8:10">
      <c r="H937" s="7" t="s">
        <v>452</v>
      </c>
      <c r="I937" s="1">
        <v>30738</v>
      </c>
      <c r="J937">
        <v>835</v>
      </c>
    </row>
    <row r="938" spans="8:10">
      <c r="H938" s="7" t="s">
        <v>153</v>
      </c>
      <c r="I938" s="1">
        <v>27380</v>
      </c>
      <c r="J938">
        <v>698</v>
      </c>
    </row>
    <row r="939" spans="8:10">
      <c r="H939" s="7" t="s">
        <v>364</v>
      </c>
      <c r="I939" s="1">
        <v>7222</v>
      </c>
      <c r="J939">
        <v>1028</v>
      </c>
    </row>
    <row r="940" spans="8:10">
      <c r="H940" s="7" t="s">
        <v>692</v>
      </c>
      <c r="I940" s="1">
        <v>12327</v>
      </c>
      <c r="J940">
        <v>152</v>
      </c>
    </row>
    <row r="941" spans="8:10">
      <c r="H941" s="7" t="s">
        <v>914</v>
      </c>
      <c r="I941" s="1">
        <v>44042</v>
      </c>
      <c r="J941">
        <v>230</v>
      </c>
    </row>
    <row r="942" spans="8:10">
      <c r="H942" s="7" t="s">
        <v>841</v>
      </c>
      <c r="I942" s="1">
        <v>34947</v>
      </c>
      <c r="J942">
        <v>1000</v>
      </c>
    </row>
    <row r="943" spans="8:10">
      <c r="H943" s="7" t="s">
        <v>495</v>
      </c>
      <c r="I943" s="1">
        <v>4842</v>
      </c>
      <c r="J943">
        <v>450</v>
      </c>
    </row>
    <row r="944" spans="8:10">
      <c r="H944" s="7" t="s">
        <v>673</v>
      </c>
      <c r="I944" s="1">
        <v>9959</v>
      </c>
      <c r="J944">
        <v>1746</v>
      </c>
    </row>
    <row r="945" spans="8:10">
      <c r="H945" s="7" t="s">
        <v>658</v>
      </c>
      <c r="I945" s="1">
        <v>31641</v>
      </c>
      <c r="J945">
        <v>1759</v>
      </c>
    </row>
    <row r="946" spans="8:10">
      <c r="H946" s="7" t="s">
        <v>802</v>
      </c>
      <c r="I946" s="1">
        <v>5212</v>
      </c>
      <c r="J946">
        <v>1993</v>
      </c>
    </row>
    <row r="947" spans="8:10">
      <c r="H947" s="7" t="s">
        <v>404</v>
      </c>
      <c r="I947" s="1">
        <v>20937</v>
      </c>
      <c r="J947">
        <v>302</v>
      </c>
    </row>
    <row r="948" spans="8:10">
      <c r="H948" s="7" t="s">
        <v>912</v>
      </c>
      <c r="I948" s="1">
        <v>33405</v>
      </c>
      <c r="J948">
        <v>1468</v>
      </c>
    </row>
    <row r="949" spans="8:10">
      <c r="H949" s="7" t="s">
        <v>469</v>
      </c>
      <c r="I949" s="1">
        <v>36260</v>
      </c>
      <c r="J949">
        <v>1423</v>
      </c>
    </row>
    <row r="950" spans="8:10">
      <c r="H950" s="7" t="s">
        <v>465</v>
      </c>
      <c r="I950" s="1">
        <v>43574</v>
      </c>
      <c r="J950">
        <v>214</v>
      </c>
    </row>
    <row r="951" spans="8:10">
      <c r="H951" s="7" t="s">
        <v>90</v>
      </c>
      <c r="I951" s="1">
        <v>23173</v>
      </c>
      <c r="J951">
        <v>1032</v>
      </c>
    </row>
    <row r="952" spans="8:10">
      <c r="H952" s="7" t="s">
        <v>603</v>
      </c>
      <c r="I952" s="1">
        <v>28337</v>
      </c>
      <c r="J952">
        <v>301</v>
      </c>
    </row>
    <row r="953" spans="8:10">
      <c r="H953" s="7" t="s">
        <v>118</v>
      </c>
      <c r="I953" s="1">
        <v>25665</v>
      </c>
      <c r="J953">
        <v>784</v>
      </c>
    </row>
    <row r="954" spans="8:10">
      <c r="H954" s="7" t="s">
        <v>371</v>
      </c>
      <c r="I954" s="1">
        <v>47811</v>
      </c>
      <c r="J954">
        <v>819</v>
      </c>
    </row>
    <row r="955" spans="8:10">
      <c r="H955" s="7" t="s">
        <v>984</v>
      </c>
      <c r="I955" s="1">
        <v>17378</v>
      </c>
      <c r="J955">
        <v>1691</v>
      </c>
    </row>
    <row r="956" spans="8:10">
      <c r="H956" s="7" t="s">
        <v>454</v>
      </c>
      <c r="I956" s="1">
        <v>11807</v>
      </c>
      <c r="J956">
        <v>728</v>
      </c>
    </row>
    <row r="957" spans="8:10">
      <c r="H957" s="7" t="s">
        <v>677</v>
      </c>
      <c r="I957" s="1">
        <v>30051</v>
      </c>
      <c r="J957">
        <v>793</v>
      </c>
    </row>
    <row r="958" spans="8:10">
      <c r="H958" s="7" t="s">
        <v>683</v>
      </c>
      <c r="I958" s="1">
        <v>30194</v>
      </c>
      <c r="J958">
        <v>622</v>
      </c>
    </row>
    <row r="959" spans="8:10">
      <c r="H959" s="7" t="s">
        <v>98</v>
      </c>
      <c r="I959" s="1">
        <v>33706</v>
      </c>
      <c r="J959">
        <v>1137</v>
      </c>
    </row>
    <row r="960" spans="8:10">
      <c r="H960" s="7" t="s">
        <v>991</v>
      </c>
      <c r="I960" s="1">
        <v>46343</v>
      </c>
      <c r="J960">
        <v>1114</v>
      </c>
    </row>
    <row r="961" spans="8:10">
      <c r="H961" s="7" t="s">
        <v>649</v>
      </c>
      <c r="I961" s="1">
        <v>29230</v>
      </c>
      <c r="J961">
        <v>524</v>
      </c>
    </row>
    <row r="962" spans="8:10">
      <c r="H962" s="7" t="s">
        <v>728</v>
      </c>
      <c r="I962" s="1">
        <v>36009</v>
      </c>
      <c r="J962">
        <v>1927</v>
      </c>
    </row>
    <row r="963" spans="8:10">
      <c r="H963" s="7" t="s">
        <v>693</v>
      </c>
      <c r="I963" s="1">
        <v>2668</v>
      </c>
      <c r="J963">
        <v>1283</v>
      </c>
    </row>
    <row r="964" spans="8:10">
      <c r="H964" s="7" t="s">
        <v>584</v>
      </c>
      <c r="I964" s="1">
        <v>37393</v>
      </c>
      <c r="J964">
        <v>1515</v>
      </c>
    </row>
    <row r="965" spans="8:10">
      <c r="H965" s="7" t="s">
        <v>50</v>
      </c>
      <c r="I965" s="1">
        <v>33931</v>
      </c>
      <c r="J965">
        <v>1633</v>
      </c>
    </row>
    <row r="966" spans="8:10">
      <c r="H966" s="7" t="s">
        <v>457</v>
      </c>
      <c r="I966" s="1">
        <v>30246</v>
      </c>
      <c r="J966">
        <v>1507</v>
      </c>
    </row>
    <row r="967" spans="8:10">
      <c r="H967" s="7" t="s">
        <v>961</v>
      </c>
      <c r="I967" s="1">
        <v>47873</v>
      </c>
      <c r="J967">
        <v>1663</v>
      </c>
    </row>
    <row r="968" spans="8:10">
      <c r="H968" s="7" t="s">
        <v>875</v>
      </c>
      <c r="I968" s="1">
        <v>27371</v>
      </c>
      <c r="J968">
        <v>1266</v>
      </c>
    </row>
    <row r="969" spans="8:10">
      <c r="H969" s="7" t="s">
        <v>172</v>
      </c>
      <c r="I969" s="1">
        <v>42644</v>
      </c>
      <c r="J969">
        <v>431</v>
      </c>
    </row>
    <row r="970" spans="8:10">
      <c r="H970" s="7" t="s">
        <v>756</v>
      </c>
      <c r="I970" s="1">
        <v>29529</v>
      </c>
      <c r="J970">
        <v>794</v>
      </c>
    </row>
    <row r="971" spans="8:10">
      <c r="H971" s="7" t="s">
        <v>753</v>
      </c>
      <c r="I971" s="1">
        <v>13438</v>
      </c>
      <c r="J971">
        <v>358</v>
      </c>
    </row>
    <row r="972" spans="8:10">
      <c r="H972" s="7" t="s">
        <v>893</v>
      </c>
      <c r="I972" s="1">
        <v>10109</v>
      </c>
      <c r="J972">
        <v>936</v>
      </c>
    </row>
    <row r="973" spans="8:10">
      <c r="H973" s="7" t="s">
        <v>193</v>
      </c>
      <c r="I973" s="1">
        <v>21123</v>
      </c>
      <c r="J973">
        <v>1017</v>
      </c>
    </row>
    <row r="974" spans="8:10">
      <c r="H974" s="7" t="s">
        <v>456</v>
      </c>
      <c r="I974" s="1">
        <v>18807</v>
      </c>
      <c r="J974">
        <v>1281</v>
      </c>
    </row>
    <row r="975" spans="8:10">
      <c r="H975" s="7" t="s">
        <v>466</v>
      </c>
      <c r="I975" s="1">
        <v>19038</v>
      </c>
      <c r="J975">
        <v>472</v>
      </c>
    </row>
    <row r="976" spans="8:10">
      <c r="H976" s="7" t="s">
        <v>734</v>
      </c>
      <c r="I976" s="1">
        <v>43091</v>
      </c>
      <c r="J976">
        <v>1723</v>
      </c>
    </row>
    <row r="977" spans="8:10">
      <c r="H977" s="7" t="s">
        <v>847</v>
      </c>
      <c r="I977" s="1">
        <v>39898</v>
      </c>
      <c r="J977">
        <v>1989</v>
      </c>
    </row>
    <row r="978" spans="8:10">
      <c r="H978" s="7" t="s">
        <v>446</v>
      </c>
      <c r="I978" s="1">
        <v>40529</v>
      </c>
      <c r="J978">
        <v>324</v>
      </c>
    </row>
    <row r="979" spans="8:10">
      <c r="H979" s="7" t="s">
        <v>874</v>
      </c>
      <c r="I979" s="1">
        <v>6484</v>
      </c>
      <c r="J979">
        <v>1591</v>
      </c>
    </row>
    <row r="980" spans="8:10">
      <c r="H980" s="7" t="s">
        <v>1020</v>
      </c>
      <c r="I980" s="1">
        <v>35739</v>
      </c>
      <c r="J980">
        <v>202</v>
      </c>
    </row>
    <row r="981" spans="8:10">
      <c r="H981" s="7" t="s">
        <v>835</v>
      </c>
      <c r="I981" s="1">
        <v>27514</v>
      </c>
      <c r="J981">
        <v>1410</v>
      </c>
    </row>
    <row r="982" spans="8:10">
      <c r="H982" s="7" t="s">
        <v>915</v>
      </c>
      <c r="I982" s="1">
        <v>26954</v>
      </c>
      <c r="J982">
        <v>498</v>
      </c>
    </row>
    <row r="983" spans="8:10">
      <c r="H983" s="7" t="s">
        <v>887</v>
      </c>
      <c r="I983" s="1">
        <v>15841</v>
      </c>
      <c r="J983">
        <v>1441</v>
      </c>
    </row>
    <row r="984" spans="8:10">
      <c r="H984" s="7" t="s">
        <v>966</v>
      </c>
      <c r="I984" s="1">
        <v>44930</v>
      </c>
      <c r="J984">
        <v>1206</v>
      </c>
    </row>
    <row r="985" spans="8:10">
      <c r="H985" s="7" t="s">
        <v>871</v>
      </c>
      <c r="I985" s="1">
        <v>28938</v>
      </c>
      <c r="J985">
        <v>1589</v>
      </c>
    </row>
    <row r="986" spans="8:10">
      <c r="H986" s="7" t="s">
        <v>289</v>
      </c>
      <c r="I986" s="1">
        <v>36217</v>
      </c>
      <c r="J986">
        <v>1197</v>
      </c>
    </row>
    <row r="987" spans="8:10">
      <c r="H987" s="7" t="s">
        <v>494</v>
      </c>
      <c r="I987" s="1">
        <v>16758</v>
      </c>
      <c r="J987">
        <v>917</v>
      </c>
    </row>
    <row r="988" spans="8:10">
      <c r="H988" s="7" t="s">
        <v>372</v>
      </c>
      <c r="I988" s="1">
        <v>16660</v>
      </c>
      <c r="J988">
        <v>1654</v>
      </c>
    </row>
    <row r="989" spans="8:10">
      <c r="H989" s="7" t="s">
        <v>120</v>
      </c>
      <c r="I989" s="1">
        <v>29315</v>
      </c>
      <c r="J989">
        <v>1675</v>
      </c>
    </row>
    <row r="990" spans="8:10">
      <c r="H990" s="7" t="s">
        <v>117</v>
      </c>
      <c r="I990" s="1">
        <v>30640</v>
      </c>
      <c r="J990">
        <v>1776</v>
      </c>
    </row>
    <row r="991" spans="8:10">
      <c r="H991" s="7" t="s">
        <v>171</v>
      </c>
      <c r="I991" s="1">
        <v>38657</v>
      </c>
      <c r="J991">
        <v>1428</v>
      </c>
    </row>
    <row r="992" spans="8:10">
      <c r="H992" s="7" t="s">
        <v>238</v>
      </c>
      <c r="I992" s="1">
        <v>14721</v>
      </c>
      <c r="J992">
        <v>883</v>
      </c>
    </row>
    <row r="993" spans="8:10">
      <c r="H993" s="7" t="s">
        <v>662</v>
      </c>
      <c r="I993" s="1">
        <v>48316</v>
      </c>
      <c r="J993">
        <v>1615</v>
      </c>
    </row>
    <row r="994" spans="8:10">
      <c r="H994" s="7" t="s">
        <v>388</v>
      </c>
      <c r="I994" s="1">
        <v>14779</v>
      </c>
      <c r="J994">
        <v>1882</v>
      </c>
    </row>
    <row r="995" spans="8:10">
      <c r="H995" s="7" t="s">
        <v>592</v>
      </c>
      <c r="I995" s="1">
        <v>33093</v>
      </c>
      <c r="J995">
        <v>355</v>
      </c>
    </row>
    <row r="996" spans="8:10">
      <c r="H996" s="7" t="s">
        <v>300</v>
      </c>
      <c r="I996" s="1">
        <v>1848</v>
      </c>
      <c r="J996">
        <v>1428</v>
      </c>
    </row>
    <row r="997" spans="8:10">
      <c r="H997" s="7" t="s">
        <v>1045</v>
      </c>
      <c r="I997" s="1">
        <v>26078804</v>
      </c>
      <c r="J997">
        <v>1056409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D764C-25DC-4CFB-A550-057478BCFE0B}">
  <dimension ref="A1:AH22"/>
  <sheetViews>
    <sheetView showGridLines="0" showRowColHeaders="0" tabSelected="1" zoomScale="42" zoomScaleNormal="52" workbookViewId="0">
      <selection activeCell="W50" sqref="W50"/>
    </sheetView>
  </sheetViews>
  <sheetFormatPr defaultRowHeight="14.4"/>
  <sheetData>
    <row r="1" spans="1:28">
      <c r="A1" s="18" t="s">
        <v>1070</v>
      </c>
      <c r="B1" s="19"/>
      <c r="C1" s="19"/>
      <c r="D1" s="19"/>
      <c r="E1" s="19"/>
      <c r="F1" s="19"/>
      <c r="G1" s="19"/>
      <c r="H1" s="19"/>
      <c r="I1" s="19"/>
      <c r="J1" s="19"/>
      <c r="K1" s="19"/>
      <c r="L1" s="19"/>
      <c r="M1" s="19"/>
      <c r="N1" s="19"/>
      <c r="O1" s="19"/>
      <c r="P1" s="19"/>
      <c r="Q1" s="19"/>
      <c r="R1" s="19"/>
      <c r="S1" s="19"/>
      <c r="T1" s="19"/>
      <c r="U1" s="19"/>
      <c r="V1" s="19"/>
      <c r="W1" s="19"/>
      <c r="X1" s="19"/>
      <c r="Y1" s="19"/>
      <c r="Z1" s="19"/>
      <c r="AA1" s="19"/>
      <c r="AB1" s="19"/>
    </row>
    <row r="2" spans="1:28">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row>
    <row r="3" spans="1:28">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row>
    <row r="4" spans="1:28">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row>
    <row r="7" spans="1:28" ht="22.8">
      <c r="A7" s="11" t="s">
        <v>1068</v>
      </c>
      <c r="B7" s="16"/>
      <c r="C7" s="16"/>
      <c r="E7" s="11" t="s">
        <v>1069</v>
      </c>
      <c r="F7" s="17"/>
      <c r="G7" s="17"/>
      <c r="I7" s="11" t="s">
        <v>1066</v>
      </c>
      <c r="J7" s="17"/>
      <c r="K7" s="17"/>
      <c r="L7" s="17"/>
      <c r="M7" s="8"/>
      <c r="N7" s="11" t="s">
        <v>1065</v>
      </c>
      <c r="O7" s="11"/>
      <c r="P7" s="11"/>
      <c r="Q7" s="11"/>
      <c r="R7" s="11"/>
      <c r="T7" s="11" t="s">
        <v>1064</v>
      </c>
      <c r="U7" s="12"/>
      <c r="V7" s="12"/>
      <c r="W7" s="12"/>
      <c r="Y7" s="13" t="s">
        <v>1067</v>
      </c>
      <c r="Z7" s="13"/>
      <c r="AA7" s="13"/>
      <c r="AB7" s="13"/>
    </row>
    <row r="8" spans="1:28" ht="14.4" customHeight="1">
      <c r="A8" s="10" t="str">
        <f>ROUND(SUM(Cleaned_Data!G:G)/1000000,2)&amp;"M"</f>
        <v>26.08M</v>
      </c>
      <c r="B8" s="10"/>
      <c r="C8" s="10"/>
      <c r="E8" s="10">
        <f>SUM(Cleaned_Data!F:F)</f>
        <v>1056409</v>
      </c>
      <c r="F8" s="10"/>
      <c r="G8" s="10"/>
      <c r="I8" s="15">
        <f>AVERAGE(Cleaned_Data!Q:Q)</f>
        <v>0.95830276448697371</v>
      </c>
      <c r="J8" s="15"/>
      <c r="K8" s="15"/>
      <c r="L8" s="15"/>
      <c r="M8" s="8"/>
      <c r="N8" s="10" t="str">
        <f>_xlfn.XLOOKUP(MAX(Pivot_Tables!B1:B6),Pivot_Tables!B1:B6,Pivot_Tables!A1:A6)</f>
        <v>South America</v>
      </c>
      <c r="O8" s="10"/>
      <c r="P8" s="10"/>
      <c r="Q8" s="10"/>
      <c r="R8" s="10"/>
      <c r="T8" s="10" t="str">
        <f>_xlfn.XLOOKUP(MAX(Pivot_Tables!B15:B20),Pivot_Tables!B15:B20,Pivot_Tables!A15:A20)</f>
        <v>Drug B</v>
      </c>
      <c r="U8" s="10"/>
      <c r="V8" s="10"/>
      <c r="W8" s="10"/>
      <c r="Y8" s="14">
        <f>COUNTIF(Cleaned_Data!R:R,"Achieved")/COUNTA(Cleaned_Data!R:R)</f>
        <v>0.37562437562437562</v>
      </c>
      <c r="Z8" s="14"/>
      <c r="AA8" s="14"/>
      <c r="AB8" s="14"/>
    </row>
    <row r="9" spans="1:28" ht="14.4" customHeight="1">
      <c r="A9" s="10"/>
      <c r="B9" s="10"/>
      <c r="C9" s="10"/>
      <c r="E9" s="10"/>
      <c r="F9" s="10"/>
      <c r="G9" s="10"/>
      <c r="I9" s="15"/>
      <c r="J9" s="15"/>
      <c r="K9" s="15"/>
      <c r="L9" s="15"/>
      <c r="M9" s="8"/>
      <c r="N9" s="10"/>
      <c r="O9" s="10"/>
      <c r="P9" s="10"/>
      <c r="Q9" s="10"/>
      <c r="R9" s="10"/>
      <c r="T9" s="10"/>
      <c r="U9" s="10"/>
      <c r="V9" s="10"/>
      <c r="W9" s="10"/>
      <c r="Y9" s="14"/>
      <c r="Z9" s="14"/>
      <c r="AA9" s="14"/>
      <c r="AB9" s="14"/>
    </row>
    <row r="10" spans="1:28" ht="14.4" customHeight="1">
      <c r="A10" s="10"/>
      <c r="B10" s="10"/>
      <c r="C10" s="10"/>
      <c r="E10" s="10"/>
      <c r="F10" s="10"/>
      <c r="G10" s="10"/>
      <c r="I10" s="15"/>
      <c r="J10" s="15"/>
      <c r="K10" s="15"/>
      <c r="L10" s="15"/>
      <c r="M10" s="8"/>
      <c r="N10" s="10"/>
      <c r="O10" s="10"/>
      <c r="P10" s="10"/>
      <c r="Q10" s="10"/>
      <c r="R10" s="10"/>
      <c r="T10" s="10"/>
      <c r="U10" s="10"/>
      <c r="V10" s="10"/>
      <c r="W10" s="10"/>
      <c r="Y10" s="14"/>
      <c r="Z10" s="14"/>
      <c r="AA10" s="14"/>
      <c r="AB10" s="14"/>
    </row>
    <row r="11" spans="1:28">
      <c r="M11" s="8"/>
    </row>
    <row r="22" spans="34:34">
      <c r="AH22" s="9"/>
    </row>
  </sheetData>
  <mergeCells count="13">
    <mergeCell ref="A1:AB4"/>
    <mergeCell ref="I8:L10"/>
    <mergeCell ref="N7:R7"/>
    <mergeCell ref="A7:C7"/>
    <mergeCell ref="A8:C10"/>
    <mergeCell ref="E7:G7"/>
    <mergeCell ref="E8:G10"/>
    <mergeCell ref="I7:L7"/>
    <mergeCell ref="N8:R10"/>
    <mergeCell ref="T7:W7"/>
    <mergeCell ref="T8:W10"/>
    <mergeCell ref="Y7:AB7"/>
    <mergeCell ref="Y8:AB1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BF4C-B8A1-42D2-8159-6DD64B7E111C}">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 </vt:lpstr>
      <vt:lpstr>Cleaned_Data</vt:lpstr>
      <vt:lpstr>Helper_Table</vt:lpstr>
      <vt:lpstr>Pivot_Tables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NATH</dc:creator>
  <cp:lastModifiedBy>SHALINI NATH</cp:lastModifiedBy>
  <cp:lastPrinted>2026-05-28T12:30:07Z</cp:lastPrinted>
  <dcterms:created xsi:type="dcterms:W3CDTF">2026-05-28T06:41:39Z</dcterms:created>
  <dcterms:modified xsi:type="dcterms:W3CDTF">2026-05-28T16:34:04Z</dcterms:modified>
</cp:coreProperties>
</file>